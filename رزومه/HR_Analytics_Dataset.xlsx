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594b8b39c4e8c3f1/Desktop/"/>
    </mc:Choice>
  </mc:AlternateContent>
  <xr:revisionPtr revIDLastSave="0" documentId="8_{4D1D4D7C-7FEE-44DD-9F99-31DF9D71F3F8}" xr6:coauthVersionLast="47" xr6:coauthVersionMax="47" xr10:uidLastSave="{00000000-0000-0000-0000-000000000000}"/>
  <bookViews>
    <workbookView xWindow="-108" yWindow="-108" windowWidth="23256" windowHeight="12456" activeTab="1" xr2:uid="{00000000-000D-0000-FFFF-FFFF00000000}"/>
  </bookViews>
  <sheets>
    <sheet name="Sheet3" sheetId="4" r:id="rId1"/>
    <sheet name="Sheet4" sheetId="5" r:id="rId2"/>
    <sheet name="HR_Data" sheetId="1" r:id="rId3"/>
    <sheet name="analysis" sheetId="2" r:id="rId4"/>
  </sheets>
  <definedNames>
    <definedName name="_xlcn.WorksheetConnection_HR_Analytics_Dataset.xlsxTable11" hidden="1">Table1[]</definedName>
    <definedName name="_xlcn.WorksheetConnection_HR_DataLL1" hidden="1">HR_Data!$L:$L</definedName>
    <definedName name="Slicer_City">#N/A</definedName>
    <definedName name="Slicer_Contract_Type">#N/A</definedName>
    <definedName name="Slicer_Department">#N/A</definedName>
    <definedName name="Slicer_Manage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HR_Data!$L:$L"/>
          <x15:modelTable id="Table1" name="Table1" connection="WorksheetConnection_HR_Analytic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 l="1"/>
  <c r="B3" i="2"/>
  <c r="D9" i="2"/>
  <c r="B9" i="2"/>
  <c r="F3" i="2"/>
  <c r="E3" i="2"/>
  <c r="D3" i="2"/>
  <c r="AD2" i="1"/>
  <c r="A3" i="2"/>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698CD8-4C70-47AD-B8FE-6CFC440303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3A6BB15-79EC-4641-B5E6-1138985C21EE}" name="WorksheetConnection_HR_Analytics_Dataset.xlsx!Table1" type="102" refreshedVersion="8" minRefreshableVersion="5">
    <extLst>
      <ext xmlns:x15="http://schemas.microsoft.com/office/spreadsheetml/2010/11/main" uri="{DE250136-89BD-433C-8126-D09CA5730AF9}">
        <x15:connection id="Table1">
          <x15:rangePr sourceName="_xlcn.WorksheetConnection_HR_Analytics_Dataset.xlsxTable11"/>
        </x15:connection>
      </ext>
    </extLst>
  </connection>
  <connection id="3" xr16:uid="{5A4BA863-BC5C-49BC-85C9-3CCDBE38E187}" name="WorksheetConnection_HR_Data!$L:$L" type="102" refreshedVersion="8" minRefreshableVersion="5">
    <extLst>
      <ext xmlns:x15="http://schemas.microsoft.com/office/spreadsheetml/2010/11/main" uri="{DE250136-89BD-433C-8126-D09CA5730AF9}">
        <x15:connection id="Range" autoDelete="1">
          <x15:rangePr sourceName="_xlcn.WorksheetConnection_HR_DataLL1"/>
        </x15:connection>
      </ext>
    </extLst>
  </connection>
</connections>
</file>

<file path=xl/sharedStrings.xml><?xml version="1.0" encoding="utf-8"?>
<sst xmlns="http://schemas.openxmlformats.org/spreadsheetml/2006/main" count="17151" uniqueCount="2503">
  <si>
    <t>Employee ID</t>
  </si>
  <si>
    <t>Name</t>
  </si>
  <si>
    <t>Gender</t>
  </si>
  <si>
    <t>Age</t>
  </si>
  <si>
    <t>Department</t>
  </si>
  <si>
    <t>Job Role</t>
  </si>
  <si>
    <t>Education</t>
  </si>
  <si>
    <t>Marital Status</t>
  </si>
  <si>
    <t>City</t>
  </si>
  <si>
    <t>Hire Date</t>
  </si>
  <si>
    <t>Years at Company</t>
  </si>
  <si>
    <t>Salary</t>
  </si>
  <si>
    <t>Bonus</t>
  </si>
  <si>
    <t>Overtime</t>
  </si>
  <si>
    <t>Performance Score</t>
  </si>
  <si>
    <t>Training Hours</t>
  </si>
  <si>
    <t>Job Satisfaction</t>
  </si>
  <si>
    <t>Work Life Balance</t>
  </si>
  <si>
    <t>Absent Days</t>
  </si>
  <si>
    <t>Promotion</t>
  </si>
  <si>
    <t>Resigned</t>
  </si>
  <si>
    <t>Manager</t>
  </si>
  <si>
    <t>Remote Work</t>
  </si>
  <si>
    <t>Contract Type</t>
  </si>
  <si>
    <t>Exit Reason</t>
  </si>
  <si>
    <t>E0001</t>
  </si>
  <si>
    <t>Employee 1</t>
  </si>
  <si>
    <t>Male</t>
  </si>
  <si>
    <t>Sales</t>
  </si>
  <si>
    <t>Sales Rep</t>
  </si>
  <si>
    <t>PhD</t>
  </si>
  <si>
    <t>Single</t>
  </si>
  <si>
    <t>Tabriz</t>
  </si>
  <si>
    <t>Yes</t>
  </si>
  <si>
    <t>No</t>
  </si>
  <si>
    <t>Karimi</t>
  </si>
  <si>
    <t>Contract</t>
  </si>
  <si>
    <t>E0002</t>
  </si>
  <si>
    <t>Employee 2</t>
  </si>
  <si>
    <t>Female</t>
  </si>
  <si>
    <t>IT</t>
  </si>
  <si>
    <t>Data Analyst</t>
  </si>
  <si>
    <t>Married</t>
  </si>
  <si>
    <t>Tehran</t>
  </si>
  <si>
    <t>Hosseini</t>
  </si>
  <si>
    <t>Part-Time</t>
  </si>
  <si>
    <t>E0003</t>
  </si>
  <si>
    <t>Employee 3</t>
  </si>
  <si>
    <t>Developer</t>
  </si>
  <si>
    <t>Master</t>
  </si>
  <si>
    <t>Isfahan</t>
  </si>
  <si>
    <t>Ahmadi</t>
  </si>
  <si>
    <t>Full-Time</t>
  </si>
  <si>
    <t>Personal</t>
  </si>
  <si>
    <t>E0004</t>
  </si>
  <si>
    <t>Employee 4</t>
  </si>
  <si>
    <t>Finance</t>
  </si>
  <si>
    <t>Accountant</t>
  </si>
  <si>
    <t>Bachelor</t>
  </si>
  <si>
    <t>Moradi</t>
  </si>
  <si>
    <t>Career Change</t>
  </si>
  <si>
    <t>E0005</t>
  </si>
  <si>
    <t>Employee 5</t>
  </si>
  <si>
    <t>Operations</t>
  </si>
  <si>
    <t>Coordinator</t>
  </si>
  <si>
    <t>Shiraz</t>
  </si>
  <si>
    <t>E0006</t>
  </si>
  <si>
    <t>Employee 6</t>
  </si>
  <si>
    <t>E0007</t>
  </si>
  <si>
    <t>Employee 7</t>
  </si>
  <si>
    <t>Rahimi</t>
  </si>
  <si>
    <t>E0008</t>
  </si>
  <si>
    <t>Employee 8</t>
  </si>
  <si>
    <t>HR</t>
  </si>
  <si>
    <t>HR Specialist</t>
  </si>
  <si>
    <t>Relocation</t>
  </si>
  <si>
    <t>E0009</t>
  </si>
  <si>
    <t>Employee 9</t>
  </si>
  <si>
    <t>E0010</t>
  </si>
  <si>
    <t>Employee 10</t>
  </si>
  <si>
    <t>Sales Lead</t>
  </si>
  <si>
    <t>Mashhad</t>
  </si>
  <si>
    <t>E0011</t>
  </si>
  <si>
    <t>Employee 11</t>
  </si>
  <si>
    <t>Analyst</t>
  </si>
  <si>
    <t>E0012</t>
  </si>
  <si>
    <t>Employee 12</t>
  </si>
  <si>
    <t>E0013</t>
  </si>
  <si>
    <t>Employee 13</t>
  </si>
  <si>
    <t>E0014</t>
  </si>
  <si>
    <t>Employee 14</t>
  </si>
  <si>
    <t>E0015</t>
  </si>
  <si>
    <t>Employee 15</t>
  </si>
  <si>
    <t>Supervisor</t>
  </si>
  <si>
    <t>E0016</t>
  </si>
  <si>
    <t>Employee 16</t>
  </si>
  <si>
    <t>E0017</t>
  </si>
  <si>
    <t>Employee 17</t>
  </si>
  <si>
    <t>E0018</t>
  </si>
  <si>
    <t>Employee 18</t>
  </si>
  <si>
    <t>E0019</t>
  </si>
  <si>
    <t>Employee 19</t>
  </si>
  <si>
    <t>E0020</t>
  </si>
  <si>
    <t>Employee 20</t>
  </si>
  <si>
    <t>E0021</t>
  </si>
  <si>
    <t>Employee 21</t>
  </si>
  <si>
    <t>E0022</t>
  </si>
  <si>
    <t>Employee 22</t>
  </si>
  <si>
    <t>E0023</t>
  </si>
  <si>
    <t>Employee 23</t>
  </si>
  <si>
    <t>Marketing</t>
  </si>
  <si>
    <t>Content</t>
  </si>
  <si>
    <t>E0024</t>
  </si>
  <si>
    <t>Employee 24</t>
  </si>
  <si>
    <t>E0025</t>
  </si>
  <si>
    <t>Employee 25</t>
  </si>
  <si>
    <t>E0026</t>
  </si>
  <si>
    <t>Employee 26</t>
  </si>
  <si>
    <t>E0027</t>
  </si>
  <si>
    <t>Employee 27</t>
  </si>
  <si>
    <t>SEO</t>
  </si>
  <si>
    <t>E0028</t>
  </si>
  <si>
    <t>Employee 28</t>
  </si>
  <si>
    <t>E0029</t>
  </si>
  <si>
    <t>Employee 29</t>
  </si>
  <si>
    <t>E0030</t>
  </si>
  <si>
    <t>Employee 30</t>
  </si>
  <si>
    <t>Recruiter</t>
  </si>
  <si>
    <t>E0031</t>
  </si>
  <si>
    <t>Employee 31</t>
  </si>
  <si>
    <t>E0032</t>
  </si>
  <si>
    <t>Employee 32</t>
  </si>
  <si>
    <t>E0033</t>
  </si>
  <si>
    <t>Employee 33</t>
  </si>
  <si>
    <t>E0034</t>
  </si>
  <si>
    <t>Employee 34</t>
  </si>
  <si>
    <t>E0035</t>
  </si>
  <si>
    <t>Employee 35</t>
  </si>
  <si>
    <t>E0036</t>
  </si>
  <si>
    <t>Employee 36</t>
  </si>
  <si>
    <t>E0037</t>
  </si>
  <si>
    <t>Employee 37</t>
  </si>
  <si>
    <t>E0038</t>
  </si>
  <si>
    <t>Employee 38</t>
  </si>
  <si>
    <t>E0039</t>
  </si>
  <si>
    <t>Employee 39</t>
  </si>
  <si>
    <t>E0040</t>
  </si>
  <si>
    <t>Employee 40</t>
  </si>
  <si>
    <t>E0041</t>
  </si>
  <si>
    <t>Employee 41</t>
  </si>
  <si>
    <t>E0042</t>
  </si>
  <si>
    <t>Employee 42</t>
  </si>
  <si>
    <t>E0043</t>
  </si>
  <si>
    <t>Employee 43</t>
  </si>
  <si>
    <t>E0044</t>
  </si>
  <si>
    <t>Employee 44</t>
  </si>
  <si>
    <t>E0045</t>
  </si>
  <si>
    <t>Employee 45</t>
  </si>
  <si>
    <t>E0046</t>
  </si>
  <si>
    <t>Employee 46</t>
  </si>
  <si>
    <t>E0047</t>
  </si>
  <si>
    <t>Employee 47</t>
  </si>
  <si>
    <t>Better Offer</t>
  </si>
  <si>
    <t>E0048</t>
  </si>
  <si>
    <t>Employee 48</t>
  </si>
  <si>
    <t>E0049</t>
  </si>
  <si>
    <t>Employee 49</t>
  </si>
  <si>
    <t>E0050</t>
  </si>
  <si>
    <t>Employee 50</t>
  </si>
  <si>
    <t>E0051</t>
  </si>
  <si>
    <t>Employee 51</t>
  </si>
  <si>
    <t>E0052</t>
  </si>
  <si>
    <t>Employee 52</t>
  </si>
  <si>
    <t>E0053</t>
  </si>
  <si>
    <t>Employee 53</t>
  </si>
  <si>
    <t>E0054</t>
  </si>
  <si>
    <t>Employee 54</t>
  </si>
  <si>
    <t>E0055</t>
  </si>
  <si>
    <t>Employee 55</t>
  </si>
  <si>
    <t>E0056</t>
  </si>
  <si>
    <t>Employee 56</t>
  </si>
  <si>
    <t>E0057</t>
  </si>
  <si>
    <t>Employee 57</t>
  </si>
  <si>
    <t>E0058</t>
  </si>
  <si>
    <t>Employee 58</t>
  </si>
  <si>
    <t>E0059</t>
  </si>
  <si>
    <t>Employee 59</t>
  </si>
  <si>
    <t>E0060</t>
  </si>
  <si>
    <t>Employee 60</t>
  </si>
  <si>
    <t>E0061</t>
  </si>
  <si>
    <t>Employee 61</t>
  </si>
  <si>
    <t>E0062</t>
  </si>
  <si>
    <t>Employee 62</t>
  </si>
  <si>
    <t>E0063</t>
  </si>
  <si>
    <t>Employee 63</t>
  </si>
  <si>
    <t>E0064</t>
  </si>
  <si>
    <t>Employee 64</t>
  </si>
  <si>
    <t>E0065</t>
  </si>
  <si>
    <t>Employee 65</t>
  </si>
  <si>
    <t>E0066</t>
  </si>
  <si>
    <t>Employee 66</t>
  </si>
  <si>
    <t>E0067</t>
  </si>
  <si>
    <t>Employee 67</t>
  </si>
  <si>
    <t>E0068</t>
  </si>
  <si>
    <t>Employee 68</t>
  </si>
  <si>
    <t>E0069</t>
  </si>
  <si>
    <t>Employee 69</t>
  </si>
  <si>
    <t>E0070</t>
  </si>
  <si>
    <t>Employee 70</t>
  </si>
  <si>
    <t>E0071</t>
  </si>
  <si>
    <t>Employee 71</t>
  </si>
  <si>
    <t>E0072</t>
  </si>
  <si>
    <t>Employee 72</t>
  </si>
  <si>
    <t>E0073</t>
  </si>
  <si>
    <t>Employee 73</t>
  </si>
  <si>
    <t>E0074</t>
  </si>
  <si>
    <t>Employee 74</t>
  </si>
  <si>
    <t>E0075</t>
  </si>
  <si>
    <t>Employee 75</t>
  </si>
  <si>
    <t>E0076</t>
  </si>
  <si>
    <t>Employee 76</t>
  </si>
  <si>
    <t>E0077</t>
  </si>
  <si>
    <t>Employee 77</t>
  </si>
  <si>
    <t>E0078</t>
  </si>
  <si>
    <t>Employee 78</t>
  </si>
  <si>
    <t>E0079</t>
  </si>
  <si>
    <t>Employee 79</t>
  </si>
  <si>
    <t>E0080</t>
  </si>
  <si>
    <t>Employee 80</t>
  </si>
  <si>
    <t>E0081</t>
  </si>
  <si>
    <t>Employee 81</t>
  </si>
  <si>
    <t>E0082</t>
  </si>
  <si>
    <t>Employee 82</t>
  </si>
  <si>
    <t>E0083</t>
  </si>
  <si>
    <t>Employee 83</t>
  </si>
  <si>
    <t>E0084</t>
  </si>
  <si>
    <t>Employee 84</t>
  </si>
  <si>
    <t>E0085</t>
  </si>
  <si>
    <t>Employee 85</t>
  </si>
  <si>
    <t>E0086</t>
  </si>
  <si>
    <t>Employee 86</t>
  </si>
  <si>
    <t>E0087</t>
  </si>
  <si>
    <t>Employee 87</t>
  </si>
  <si>
    <t>E0088</t>
  </si>
  <si>
    <t>Employee 88</t>
  </si>
  <si>
    <t>E0089</t>
  </si>
  <si>
    <t>Employee 89</t>
  </si>
  <si>
    <t>E0090</t>
  </si>
  <si>
    <t>Employee 90</t>
  </si>
  <si>
    <t>E0091</t>
  </si>
  <si>
    <t>Employee 91</t>
  </si>
  <si>
    <t>E0092</t>
  </si>
  <si>
    <t>Employee 92</t>
  </si>
  <si>
    <t>E0093</t>
  </si>
  <si>
    <t>Employee 93</t>
  </si>
  <si>
    <t>E0094</t>
  </si>
  <si>
    <t>Employee 94</t>
  </si>
  <si>
    <t>E0095</t>
  </si>
  <si>
    <t>Employee 95</t>
  </si>
  <si>
    <t>E0096</t>
  </si>
  <si>
    <t>Employee 96</t>
  </si>
  <si>
    <t>E0097</t>
  </si>
  <si>
    <t>Employee 97</t>
  </si>
  <si>
    <t>E0098</t>
  </si>
  <si>
    <t>Employee 98</t>
  </si>
  <si>
    <t>E0099</t>
  </si>
  <si>
    <t>Employee 99</t>
  </si>
  <si>
    <t>E0100</t>
  </si>
  <si>
    <t>Employee 100</t>
  </si>
  <si>
    <t>E0101</t>
  </si>
  <si>
    <t>Employee 101</t>
  </si>
  <si>
    <t>E0102</t>
  </si>
  <si>
    <t>Employee 102</t>
  </si>
  <si>
    <t>E0103</t>
  </si>
  <si>
    <t>Employee 103</t>
  </si>
  <si>
    <t>E0104</t>
  </si>
  <si>
    <t>Employee 104</t>
  </si>
  <si>
    <t>E0105</t>
  </si>
  <si>
    <t>Employee 105</t>
  </si>
  <si>
    <t>E0106</t>
  </si>
  <si>
    <t>Employee 106</t>
  </si>
  <si>
    <t>E0107</t>
  </si>
  <si>
    <t>Employee 107</t>
  </si>
  <si>
    <t>E0108</t>
  </si>
  <si>
    <t>Employee 108</t>
  </si>
  <si>
    <t>E0109</t>
  </si>
  <si>
    <t>Employee 109</t>
  </si>
  <si>
    <t>E0110</t>
  </si>
  <si>
    <t>Employee 110</t>
  </si>
  <si>
    <t>E0111</t>
  </si>
  <si>
    <t>Employee 111</t>
  </si>
  <si>
    <t>E0112</t>
  </si>
  <si>
    <t>Employee 112</t>
  </si>
  <si>
    <t>E0113</t>
  </si>
  <si>
    <t>Employee 113</t>
  </si>
  <si>
    <t>E0114</t>
  </si>
  <si>
    <t>Employee 114</t>
  </si>
  <si>
    <t>E0115</t>
  </si>
  <si>
    <t>Employee 115</t>
  </si>
  <si>
    <t>E0116</t>
  </si>
  <si>
    <t>Employee 116</t>
  </si>
  <si>
    <t>E0117</t>
  </si>
  <si>
    <t>Employee 117</t>
  </si>
  <si>
    <t>E0118</t>
  </si>
  <si>
    <t>Employee 118</t>
  </si>
  <si>
    <t>E0119</t>
  </si>
  <si>
    <t>Employee 119</t>
  </si>
  <si>
    <t>E0120</t>
  </si>
  <si>
    <t>Employee 120</t>
  </si>
  <si>
    <t>E0121</t>
  </si>
  <si>
    <t>Employee 121</t>
  </si>
  <si>
    <t>E0122</t>
  </si>
  <si>
    <t>Employee 122</t>
  </si>
  <si>
    <t>E0123</t>
  </si>
  <si>
    <t>Employee 123</t>
  </si>
  <si>
    <t>E0124</t>
  </si>
  <si>
    <t>Employee 124</t>
  </si>
  <si>
    <t>E0125</t>
  </si>
  <si>
    <t>Employee 125</t>
  </si>
  <si>
    <t>E0126</t>
  </si>
  <si>
    <t>Employee 126</t>
  </si>
  <si>
    <t>E0127</t>
  </si>
  <si>
    <t>Employee 127</t>
  </si>
  <si>
    <t>E0128</t>
  </si>
  <si>
    <t>Employee 128</t>
  </si>
  <si>
    <t>E0129</t>
  </si>
  <si>
    <t>Employee 129</t>
  </si>
  <si>
    <t>E0130</t>
  </si>
  <si>
    <t>Employee 130</t>
  </si>
  <si>
    <t>E0131</t>
  </si>
  <si>
    <t>Employee 131</t>
  </si>
  <si>
    <t>E0132</t>
  </si>
  <si>
    <t>Employee 132</t>
  </si>
  <si>
    <t>E0133</t>
  </si>
  <si>
    <t>Employee 133</t>
  </si>
  <si>
    <t>E0134</t>
  </si>
  <si>
    <t>Employee 134</t>
  </si>
  <si>
    <t>E0135</t>
  </si>
  <si>
    <t>Employee 135</t>
  </si>
  <si>
    <t>E0136</t>
  </si>
  <si>
    <t>Employee 136</t>
  </si>
  <si>
    <t>E0137</t>
  </si>
  <si>
    <t>Employee 137</t>
  </si>
  <si>
    <t>E0138</t>
  </si>
  <si>
    <t>Employee 138</t>
  </si>
  <si>
    <t>E0139</t>
  </si>
  <si>
    <t>Employee 139</t>
  </si>
  <si>
    <t>E0140</t>
  </si>
  <si>
    <t>Employee 140</t>
  </si>
  <si>
    <t>E0141</t>
  </si>
  <si>
    <t>Employee 141</t>
  </si>
  <si>
    <t>E0142</t>
  </si>
  <si>
    <t>Employee 142</t>
  </si>
  <si>
    <t>E0143</t>
  </si>
  <si>
    <t>Employee 143</t>
  </si>
  <si>
    <t>E0144</t>
  </si>
  <si>
    <t>Employee 144</t>
  </si>
  <si>
    <t>E0145</t>
  </si>
  <si>
    <t>Employee 145</t>
  </si>
  <si>
    <t>E0146</t>
  </si>
  <si>
    <t>Employee 146</t>
  </si>
  <si>
    <t>E0147</t>
  </si>
  <si>
    <t>Employee 147</t>
  </si>
  <si>
    <t>E0148</t>
  </si>
  <si>
    <t>Employee 148</t>
  </si>
  <si>
    <t>E0149</t>
  </si>
  <si>
    <t>Employee 149</t>
  </si>
  <si>
    <t>E0150</t>
  </si>
  <si>
    <t>Employee 150</t>
  </si>
  <si>
    <t>E0151</t>
  </si>
  <si>
    <t>Employee 151</t>
  </si>
  <si>
    <t>E0152</t>
  </si>
  <si>
    <t>Employee 152</t>
  </si>
  <si>
    <t>E0153</t>
  </si>
  <si>
    <t>Employee 153</t>
  </si>
  <si>
    <t>E0154</t>
  </si>
  <si>
    <t>Employee 154</t>
  </si>
  <si>
    <t>E0155</t>
  </si>
  <si>
    <t>Employee 155</t>
  </si>
  <si>
    <t>E0156</t>
  </si>
  <si>
    <t>Employee 156</t>
  </si>
  <si>
    <t>E0157</t>
  </si>
  <si>
    <t>Employee 157</t>
  </si>
  <si>
    <t>E0158</t>
  </si>
  <si>
    <t>Employee 158</t>
  </si>
  <si>
    <t>E0159</t>
  </si>
  <si>
    <t>Employee 159</t>
  </si>
  <si>
    <t>E0160</t>
  </si>
  <si>
    <t>Employee 160</t>
  </si>
  <si>
    <t>E0161</t>
  </si>
  <si>
    <t>Employee 161</t>
  </si>
  <si>
    <t>E0162</t>
  </si>
  <si>
    <t>Employee 162</t>
  </si>
  <si>
    <t>E0163</t>
  </si>
  <si>
    <t>Employee 163</t>
  </si>
  <si>
    <t>E0164</t>
  </si>
  <si>
    <t>Employee 164</t>
  </si>
  <si>
    <t>E0165</t>
  </si>
  <si>
    <t>Employee 165</t>
  </si>
  <si>
    <t>E0166</t>
  </si>
  <si>
    <t>Employee 166</t>
  </si>
  <si>
    <t>E0167</t>
  </si>
  <si>
    <t>Employee 167</t>
  </si>
  <si>
    <t>E0168</t>
  </si>
  <si>
    <t>Employee 168</t>
  </si>
  <si>
    <t>E0169</t>
  </si>
  <si>
    <t>Employee 169</t>
  </si>
  <si>
    <t>E0170</t>
  </si>
  <si>
    <t>Employee 170</t>
  </si>
  <si>
    <t>E0171</t>
  </si>
  <si>
    <t>Employee 171</t>
  </si>
  <si>
    <t>E0172</t>
  </si>
  <si>
    <t>Employee 172</t>
  </si>
  <si>
    <t>E0173</t>
  </si>
  <si>
    <t>Employee 173</t>
  </si>
  <si>
    <t>E0174</t>
  </si>
  <si>
    <t>Employee 174</t>
  </si>
  <si>
    <t>E0175</t>
  </si>
  <si>
    <t>Employee 175</t>
  </si>
  <si>
    <t>E0176</t>
  </si>
  <si>
    <t>Employee 176</t>
  </si>
  <si>
    <t>E0177</t>
  </si>
  <si>
    <t>Employee 177</t>
  </si>
  <si>
    <t>E0178</t>
  </si>
  <si>
    <t>Employee 178</t>
  </si>
  <si>
    <t>E0179</t>
  </si>
  <si>
    <t>Employee 179</t>
  </si>
  <si>
    <t>E0180</t>
  </si>
  <si>
    <t>Employee 180</t>
  </si>
  <si>
    <t>E0181</t>
  </si>
  <si>
    <t>Employee 181</t>
  </si>
  <si>
    <t>E0182</t>
  </si>
  <si>
    <t>Employee 182</t>
  </si>
  <si>
    <t>E0183</t>
  </si>
  <si>
    <t>Employee 183</t>
  </si>
  <si>
    <t>E0184</t>
  </si>
  <si>
    <t>Employee 184</t>
  </si>
  <si>
    <t>E0185</t>
  </si>
  <si>
    <t>Employee 185</t>
  </si>
  <si>
    <t>E0186</t>
  </si>
  <si>
    <t>Employee 186</t>
  </si>
  <si>
    <t>E0187</t>
  </si>
  <si>
    <t>Employee 187</t>
  </si>
  <si>
    <t>E0188</t>
  </si>
  <si>
    <t>Employee 188</t>
  </si>
  <si>
    <t>E0189</t>
  </si>
  <si>
    <t>Employee 189</t>
  </si>
  <si>
    <t>E0190</t>
  </si>
  <si>
    <t>Employee 190</t>
  </si>
  <si>
    <t>E0191</t>
  </si>
  <si>
    <t>Employee 191</t>
  </si>
  <si>
    <t>E0192</t>
  </si>
  <si>
    <t>Employee 192</t>
  </si>
  <si>
    <t>E0193</t>
  </si>
  <si>
    <t>Employee 193</t>
  </si>
  <si>
    <t>E0194</t>
  </si>
  <si>
    <t>Employee 194</t>
  </si>
  <si>
    <t>E0195</t>
  </si>
  <si>
    <t>Employee 195</t>
  </si>
  <si>
    <t>E0196</t>
  </si>
  <si>
    <t>Employee 196</t>
  </si>
  <si>
    <t>E0197</t>
  </si>
  <si>
    <t>Employee 197</t>
  </si>
  <si>
    <t>E0198</t>
  </si>
  <si>
    <t>Employee 198</t>
  </si>
  <si>
    <t>E0199</t>
  </si>
  <si>
    <t>Employee 199</t>
  </si>
  <si>
    <t>E0200</t>
  </si>
  <si>
    <t>Employee 200</t>
  </si>
  <si>
    <t>E0201</t>
  </si>
  <si>
    <t>Employee 201</t>
  </si>
  <si>
    <t>E0202</t>
  </si>
  <si>
    <t>Employee 202</t>
  </si>
  <si>
    <t>E0203</t>
  </si>
  <si>
    <t>Employee 203</t>
  </si>
  <si>
    <t>E0204</t>
  </si>
  <si>
    <t>Employee 204</t>
  </si>
  <si>
    <t>E0205</t>
  </si>
  <si>
    <t>Employee 205</t>
  </si>
  <si>
    <t>E0206</t>
  </si>
  <si>
    <t>Employee 206</t>
  </si>
  <si>
    <t>E0207</t>
  </si>
  <si>
    <t>Employee 207</t>
  </si>
  <si>
    <t>E0208</t>
  </si>
  <si>
    <t>Employee 208</t>
  </si>
  <si>
    <t>E0209</t>
  </si>
  <si>
    <t>Employee 209</t>
  </si>
  <si>
    <t>E0210</t>
  </si>
  <si>
    <t>Employee 210</t>
  </si>
  <si>
    <t>E0211</t>
  </si>
  <si>
    <t>Employee 211</t>
  </si>
  <si>
    <t>E0212</t>
  </si>
  <si>
    <t>Employee 212</t>
  </si>
  <si>
    <t>E0213</t>
  </si>
  <si>
    <t>Employee 213</t>
  </si>
  <si>
    <t>E0214</t>
  </si>
  <si>
    <t>Employee 214</t>
  </si>
  <si>
    <t>E0215</t>
  </si>
  <si>
    <t>Employee 215</t>
  </si>
  <si>
    <t>E0216</t>
  </si>
  <si>
    <t>Employee 216</t>
  </si>
  <si>
    <t>E0217</t>
  </si>
  <si>
    <t>Employee 217</t>
  </si>
  <si>
    <t>E0218</t>
  </si>
  <si>
    <t>Employee 218</t>
  </si>
  <si>
    <t>E0219</t>
  </si>
  <si>
    <t>Employee 219</t>
  </si>
  <si>
    <t>E0220</t>
  </si>
  <si>
    <t>Employee 220</t>
  </si>
  <si>
    <t>E0221</t>
  </si>
  <si>
    <t>Employee 221</t>
  </si>
  <si>
    <t>E0222</t>
  </si>
  <si>
    <t>Employee 222</t>
  </si>
  <si>
    <t>E0223</t>
  </si>
  <si>
    <t>Employee 223</t>
  </si>
  <si>
    <t>E0224</t>
  </si>
  <si>
    <t>Employee 224</t>
  </si>
  <si>
    <t>E0225</t>
  </si>
  <si>
    <t>Employee 225</t>
  </si>
  <si>
    <t>E0226</t>
  </si>
  <si>
    <t>Employee 226</t>
  </si>
  <si>
    <t>E0227</t>
  </si>
  <si>
    <t>Employee 227</t>
  </si>
  <si>
    <t>E0228</t>
  </si>
  <si>
    <t>Employee 228</t>
  </si>
  <si>
    <t>E0229</t>
  </si>
  <si>
    <t>Employee 229</t>
  </si>
  <si>
    <t>E0230</t>
  </si>
  <si>
    <t>Employee 230</t>
  </si>
  <si>
    <t>E0231</t>
  </si>
  <si>
    <t>Employee 231</t>
  </si>
  <si>
    <t>E0232</t>
  </si>
  <si>
    <t>Employee 232</t>
  </si>
  <si>
    <t>E0233</t>
  </si>
  <si>
    <t>Employee 233</t>
  </si>
  <si>
    <t>E0234</t>
  </si>
  <si>
    <t>Employee 234</t>
  </si>
  <si>
    <t>E0235</t>
  </si>
  <si>
    <t>Employee 235</t>
  </si>
  <si>
    <t>E0236</t>
  </si>
  <si>
    <t>Employee 236</t>
  </si>
  <si>
    <t>E0237</t>
  </si>
  <si>
    <t>Employee 237</t>
  </si>
  <si>
    <t>E0238</t>
  </si>
  <si>
    <t>Employee 238</t>
  </si>
  <si>
    <t>E0239</t>
  </si>
  <si>
    <t>Employee 239</t>
  </si>
  <si>
    <t>E0240</t>
  </si>
  <si>
    <t>Employee 240</t>
  </si>
  <si>
    <t>E0241</t>
  </si>
  <si>
    <t>Employee 241</t>
  </si>
  <si>
    <t>E0242</t>
  </si>
  <si>
    <t>Employee 242</t>
  </si>
  <si>
    <t>E0243</t>
  </si>
  <si>
    <t>Employee 243</t>
  </si>
  <si>
    <t>E0244</t>
  </si>
  <si>
    <t>Employee 244</t>
  </si>
  <si>
    <t>E0245</t>
  </si>
  <si>
    <t>Employee 245</t>
  </si>
  <si>
    <t>E0246</t>
  </si>
  <si>
    <t>Employee 246</t>
  </si>
  <si>
    <t>E0247</t>
  </si>
  <si>
    <t>Employee 247</t>
  </si>
  <si>
    <t>E0248</t>
  </si>
  <si>
    <t>Employee 248</t>
  </si>
  <si>
    <t>E0249</t>
  </si>
  <si>
    <t>Employee 249</t>
  </si>
  <si>
    <t>E0250</t>
  </si>
  <si>
    <t>Employee 250</t>
  </si>
  <si>
    <t>E0251</t>
  </si>
  <si>
    <t>Employee 251</t>
  </si>
  <si>
    <t>E0252</t>
  </si>
  <si>
    <t>Employee 252</t>
  </si>
  <si>
    <t>E0253</t>
  </si>
  <si>
    <t>Employee 253</t>
  </si>
  <si>
    <t>E0254</t>
  </si>
  <si>
    <t>Employee 254</t>
  </si>
  <si>
    <t>E0255</t>
  </si>
  <si>
    <t>Employee 255</t>
  </si>
  <si>
    <t>E0256</t>
  </si>
  <si>
    <t>Employee 256</t>
  </si>
  <si>
    <t>E0257</t>
  </si>
  <si>
    <t>Employee 257</t>
  </si>
  <si>
    <t>E0258</t>
  </si>
  <si>
    <t>Employee 258</t>
  </si>
  <si>
    <t>E0259</t>
  </si>
  <si>
    <t>Employee 259</t>
  </si>
  <si>
    <t>E0260</t>
  </si>
  <si>
    <t>Employee 260</t>
  </si>
  <si>
    <t>E0261</t>
  </si>
  <si>
    <t>Employee 261</t>
  </si>
  <si>
    <t>E0262</t>
  </si>
  <si>
    <t>Employee 262</t>
  </si>
  <si>
    <t>E0263</t>
  </si>
  <si>
    <t>Employee 263</t>
  </si>
  <si>
    <t>E0264</t>
  </si>
  <si>
    <t>Employee 264</t>
  </si>
  <si>
    <t>E0265</t>
  </si>
  <si>
    <t>Employee 265</t>
  </si>
  <si>
    <t>E0266</t>
  </si>
  <si>
    <t>Employee 266</t>
  </si>
  <si>
    <t>E0267</t>
  </si>
  <si>
    <t>Employee 267</t>
  </si>
  <si>
    <t>E0268</t>
  </si>
  <si>
    <t>Employee 268</t>
  </si>
  <si>
    <t>E0269</t>
  </si>
  <si>
    <t>Employee 269</t>
  </si>
  <si>
    <t>E0270</t>
  </si>
  <si>
    <t>Employee 270</t>
  </si>
  <si>
    <t>E0271</t>
  </si>
  <si>
    <t>Employee 271</t>
  </si>
  <si>
    <t>E0272</t>
  </si>
  <si>
    <t>Employee 272</t>
  </si>
  <si>
    <t>E0273</t>
  </si>
  <si>
    <t>Employee 273</t>
  </si>
  <si>
    <t>E0274</t>
  </si>
  <si>
    <t>Employee 274</t>
  </si>
  <si>
    <t>E0275</t>
  </si>
  <si>
    <t>Employee 275</t>
  </si>
  <si>
    <t>E0276</t>
  </si>
  <si>
    <t>Employee 276</t>
  </si>
  <si>
    <t>E0277</t>
  </si>
  <si>
    <t>Employee 277</t>
  </si>
  <si>
    <t>E0278</t>
  </si>
  <si>
    <t>Employee 278</t>
  </si>
  <si>
    <t>E0279</t>
  </si>
  <si>
    <t>Employee 279</t>
  </si>
  <si>
    <t>E0280</t>
  </si>
  <si>
    <t>Employee 280</t>
  </si>
  <si>
    <t>E0281</t>
  </si>
  <si>
    <t>Employee 281</t>
  </si>
  <si>
    <t>E0282</t>
  </si>
  <si>
    <t>Employee 282</t>
  </si>
  <si>
    <t>E0283</t>
  </si>
  <si>
    <t>Employee 283</t>
  </si>
  <si>
    <t>E0284</t>
  </si>
  <si>
    <t>Employee 284</t>
  </si>
  <si>
    <t>E0285</t>
  </si>
  <si>
    <t>Employee 285</t>
  </si>
  <si>
    <t>E0286</t>
  </si>
  <si>
    <t>Employee 286</t>
  </si>
  <si>
    <t>E0287</t>
  </si>
  <si>
    <t>Employee 287</t>
  </si>
  <si>
    <t>E0288</t>
  </si>
  <si>
    <t>Employee 288</t>
  </si>
  <si>
    <t>E0289</t>
  </si>
  <si>
    <t>Employee 289</t>
  </si>
  <si>
    <t>E0290</t>
  </si>
  <si>
    <t>Employee 290</t>
  </si>
  <si>
    <t>E0291</t>
  </si>
  <si>
    <t>Employee 291</t>
  </si>
  <si>
    <t>E0292</t>
  </si>
  <si>
    <t>Employee 292</t>
  </si>
  <si>
    <t>E0293</t>
  </si>
  <si>
    <t>Employee 293</t>
  </si>
  <si>
    <t>E0294</t>
  </si>
  <si>
    <t>Employee 294</t>
  </si>
  <si>
    <t>E0295</t>
  </si>
  <si>
    <t>Employee 295</t>
  </si>
  <si>
    <t>E0296</t>
  </si>
  <si>
    <t>Employee 296</t>
  </si>
  <si>
    <t>E0297</t>
  </si>
  <si>
    <t>Employee 297</t>
  </si>
  <si>
    <t>E0298</t>
  </si>
  <si>
    <t>Employee 298</t>
  </si>
  <si>
    <t>E0299</t>
  </si>
  <si>
    <t>Employee 299</t>
  </si>
  <si>
    <t>E0300</t>
  </si>
  <si>
    <t>Employee 300</t>
  </si>
  <si>
    <t>E0301</t>
  </si>
  <si>
    <t>Employee 301</t>
  </si>
  <si>
    <t>E0302</t>
  </si>
  <si>
    <t>Employee 302</t>
  </si>
  <si>
    <t>E0303</t>
  </si>
  <si>
    <t>Employee 303</t>
  </si>
  <si>
    <t>E0304</t>
  </si>
  <si>
    <t>Employee 304</t>
  </si>
  <si>
    <t>E0305</t>
  </si>
  <si>
    <t>Employee 305</t>
  </si>
  <si>
    <t>E0306</t>
  </si>
  <si>
    <t>Employee 306</t>
  </si>
  <si>
    <t>E0307</t>
  </si>
  <si>
    <t>Employee 307</t>
  </si>
  <si>
    <t>E0308</t>
  </si>
  <si>
    <t>Employee 308</t>
  </si>
  <si>
    <t>E0309</t>
  </si>
  <si>
    <t>Employee 309</t>
  </si>
  <si>
    <t>E0310</t>
  </si>
  <si>
    <t>Employee 310</t>
  </si>
  <si>
    <t>E0311</t>
  </si>
  <si>
    <t>Employee 311</t>
  </si>
  <si>
    <t>E0312</t>
  </si>
  <si>
    <t>Employee 312</t>
  </si>
  <si>
    <t>E0313</t>
  </si>
  <si>
    <t>Employee 313</t>
  </si>
  <si>
    <t>E0314</t>
  </si>
  <si>
    <t>Employee 314</t>
  </si>
  <si>
    <t>E0315</t>
  </si>
  <si>
    <t>Employee 315</t>
  </si>
  <si>
    <t>E0316</t>
  </si>
  <si>
    <t>Employee 316</t>
  </si>
  <si>
    <t>E0317</t>
  </si>
  <si>
    <t>Employee 317</t>
  </si>
  <si>
    <t>E0318</t>
  </si>
  <si>
    <t>Employee 318</t>
  </si>
  <si>
    <t>E0319</t>
  </si>
  <si>
    <t>Employee 319</t>
  </si>
  <si>
    <t>E0320</t>
  </si>
  <si>
    <t>Employee 320</t>
  </si>
  <si>
    <t>E0321</t>
  </si>
  <si>
    <t>Employee 321</t>
  </si>
  <si>
    <t>E0322</t>
  </si>
  <si>
    <t>Employee 322</t>
  </si>
  <si>
    <t>E0323</t>
  </si>
  <si>
    <t>Employee 323</t>
  </si>
  <si>
    <t>E0324</t>
  </si>
  <si>
    <t>Employee 324</t>
  </si>
  <si>
    <t>E0325</t>
  </si>
  <si>
    <t>Employee 325</t>
  </si>
  <si>
    <t>E0326</t>
  </si>
  <si>
    <t>Employee 326</t>
  </si>
  <si>
    <t>E0327</t>
  </si>
  <si>
    <t>Employee 327</t>
  </si>
  <si>
    <t>E0328</t>
  </si>
  <si>
    <t>Employee 328</t>
  </si>
  <si>
    <t>E0329</t>
  </si>
  <si>
    <t>Employee 329</t>
  </si>
  <si>
    <t>E0330</t>
  </si>
  <si>
    <t>Employee 330</t>
  </si>
  <si>
    <t>E0331</t>
  </si>
  <si>
    <t>Employee 331</t>
  </si>
  <si>
    <t>E0332</t>
  </si>
  <si>
    <t>Employee 332</t>
  </si>
  <si>
    <t>E0333</t>
  </si>
  <si>
    <t>Employee 333</t>
  </si>
  <si>
    <t>E0334</t>
  </si>
  <si>
    <t>Employee 334</t>
  </si>
  <si>
    <t>E0335</t>
  </si>
  <si>
    <t>Employee 335</t>
  </si>
  <si>
    <t>E0336</t>
  </si>
  <si>
    <t>Employee 336</t>
  </si>
  <si>
    <t>E0337</t>
  </si>
  <si>
    <t>Employee 337</t>
  </si>
  <si>
    <t>E0338</t>
  </si>
  <si>
    <t>Employee 338</t>
  </si>
  <si>
    <t>E0339</t>
  </si>
  <si>
    <t>Employee 339</t>
  </si>
  <si>
    <t>E0340</t>
  </si>
  <si>
    <t>Employee 340</t>
  </si>
  <si>
    <t>E0341</t>
  </si>
  <si>
    <t>Employee 341</t>
  </si>
  <si>
    <t>E0342</t>
  </si>
  <si>
    <t>Employee 342</t>
  </si>
  <si>
    <t>E0343</t>
  </si>
  <si>
    <t>Employee 343</t>
  </si>
  <si>
    <t>E0344</t>
  </si>
  <si>
    <t>Employee 344</t>
  </si>
  <si>
    <t>E0345</t>
  </si>
  <si>
    <t>Employee 345</t>
  </si>
  <si>
    <t>E0346</t>
  </si>
  <si>
    <t>Employee 346</t>
  </si>
  <si>
    <t>E0347</t>
  </si>
  <si>
    <t>Employee 347</t>
  </si>
  <si>
    <t>E0348</t>
  </si>
  <si>
    <t>Employee 348</t>
  </si>
  <si>
    <t>E0349</t>
  </si>
  <si>
    <t>Employee 349</t>
  </si>
  <si>
    <t>E0350</t>
  </si>
  <si>
    <t>Employee 350</t>
  </si>
  <si>
    <t>E0351</t>
  </si>
  <si>
    <t>Employee 351</t>
  </si>
  <si>
    <t>E0352</t>
  </si>
  <si>
    <t>Employee 352</t>
  </si>
  <si>
    <t>E0353</t>
  </si>
  <si>
    <t>Employee 353</t>
  </si>
  <si>
    <t>E0354</t>
  </si>
  <si>
    <t>Employee 354</t>
  </si>
  <si>
    <t>E0355</t>
  </si>
  <si>
    <t>Employee 355</t>
  </si>
  <si>
    <t>E0356</t>
  </si>
  <si>
    <t>Employee 356</t>
  </si>
  <si>
    <t>E0357</t>
  </si>
  <si>
    <t>Employee 357</t>
  </si>
  <si>
    <t>E0358</t>
  </si>
  <si>
    <t>Employee 358</t>
  </si>
  <si>
    <t>E0359</t>
  </si>
  <si>
    <t>Employee 359</t>
  </si>
  <si>
    <t>E0360</t>
  </si>
  <si>
    <t>Employee 360</t>
  </si>
  <si>
    <t>E0361</t>
  </si>
  <si>
    <t>Employee 361</t>
  </si>
  <si>
    <t>E0362</t>
  </si>
  <si>
    <t>Employee 362</t>
  </si>
  <si>
    <t>E0363</t>
  </si>
  <si>
    <t>Employee 363</t>
  </si>
  <si>
    <t>E0364</t>
  </si>
  <si>
    <t>Employee 364</t>
  </si>
  <si>
    <t>E0365</t>
  </si>
  <si>
    <t>Employee 365</t>
  </si>
  <si>
    <t>E0366</t>
  </si>
  <si>
    <t>Employee 366</t>
  </si>
  <si>
    <t>E0367</t>
  </si>
  <si>
    <t>Employee 367</t>
  </si>
  <si>
    <t>E0368</t>
  </si>
  <si>
    <t>Employee 368</t>
  </si>
  <si>
    <t>E0369</t>
  </si>
  <si>
    <t>Employee 369</t>
  </si>
  <si>
    <t>E0370</t>
  </si>
  <si>
    <t>Employee 370</t>
  </si>
  <si>
    <t>E0371</t>
  </si>
  <si>
    <t>Employee 371</t>
  </si>
  <si>
    <t>E0372</t>
  </si>
  <si>
    <t>Employee 372</t>
  </si>
  <si>
    <t>E0373</t>
  </si>
  <si>
    <t>Employee 373</t>
  </si>
  <si>
    <t>E0374</t>
  </si>
  <si>
    <t>Employee 374</t>
  </si>
  <si>
    <t>E0375</t>
  </si>
  <si>
    <t>Employee 375</t>
  </si>
  <si>
    <t>E0376</t>
  </si>
  <si>
    <t>Employee 376</t>
  </si>
  <si>
    <t>E0377</t>
  </si>
  <si>
    <t>Employee 377</t>
  </si>
  <si>
    <t>E0378</t>
  </si>
  <si>
    <t>Employee 378</t>
  </si>
  <si>
    <t>E0379</t>
  </si>
  <si>
    <t>Employee 379</t>
  </si>
  <si>
    <t>E0380</t>
  </si>
  <si>
    <t>Employee 380</t>
  </si>
  <si>
    <t>E0381</t>
  </si>
  <si>
    <t>Employee 381</t>
  </si>
  <si>
    <t>E0382</t>
  </si>
  <si>
    <t>Employee 382</t>
  </si>
  <si>
    <t>E0383</t>
  </si>
  <si>
    <t>Employee 383</t>
  </si>
  <si>
    <t>E0384</t>
  </si>
  <si>
    <t>Employee 384</t>
  </si>
  <si>
    <t>E0385</t>
  </si>
  <si>
    <t>Employee 385</t>
  </si>
  <si>
    <t>E0386</t>
  </si>
  <si>
    <t>Employee 386</t>
  </si>
  <si>
    <t>E0387</t>
  </si>
  <si>
    <t>Employee 387</t>
  </si>
  <si>
    <t>E0388</t>
  </si>
  <si>
    <t>Employee 388</t>
  </si>
  <si>
    <t>E0389</t>
  </si>
  <si>
    <t>Employee 389</t>
  </si>
  <si>
    <t>E0390</t>
  </si>
  <si>
    <t>Employee 390</t>
  </si>
  <si>
    <t>E0391</t>
  </si>
  <si>
    <t>Employee 391</t>
  </si>
  <si>
    <t>E0392</t>
  </si>
  <si>
    <t>Employee 392</t>
  </si>
  <si>
    <t>E0393</t>
  </si>
  <si>
    <t>Employee 393</t>
  </si>
  <si>
    <t>E0394</t>
  </si>
  <si>
    <t>Employee 394</t>
  </si>
  <si>
    <t>E0395</t>
  </si>
  <si>
    <t>Employee 395</t>
  </si>
  <si>
    <t>E0396</t>
  </si>
  <si>
    <t>Employee 396</t>
  </si>
  <si>
    <t>E0397</t>
  </si>
  <si>
    <t>Employee 397</t>
  </si>
  <si>
    <t>E0398</t>
  </si>
  <si>
    <t>Employee 398</t>
  </si>
  <si>
    <t>E0399</t>
  </si>
  <si>
    <t>Employee 399</t>
  </si>
  <si>
    <t>E0400</t>
  </si>
  <si>
    <t>Employee 400</t>
  </si>
  <si>
    <t>E0401</t>
  </si>
  <si>
    <t>Employee 401</t>
  </si>
  <si>
    <t>E0402</t>
  </si>
  <si>
    <t>Employee 402</t>
  </si>
  <si>
    <t>E0403</t>
  </si>
  <si>
    <t>Employee 403</t>
  </si>
  <si>
    <t>E0404</t>
  </si>
  <si>
    <t>Employee 404</t>
  </si>
  <si>
    <t>E0405</t>
  </si>
  <si>
    <t>Employee 405</t>
  </si>
  <si>
    <t>E0406</t>
  </si>
  <si>
    <t>Employee 406</t>
  </si>
  <si>
    <t>E0407</t>
  </si>
  <si>
    <t>Employee 407</t>
  </si>
  <si>
    <t>E0408</t>
  </si>
  <si>
    <t>Employee 408</t>
  </si>
  <si>
    <t>E0409</t>
  </si>
  <si>
    <t>Employee 409</t>
  </si>
  <si>
    <t>E0410</t>
  </si>
  <si>
    <t>Employee 410</t>
  </si>
  <si>
    <t>E0411</t>
  </si>
  <si>
    <t>Employee 411</t>
  </si>
  <si>
    <t>E0412</t>
  </si>
  <si>
    <t>Employee 412</t>
  </si>
  <si>
    <t>E0413</t>
  </si>
  <si>
    <t>Employee 413</t>
  </si>
  <si>
    <t>E0414</t>
  </si>
  <si>
    <t>Employee 414</t>
  </si>
  <si>
    <t>E0415</t>
  </si>
  <si>
    <t>Employee 415</t>
  </si>
  <si>
    <t>E0416</t>
  </si>
  <si>
    <t>Employee 416</t>
  </si>
  <si>
    <t>E0417</t>
  </si>
  <si>
    <t>Employee 417</t>
  </si>
  <si>
    <t>E0418</t>
  </si>
  <si>
    <t>Employee 418</t>
  </si>
  <si>
    <t>E0419</t>
  </si>
  <si>
    <t>Employee 419</t>
  </si>
  <si>
    <t>E0420</t>
  </si>
  <si>
    <t>Employee 420</t>
  </si>
  <si>
    <t>E0421</t>
  </si>
  <si>
    <t>Employee 421</t>
  </si>
  <si>
    <t>E0422</t>
  </si>
  <si>
    <t>Employee 422</t>
  </si>
  <si>
    <t>E0423</t>
  </si>
  <si>
    <t>Employee 423</t>
  </si>
  <si>
    <t>E0424</t>
  </si>
  <si>
    <t>Employee 424</t>
  </si>
  <si>
    <t>E0425</t>
  </si>
  <si>
    <t>Employee 425</t>
  </si>
  <si>
    <t>E0426</t>
  </si>
  <si>
    <t>Employee 426</t>
  </si>
  <si>
    <t>E0427</t>
  </si>
  <si>
    <t>Employee 427</t>
  </si>
  <si>
    <t>E0428</t>
  </si>
  <si>
    <t>Employee 428</t>
  </si>
  <si>
    <t>E0429</t>
  </si>
  <si>
    <t>Employee 429</t>
  </si>
  <si>
    <t>E0430</t>
  </si>
  <si>
    <t>Employee 430</t>
  </si>
  <si>
    <t>E0431</t>
  </si>
  <si>
    <t>Employee 431</t>
  </si>
  <si>
    <t>E0432</t>
  </si>
  <si>
    <t>Employee 432</t>
  </si>
  <si>
    <t>E0433</t>
  </si>
  <si>
    <t>Employee 433</t>
  </si>
  <si>
    <t>E0434</t>
  </si>
  <si>
    <t>Employee 434</t>
  </si>
  <si>
    <t>E0435</t>
  </si>
  <si>
    <t>Employee 435</t>
  </si>
  <si>
    <t>E0436</t>
  </si>
  <si>
    <t>Employee 436</t>
  </si>
  <si>
    <t>E0437</t>
  </si>
  <si>
    <t>Employee 437</t>
  </si>
  <si>
    <t>E0438</t>
  </si>
  <si>
    <t>Employee 438</t>
  </si>
  <si>
    <t>E0439</t>
  </si>
  <si>
    <t>Employee 439</t>
  </si>
  <si>
    <t>E0440</t>
  </si>
  <si>
    <t>Employee 440</t>
  </si>
  <si>
    <t>E0441</t>
  </si>
  <si>
    <t>Employee 441</t>
  </si>
  <si>
    <t>E0442</t>
  </si>
  <si>
    <t>Employee 442</t>
  </si>
  <si>
    <t>E0443</t>
  </si>
  <si>
    <t>Employee 443</t>
  </si>
  <si>
    <t>E0444</t>
  </si>
  <si>
    <t>Employee 444</t>
  </si>
  <si>
    <t>E0445</t>
  </si>
  <si>
    <t>Employee 445</t>
  </si>
  <si>
    <t>E0446</t>
  </si>
  <si>
    <t>Employee 446</t>
  </si>
  <si>
    <t>E0447</t>
  </si>
  <si>
    <t>Employee 447</t>
  </si>
  <si>
    <t>E0448</t>
  </si>
  <si>
    <t>Employee 448</t>
  </si>
  <si>
    <t>E0449</t>
  </si>
  <si>
    <t>Employee 449</t>
  </si>
  <si>
    <t>E0450</t>
  </si>
  <si>
    <t>Employee 450</t>
  </si>
  <si>
    <t>E0451</t>
  </si>
  <si>
    <t>Employee 451</t>
  </si>
  <si>
    <t>E0452</t>
  </si>
  <si>
    <t>Employee 452</t>
  </si>
  <si>
    <t>E0453</t>
  </si>
  <si>
    <t>Employee 453</t>
  </si>
  <si>
    <t>E0454</t>
  </si>
  <si>
    <t>Employee 454</t>
  </si>
  <si>
    <t>E0455</t>
  </si>
  <si>
    <t>Employee 455</t>
  </si>
  <si>
    <t>E0456</t>
  </si>
  <si>
    <t>Employee 456</t>
  </si>
  <si>
    <t>E0457</t>
  </si>
  <si>
    <t>Employee 457</t>
  </si>
  <si>
    <t>E0458</t>
  </si>
  <si>
    <t>Employee 458</t>
  </si>
  <si>
    <t>E0459</t>
  </si>
  <si>
    <t>Employee 459</t>
  </si>
  <si>
    <t>E0460</t>
  </si>
  <si>
    <t>Employee 460</t>
  </si>
  <si>
    <t>E0461</t>
  </si>
  <si>
    <t>Employee 461</t>
  </si>
  <si>
    <t>E0462</t>
  </si>
  <si>
    <t>Employee 462</t>
  </si>
  <si>
    <t>E0463</t>
  </si>
  <si>
    <t>Employee 463</t>
  </si>
  <si>
    <t>E0464</t>
  </si>
  <si>
    <t>Employee 464</t>
  </si>
  <si>
    <t>E0465</t>
  </si>
  <si>
    <t>Employee 465</t>
  </si>
  <si>
    <t>E0466</t>
  </si>
  <si>
    <t>Employee 466</t>
  </si>
  <si>
    <t>E0467</t>
  </si>
  <si>
    <t>Employee 467</t>
  </si>
  <si>
    <t>E0468</t>
  </si>
  <si>
    <t>Employee 468</t>
  </si>
  <si>
    <t>E0469</t>
  </si>
  <si>
    <t>Employee 469</t>
  </si>
  <si>
    <t>E0470</t>
  </si>
  <si>
    <t>Employee 470</t>
  </si>
  <si>
    <t>E0471</t>
  </si>
  <si>
    <t>Employee 471</t>
  </si>
  <si>
    <t>E0472</t>
  </si>
  <si>
    <t>Employee 472</t>
  </si>
  <si>
    <t>E0473</t>
  </si>
  <si>
    <t>Employee 473</t>
  </si>
  <si>
    <t>E0474</t>
  </si>
  <si>
    <t>Employee 474</t>
  </si>
  <si>
    <t>E0475</t>
  </si>
  <si>
    <t>Employee 475</t>
  </si>
  <si>
    <t>E0476</t>
  </si>
  <si>
    <t>Employee 476</t>
  </si>
  <si>
    <t>E0477</t>
  </si>
  <si>
    <t>Employee 477</t>
  </si>
  <si>
    <t>E0478</t>
  </si>
  <si>
    <t>Employee 478</t>
  </si>
  <si>
    <t>E0479</t>
  </si>
  <si>
    <t>Employee 479</t>
  </si>
  <si>
    <t>E0480</t>
  </si>
  <si>
    <t>Employee 480</t>
  </si>
  <si>
    <t>E0481</t>
  </si>
  <si>
    <t>Employee 481</t>
  </si>
  <si>
    <t>E0482</t>
  </si>
  <si>
    <t>Employee 482</t>
  </si>
  <si>
    <t>E0483</t>
  </si>
  <si>
    <t>Employee 483</t>
  </si>
  <si>
    <t>E0484</t>
  </si>
  <si>
    <t>Employee 484</t>
  </si>
  <si>
    <t>E0485</t>
  </si>
  <si>
    <t>Employee 485</t>
  </si>
  <si>
    <t>E0486</t>
  </si>
  <si>
    <t>Employee 486</t>
  </si>
  <si>
    <t>E0487</t>
  </si>
  <si>
    <t>Employee 487</t>
  </si>
  <si>
    <t>E0488</t>
  </si>
  <si>
    <t>Employee 488</t>
  </si>
  <si>
    <t>E0489</t>
  </si>
  <si>
    <t>Employee 489</t>
  </si>
  <si>
    <t>E0490</t>
  </si>
  <si>
    <t>Employee 490</t>
  </si>
  <si>
    <t>E0491</t>
  </si>
  <si>
    <t>Employee 491</t>
  </si>
  <si>
    <t>E0492</t>
  </si>
  <si>
    <t>Employee 492</t>
  </si>
  <si>
    <t>E0493</t>
  </si>
  <si>
    <t>Employee 493</t>
  </si>
  <si>
    <t>E0494</t>
  </si>
  <si>
    <t>Employee 494</t>
  </si>
  <si>
    <t>E0495</t>
  </si>
  <si>
    <t>Employee 495</t>
  </si>
  <si>
    <t>E0496</t>
  </si>
  <si>
    <t>Employee 496</t>
  </si>
  <si>
    <t>E0497</t>
  </si>
  <si>
    <t>Employee 497</t>
  </si>
  <si>
    <t>E0498</t>
  </si>
  <si>
    <t>Employee 498</t>
  </si>
  <si>
    <t>E0499</t>
  </si>
  <si>
    <t>Employee 499</t>
  </si>
  <si>
    <t>E0500</t>
  </si>
  <si>
    <t>Employee 500</t>
  </si>
  <si>
    <t>E0501</t>
  </si>
  <si>
    <t>Employee 501</t>
  </si>
  <si>
    <t>E0502</t>
  </si>
  <si>
    <t>Employee 502</t>
  </si>
  <si>
    <t>E0503</t>
  </si>
  <si>
    <t>Employee 503</t>
  </si>
  <si>
    <t>E0504</t>
  </si>
  <si>
    <t>Employee 504</t>
  </si>
  <si>
    <t>E0505</t>
  </si>
  <si>
    <t>Employee 505</t>
  </si>
  <si>
    <t>E0506</t>
  </si>
  <si>
    <t>Employee 506</t>
  </si>
  <si>
    <t>E0507</t>
  </si>
  <si>
    <t>Employee 507</t>
  </si>
  <si>
    <t>E0508</t>
  </si>
  <si>
    <t>Employee 508</t>
  </si>
  <si>
    <t>E0509</t>
  </si>
  <si>
    <t>Employee 509</t>
  </si>
  <si>
    <t>E0510</t>
  </si>
  <si>
    <t>Employee 510</t>
  </si>
  <si>
    <t>E0511</t>
  </si>
  <si>
    <t>Employee 511</t>
  </si>
  <si>
    <t>E0512</t>
  </si>
  <si>
    <t>Employee 512</t>
  </si>
  <si>
    <t>E0513</t>
  </si>
  <si>
    <t>Employee 513</t>
  </si>
  <si>
    <t>E0514</t>
  </si>
  <si>
    <t>Employee 514</t>
  </si>
  <si>
    <t>E0515</t>
  </si>
  <si>
    <t>Employee 515</t>
  </si>
  <si>
    <t>E0516</t>
  </si>
  <si>
    <t>Employee 516</t>
  </si>
  <si>
    <t>E0517</t>
  </si>
  <si>
    <t>Employee 517</t>
  </si>
  <si>
    <t>E0518</t>
  </si>
  <si>
    <t>Employee 518</t>
  </si>
  <si>
    <t>E0519</t>
  </si>
  <si>
    <t>Employee 519</t>
  </si>
  <si>
    <t>E0520</t>
  </si>
  <si>
    <t>Employee 520</t>
  </si>
  <si>
    <t>E0521</t>
  </si>
  <si>
    <t>Employee 521</t>
  </si>
  <si>
    <t>E0522</t>
  </si>
  <si>
    <t>Employee 522</t>
  </si>
  <si>
    <t>E0523</t>
  </si>
  <si>
    <t>Employee 523</t>
  </si>
  <si>
    <t>E0524</t>
  </si>
  <si>
    <t>Employee 524</t>
  </si>
  <si>
    <t>E0525</t>
  </si>
  <si>
    <t>Employee 525</t>
  </si>
  <si>
    <t>E0526</t>
  </si>
  <si>
    <t>Employee 526</t>
  </si>
  <si>
    <t>E0527</t>
  </si>
  <si>
    <t>Employee 527</t>
  </si>
  <si>
    <t>E0528</t>
  </si>
  <si>
    <t>Employee 528</t>
  </si>
  <si>
    <t>E0529</t>
  </si>
  <si>
    <t>Employee 529</t>
  </si>
  <si>
    <t>E0530</t>
  </si>
  <si>
    <t>Employee 530</t>
  </si>
  <si>
    <t>E0531</t>
  </si>
  <si>
    <t>Employee 531</t>
  </si>
  <si>
    <t>E0532</t>
  </si>
  <si>
    <t>Employee 532</t>
  </si>
  <si>
    <t>E0533</t>
  </si>
  <si>
    <t>Employee 533</t>
  </si>
  <si>
    <t>E0534</t>
  </si>
  <si>
    <t>Employee 534</t>
  </si>
  <si>
    <t>E0535</t>
  </si>
  <si>
    <t>Employee 535</t>
  </si>
  <si>
    <t>E0536</t>
  </si>
  <si>
    <t>Employee 536</t>
  </si>
  <si>
    <t>E0537</t>
  </si>
  <si>
    <t>Employee 537</t>
  </si>
  <si>
    <t>E0538</t>
  </si>
  <si>
    <t>Employee 538</t>
  </si>
  <si>
    <t>E0539</t>
  </si>
  <si>
    <t>Employee 539</t>
  </si>
  <si>
    <t>E0540</t>
  </si>
  <si>
    <t>Employee 540</t>
  </si>
  <si>
    <t>E0541</t>
  </si>
  <si>
    <t>Employee 541</t>
  </si>
  <si>
    <t>E0542</t>
  </si>
  <si>
    <t>Employee 542</t>
  </si>
  <si>
    <t>E0543</t>
  </si>
  <si>
    <t>Employee 543</t>
  </si>
  <si>
    <t>E0544</t>
  </si>
  <si>
    <t>Employee 544</t>
  </si>
  <si>
    <t>E0545</t>
  </si>
  <si>
    <t>Employee 545</t>
  </si>
  <si>
    <t>E0546</t>
  </si>
  <si>
    <t>Employee 546</t>
  </si>
  <si>
    <t>E0547</t>
  </si>
  <si>
    <t>Employee 547</t>
  </si>
  <si>
    <t>E0548</t>
  </si>
  <si>
    <t>Employee 548</t>
  </si>
  <si>
    <t>E0549</t>
  </si>
  <si>
    <t>Employee 549</t>
  </si>
  <si>
    <t>E0550</t>
  </si>
  <si>
    <t>Employee 550</t>
  </si>
  <si>
    <t>E0551</t>
  </si>
  <si>
    <t>Employee 551</t>
  </si>
  <si>
    <t>E0552</t>
  </si>
  <si>
    <t>Employee 552</t>
  </si>
  <si>
    <t>E0553</t>
  </si>
  <si>
    <t>Employee 553</t>
  </si>
  <si>
    <t>E0554</t>
  </si>
  <si>
    <t>Employee 554</t>
  </si>
  <si>
    <t>E0555</t>
  </si>
  <si>
    <t>Employee 555</t>
  </si>
  <si>
    <t>E0556</t>
  </si>
  <si>
    <t>Employee 556</t>
  </si>
  <si>
    <t>E0557</t>
  </si>
  <si>
    <t>Employee 557</t>
  </si>
  <si>
    <t>E0558</t>
  </si>
  <si>
    <t>Employee 558</t>
  </si>
  <si>
    <t>E0559</t>
  </si>
  <si>
    <t>Employee 559</t>
  </si>
  <si>
    <t>E0560</t>
  </si>
  <si>
    <t>Employee 560</t>
  </si>
  <si>
    <t>E0561</t>
  </si>
  <si>
    <t>Employee 561</t>
  </si>
  <si>
    <t>E0562</t>
  </si>
  <si>
    <t>Employee 562</t>
  </si>
  <si>
    <t>E0563</t>
  </si>
  <si>
    <t>Employee 563</t>
  </si>
  <si>
    <t>E0564</t>
  </si>
  <si>
    <t>Employee 564</t>
  </si>
  <si>
    <t>E0565</t>
  </si>
  <si>
    <t>Employee 565</t>
  </si>
  <si>
    <t>E0566</t>
  </si>
  <si>
    <t>Employee 566</t>
  </si>
  <si>
    <t>E0567</t>
  </si>
  <si>
    <t>Employee 567</t>
  </si>
  <si>
    <t>E0568</t>
  </si>
  <si>
    <t>Employee 568</t>
  </si>
  <si>
    <t>E0569</t>
  </si>
  <si>
    <t>Employee 569</t>
  </si>
  <si>
    <t>E0570</t>
  </si>
  <si>
    <t>Employee 570</t>
  </si>
  <si>
    <t>E0571</t>
  </si>
  <si>
    <t>Employee 571</t>
  </si>
  <si>
    <t>E0572</t>
  </si>
  <si>
    <t>Employee 572</t>
  </si>
  <si>
    <t>E0573</t>
  </si>
  <si>
    <t>Employee 573</t>
  </si>
  <si>
    <t>E0574</t>
  </si>
  <si>
    <t>Employee 574</t>
  </si>
  <si>
    <t>E0575</t>
  </si>
  <si>
    <t>Employee 575</t>
  </si>
  <si>
    <t>E0576</t>
  </si>
  <si>
    <t>Employee 576</t>
  </si>
  <si>
    <t>E0577</t>
  </si>
  <si>
    <t>Employee 577</t>
  </si>
  <si>
    <t>E0578</t>
  </si>
  <si>
    <t>Employee 578</t>
  </si>
  <si>
    <t>E0579</t>
  </si>
  <si>
    <t>Employee 579</t>
  </si>
  <si>
    <t>E0580</t>
  </si>
  <si>
    <t>Employee 580</t>
  </si>
  <si>
    <t>E0581</t>
  </si>
  <si>
    <t>Employee 581</t>
  </si>
  <si>
    <t>E0582</t>
  </si>
  <si>
    <t>Employee 582</t>
  </si>
  <si>
    <t>E0583</t>
  </si>
  <si>
    <t>Employee 583</t>
  </si>
  <si>
    <t>E0584</t>
  </si>
  <si>
    <t>Employee 584</t>
  </si>
  <si>
    <t>E0585</t>
  </si>
  <si>
    <t>Employee 585</t>
  </si>
  <si>
    <t>E0586</t>
  </si>
  <si>
    <t>Employee 586</t>
  </si>
  <si>
    <t>E0587</t>
  </si>
  <si>
    <t>Employee 587</t>
  </si>
  <si>
    <t>E0588</t>
  </si>
  <si>
    <t>Employee 588</t>
  </si>
  <si>
    <t>E0589</t>
  </si>
  <si>
    <t>Employee 589</t>
  </si>
  <si>
    <t>E0590</t>
  </si>
  <si>
    <t>Employee 590</t>
  </si>
  <si>
    <t>E0591</t>
  </si>
  <si>
    <t>Employee 591</t>
  </si>
  <si>
    <t>E0592</t>
  </si>
  <si>
    <t>Employee 592</t>
  </si>
  <si>
    <t>E0593</t>
  </si>
  <si>
    <t>Employee 593</t>
  </si>
  <si>
    <t>E0594</t>
  </si>
  <si>
    <t>Employee 594</t>
  </si>
  <si>
    <t>E0595</t>
  </si>
  <si>
    <t>Employee 595</t>
  </si>
  <si>
    <t>E0596</t>
  </si>
  <si>
    <t>Employee 596</t>
  </si>
  <si>
    <t>E0597</t>
  </si>
  <si>
    <t>Employee 597</t>
  </si>
  <si>
    <t>E0598</t>
  </si>
  <si>
    <t>Employee 598</t>
  </si>
  <si>
    <t>E0599</t>
  </si>
  <si>
    <t>Employee 599</t>
  </si>
  <si>
    <t>E0600</t>
  </si>
  <si>
    <t>Employee 600</t>
  </si>
  <si>
    <t>E0601</t>
  </si>
  <si>
    <t>Employee 601</t>
  </si>
  <si>
    <t>E0602</t>
  </si>
  <si>
    <t>Employee 602</t>
  </si>
  <si>
    <t>E0603</t>
  </si>
  <si>
    <t>Employee 603</t>
  </si>
  <si>
    <t>E0604</t>
  </si>
  <si>
    <t>Employee 604</t>
  </si>
  <si>
    <t>E0605</t>
  </si>
  <si>
    <t>Employee 605</t>
  </si>
  <si>
    <t>E0606</t>
  </si>
  <si>
    <t>Employee 606</t>
  </si>
  <si>
    <t>E0607</t>
  </si>
  <si>
    <t>Employee 607</t>
  </si>
  <si>
    <t>E0608</t>
  </si>
  <si>
    <t>Employee 608</t>
  </si>
  <si>
    <t>E0609</t>
  </si>
  <si>
    <t>Employee 609</t>
  </si>
  <si>
    <t>E0610</t>
  </si>
  <si>
    <t>Employee 610</t>
  </si>
  <si>
    <t>E0611</t>
  </si>
  <si>
    <t>Employee 611</t>
  </si>
  <si>
    <t>E0612</t>
  </si>
  <si>
    <t>Employee 612</t>
  </si>
  <si>
    <t>E0613</t>
  </si>
  <si>
    <t>Employee 613</t>
  </si>
  <si>
    <t>E0614</t>
  </si>
  <si>
    <t>Employee 614</t>
  </si>
  <si>
    <t>E0615</t>
  </si>
  <si>
    <t>Employee 615</t>
  </si>
  <si>
    <t>E0616</t>
  </si>
  <si>
    <t>Employee 616</t>
  </si>
  <si>
    <t>E0617</t>
  </si>
  <si>
    <t>Employee 617</t>
  </si>
  <si>
    <t>E0618</t>
  </si>
  <si>
    <t>Employee 618</t>
  </si>
  <si>
    <t>E0619</t>
  </si>
  <si>
    <t>Employee 619</t>
  </si>
  <si>
    <t>E0620</t>
  </si>
  <si>
    <t>Employee 620</t>
  </si>
  <si>
    <t>E0621</t>
  </si>
  <si>
    <t>Employee 621</t>
  </si>
  <si>
    <t>E0622</t>
  </si>
  <si>
    <t>Employee 622</t>
  </si>
  <si>
    <t>E0623</t>
  </si>
  <si>
    <t>Employee 623</t>
  </si>
  <si>
    <t>E0624</t>
  </si>
  <si>
    <t>Employee 624</t>
  </si>
  <si>
    <t>E0625</t>
  </si>
  <si>
    <t>Employee 625</t>
  </si>
  <si>
    <t>E0626</t>
  </si>
  <si>
    <t>Employee 626</t>
  </si>
  <si>
    <t>E0627</t>
  </si>
  <si>
    <t>Employee 627</t>
  </si>
  <si>
    <t>E0628</t>
  </si>
  <si>
    <t>Employee 628</t>
  </si>
  <si>
    <t>E0629</t>
  </si>
  <si>
    <t>Employee 629</t>
  </si>
  <si>
    <t>E0630</t>
  </si>
  <si>
    <t>Employee 630</t>
  </si>
  <si>
    <t>E0631</t>
  </si>
  <si>
    <t>Employee 631</t>
  </si>
  <si>
    <t>E0632</t>
  </si>
  <si>
    <t>Employee 632</t>
  </si>
  <si>
    <t>E0633</t>
  </si>
  <si>
    <t>Employee 633</t>
  </si>
  <si>
    <t>E0634</t>
  </si>
  <si>
    <t>Employee 634</t>
  </si>
  <si>
    <t>E0635</t>
  </si>
  <si>
    <t>Employee 635</t>
  </si>
  <si>
    <t>E0636</t>
  </si>
  <si>
    <t>Employee 636</t>
  </si>
  <si>
    <t>E0637</t>
  </si>
  <si>
    <t>Employee 637</t>
  </si>
  <si>
    <t>E0638</t>
  </si>
  <si>
    <t>Employee 638</t>
  </si>
  <si>
    <t>E0639</t>
  </si>
  <si>
    <t>Employee 639</t>
  </si>
  <si>
    <t>E0640</t>
  </si>
  <si>
    <t>Employee 640</t>
  </si>
  <si>
    <t>E0641</t>
  </si>
  <si>
    <t>Employee 641</t>
  </si>
  <si>
    <t>E0642</t>
  </si>
  <si>
    <t>Employee 642</t>
  </si>
  <si>
    <t>E0643</t>
  </si>
  <si>
    <t>Employee 643</t>
  </si>
  <si>
    <t>E0644</t>
  </si>
  <si>
    <t>Employee 644</t>
  </si>
  <si>
    <t>E0645</t>
  </si>
  <si>
    <t>Employee 645</t>
  </si>
  <si>
    <t>E0646</t>
  </si>
  <si>
    <t>Employee 646</t>
  </si>
  <si>
    <t>E0647</t>
  </si>
  <si>
    <t>Employee 647</t>
  </si>
  <si>
    <t>E0648</t>
  </si>
  <si>
    <t>Employee 648</t>
  </si>
  <si>
    <t>E0649</t>
  </si>
  <si>
    <t>Employee 649</t>
  </si>
  <si>
    <t>E0650</t>
  </si>
  <si>
    <t>Employee 650</t>
  </si>
  <si>
    <t>E0651</t>
  </si>
  <si>
    <t>Employee 651</t>
  </si>
  <si>
    <t>E0652</t>
  </si>
  <si>
    <t>Employee 652</t>
  </si>
  <si>
    <t>E0653</t>
  </si>
  <si>
    <t>Employee 653</t>
  </si>
  <si>
    <t>E0654</t>
  </si>
  <si>
    <t>Employee 654</t>
  </si>
  <si>
    <t>E0655</t>
  </si>
  <si>
    <t>Employee 655</t>
  </si>
  <si>
    <t>E0656</t>
  </si>
  <si>
    <t>Employee 656</t>
  </si>
  <si>
    <t>E0657</t>
  </si>
  <si>
    <t>Employee 657</t>
  </si>
  <si>
    <t>E0658</t>
  </si>
  <si>
    <t>Employee 658</t>
  </si>
  <si>
    <t>E0659</t>
  </si>
  <si>
    <t>Employee 659</t>
  </si>
  <si>
    <t>E0660</t>
  </si>
  <si>
    <t>Employee 660</t>
  </si>
  <si>
    <t>E0661</t>
  </si>
  <si>
    <t>Employee 661</t>
  </si>
  <si>
    <t>E0662</t>
  </si>
  <si>
    <t>Employee 662</t>
  </si>
  <si>
    <t>E0663</t>
  </si>
  <si>
    <t>Employee 663</t>
  </si>
  <si>
    <t>E0664</t>
  </si>
  <si>
    <t>Employee 664</t>
  </si>
  <si>
    <t>E0665</t>
  </si>
  <si>
    <t>Employee 665</t>
  </si>
  <si>
    <t>E0666</t>
  </si>
  <si>
    <t>Employee 666</t>
  </si>
  <si>
    <t>E0667</t>
  </si>
  <si>
    <t>Employee 667</t>
  </si>
  <si>
    <t>E0668</t>
  </si>
  <si>
    <t>Employee 668</t>
  </si>
  <si>
    <t>E0669</t>
  </si>
  <si>
    <t>Employee 669</t>
  </si>
  <si>
    <t>E0670</t>
  </si>
  <si>
    <t>Employee 670</t>
  </si>
  <si>
    <t>E0671</t>
  </si>
  <si>
    <t>Employee 671</t>
  </si>
  <si>
    <t>E0672</t>
  </si>
  <si>
    <t>Employee 672</t>
  </si>
  <si>
    <t>E0673</t>
  </si>
  <si>
    <t>Employee 673</t>
  </si>
  <si>
    <t>E0674</t>
  </si>
  <si>
    <t>Employee 674</t>
  </si>
  <si>
    <t>E0675</t>
  </si>
  <si>
    <t>Employee 675</t>
  </si>
  <si>
    <t>E0676</t>
  </si>
  <si>
    <t>Employee 676</t>
  </si>
  <si>
    <t>E0677</t>
  </si>
  <si>
    <t>Employee 677</t>
  </si>
  <si>
    <t>E0678</t>
  </si>
  <si>
    <t>Employee 678</t>
  </si>
  <si>
    <t>E0679</t>
  </si>
  <si>
    <t>Employee 679</t>
  </si>
  <si>
    <t>E0680</t>
  </si>
  <si>
    <t>Employee 680</t>
  </si>
  <si>
    <t>E0681</t>
  </si>
  <si>
    <t>Employee 681</t>
  </si>
  <si>
    <t>E0682</t>
  </si>
  <si>
    <t>Employee 682</t>
  </si>
  <si>
    <t>E0683</t>
  </si>
  <si>
    <t>Employee 683</t>
  </si>
  <si>
    <t>E0684</t>
  </si>
  <si>
    <t>Employee 684</t>
  </si>
  <si>
    <t>E0685</t>
  </si>
  <si>
    <t>Employee 685</t>
  </si>
  <si>
    <t>E0686</t>
  </si>
  <si>
    <t>Employee 686</t>
  </si>
  <si>
    <t>E0687</t>
  </si>
  <si>
    <t>Employee 687</t>
  </si>
  <si>
    <t>E0688</t>
  </si>
  <si>
    <t>Employee 688</t>
  </si>
  <si>
    <t>E0689</t>
  </si>
  <si>
    <t>Employee 689</t>
  </si>
  <si>
    <t>E0690</t>
  </si>
  <si>
    <t>Employee 690</t>
  </si>
  <si>
    <t>E0691</t>
  </si>
  <si>
    <t>Employee 691</t>
  </si>
  <si>
    <t>E0692</t>
  </si>
  <si>
    <t>Employee 692</t>
  </si>
  <si>
    <t>E0693</t>
  </si>
  <si>
    <t>Employee 693</t>
  </si>
  <si>
    <t>E0694</t>
  </si>
  <si>
    <t>Employee 694</t>
  </si>
  <si>
    <t>E0695</t>
  </si>
  <si>
    <t>Employee 695</t>
  </si>
  <si>
    <t>E0696</t>
  </si>
  <si>
    <t>Employee 696</t>
  </si>
  <si>
    <t>E0697</t>
  </si>
  <si>
    <t>Employee 697</t>
  </si>
  <si>
    <t>E0698</t>
  </si>
  <si>
    <t>Employee 698</t>
  </si>
  <si>
    <t>E0699</t>
  </si>
  <si>
    <t>Employee 699</t>
  </si>
  <si>
    <t>E0700</t>
  </si>
  <si>
    <t>Employee 700</t>
  </si>
  <si>
    <t>E0701</t>
  </si>
  <si>
    <t>Employee 701</t>
  </si>
  <si>
    <t>E0702</t>
  </si>
  <si>
    <t>Employee 702</t>
  </si>
  <si>
    <t>E0703</t>
  </si>
  <si>
    <t>Employee 703</t>
  </si>
  <si>
    <t>E0704</t>
  </si>
  <si>
    <t>Employee 704</t>
  </si>
  <si>
    <t>E0705</t>
  </si>
  <si>
    <t>Employee 705</t>
  </si>
  <si>
    <t>E0706</t>
  </si>
  <si>
    <t>Employee 706</t>
  </si>
  <si>
    <t>E0707</t>
  </si>
  <si>
    <t>Employee 707</t>
  </si>
  <si>
    <t>E0708</t>
  </si>
  <si>
    <t>Employee 708</t>
  </si>
  <si>
    <t>E0709</t>
  </si>
  <si>
    <t>Employee 709</t>
  </si>
  <si>
    <t>E0710</t>
  </si>
  <si>
    <t>Employee 710</t>
  </si>
  <si>
    <t>E0711</t>
  </si>
  <si>
    <t>Employee 711</t>
  </si>
  <si>
    <t>E0712</t>
  </si>
  <si>
    <t>Employee 712</t>
  </si>
  <si>
    <t>E0713</t>
  </si>
  <si>
    <t>Employee 713</t>
  </si>
  <si>
    <t>E0714</t>
  </si>
  <si>
    <t>Employee 714</t>
  </si>
  <si>
    <t>E0715</t>
  </si>
  <si>
    <t>Employee 715</t>
  </si>
  <si>
    <t>E0716</t>
  </si>
  <si>
    <t>Employee 716</t>
  </si>
  <si>
    <t>E0717</t>
  </si>
  <si>
    <t>Employee 717</t>
  </si>
  <si>
    <t>E0718</t>
  </si>
  <si>
    <t>Employee 718</t>
  </si>
  <si>
    <t>E0719</t>
  </si>
  <si>
    <t>Employee 719</t>
  </si>
  <si>
    <t>E0720</t>
  </si>
  <si>
    <t>Employee 720</t>
  </si>
  <si>
    <t>E0721</t>
  </si>
  <si>
    <t>Employee 721</t>
  </si>
  <si>
    <t>E0722</t>
  </si>
  <si>
    <t>Employee 722</t>
  </si>
  <si>
    <t>E0723</t>
  </si>
  <si>
    <t>Employee 723</t>
  </si>
  <si>
    <t>E0724</t>
  </si>
  <si>
    <t>Employee 724</t>
  </si>
  <si>
    <t>E0725</t>
  </si>
  <si>
    <t>Employee 725</t>
  </si>
  <si>
    <t>E0726</t>
  </si>
  <si>
    <t>Employee 726</t>
  </si>
  <si>
    <t>E0727</t>
  </si>
  <si>
    <t>Employee 727</t>
  </si>
  <si>
    <t>E0728</t>
  </si>
  <si>
    <t>Employee 728</t>
  </si>
  <si>
    <t>E0729</t>
  </si>
  <si>
    <t>Employee 729</t>
  </si>
  <si>
    <t>E0730</t>
  </si>
  <si>
    <t>Employee 730</t>
  </si>
  <si>
    <t>E0731</t>
  </si>
  <si>
    <t>Employee 731</t>
  </si>
  <si>
    <t>E0732</t>
  </si>
  <si>
    <t>Employee 732</t>
  </si>
  <si>
    <t>E0733</t>
  </si>
  <si>
    <t>Employee 733</t>
  </si>
  <si>
    <t>E0734</t>
  </si>
  <si>
    <t>Employee 734</t>
  </si>
  <si>
    <t>E0735</t>
  </si>
  <si>
    <t>Employee 735</t>
  </si>
  <si>
    <t>E0736</t>
  </si>
  <si>
    <t>Employee 736</t>
  </si>
  <si>
    <t>E0737</t>
  </si>
  <si>
    <t>Employee 737</t>
  </si>
  <si>
    <t>E0738</t>
  </si>
  <si>
    <t>Employee 738</t>
  </si>
  <si>
    <t>E0739</t>
  </si>
  <si>
    <t>Employee 739</t>
  </si>
  <si>
    <t>E0740</t>
  </si>
  <si>
    <t>Employee 740</t>
  </si>
  <si>
    <t>E0741</t>
  </si>
  <si>
    <t>Employee 741</t>
  </si>
  <si>
    <t>E0742</t>
  </si>
  <si>
    <t>Employee 742</t>
  </si>
  <si>
    <t>E0743</t>
  </si>
  <si>
    <t>Employee 743</t>
  </si>
  <si>
    <t>E0744</t>
  </si>
  <si>
    <t>Employee 744</t>
  </si>
  <si>
    <t>E0745</t>
  </si>
  <si>
    <t>Employee 745</t>
  </si>
  <si>
    <t>E0746</t>
  </si>
  <si>
    <t>Employee 746</t>
  </si>
  <si>
    <t>E0747</t>
  </si>
  <si>
    <t>Employee 747</t>
  </si>
  <si>
    <t>E0748</t>
  </si>
  <si>
    <t>Employee 748</t>
  </si>
  <si>
    <t>E0749</t>
  </si>
  <si>
    <t>Employee 749</t>
  </si>
  <si>
    <t>E0750</t>
  </si>
  <si>
    <t>Employee 750</t>
  </si>
  <si>
    <t>E0751</t>
  </si>
  <si>
    <t>Employee 751</t>
  </si>
  <si>
    <t>E0752</t>
  </si>
  <si>
    <t>Employee 752</t>
  </si>
  <si>
    <t>E0753</t>
  </si>
  <si>
    <t>Employee 753</t>
  </si>
  <si>
    <t>E0754</t>
  </si>
  <si>
    <t>Employee 754</t>
  </si>
  <si>
    <t>E0755</t>
  </si>
  <si>
    <t>Employee 755</t>
  </si>
  <si>
    <t>E0756</t>
  </si>
  <si>
    <t>Employee 756</t>
  </si>
  <si>
    <t>E0757</t>
  </si>
  <si>
    <t>Employee 757</t>
  </si>
  <si>
    <t>E0758</t>
  </si>
  <si>
    <t>Employee 758</t>
  </si>
  <si>
    <t>E0759</t>
  </si>
  <si>
    <t>Employee 759</t>
  </si>
  <si>
    <t>E0760</t>
  </si>
  <si>
    <t>Employee 760</t>
  </si>
  <si>
    <t>E0761</t>
  </si>
  <si>
    <t>Employee 761</t>
  </si>
  <si>
    <t>E0762</t>
  </si>
  <si>
    <t>Employee 762</t>
  </si>
  <si>
    <t>E0763</t>
  </si>
  <si>
    <t>Employee 763</t>
  </si>
  <si>
    <t>E0764</t>
  </si>
  <si>
    <t>Employee 764</t>
  </si>
  <si>
    <t>E0765</t>
  </si>
  <si>
    <t>Employee 765</t>
  </si>
  <si>
    <t>E0766</t>
  </si>
  <si>
    <t>Employee 766</t>
  </si>
  <si>
    <t>E0767</t>
  </si>
  <si>
    <t>Employee 767</t>
  </si>
  <si>
    <t>E0768</t>
  </si>
  <si>
    <t>Employee 768</t>
  </si>
  <si>
    <t>E0769</t>
  </si>
  <si>
    <t>Employee 769</t>
  </si>
  <si>
    <t>E0770</t>
  </si>
  <si>
    <t>Employee 770</t>
  </si>
  <si>
    <t>E0771</t>
  </si>
  <si>
    <t>Employee 771</t>
  </si>
  <si>
    <t>E0772</t>
  </si>
  <si>
    <t>Employee 772</t>
  </si>
  <si>
    <t>E0773</t>
  </si>
  <si>
    <t>Employee 773</t>
  </si>
  <si>
    <t>E0774</t>
  </si>
  <si>
    <t>Employee 774</t>
  </si>
  <si>
    <t>E0775</t>
  </si>
  <si>
    <t>Employee 775</t>
  </si>
  <si>
    <t>E0776</t>
  </si>
  <si>
    <t>Employee 776</t>
  </si>
  <si>
    <t>E0777</t>
  </si>
  <si>
    <t>Employee 777</t>
  </si>
  <si>
    <t>E0778</t>
  </si>
  <si>
    <t>Employee 778</t>
  </si>
  <si>
    <t>E0779</t>
  </si>
  <si>
    <t>Employee 779</t>
  </si>
  <si>
    <t>E0780</t>
  </si>
  <si>
    <t>Employee 780</t>
  </si>
  <si>
    <t>E0781</t>
  </si>
  <si>
    <t>Employee 781</t>
  </si>
  <si>
    <t>E0782</t>
  </si>
  <si>
    <t>Employee 782</t>
  </si>
  <si>
    <t>E0783</t>
  </si>
  <si>
    <t>Employee 783</t>
  </si>
  <si>
    <t>E0784</t>
  </si>
  <si>
    <t>Employee 784</t>
  </si>
  <si>
    <t>E0785</t>
  </si>
  <si>
    <t>Employee 785</t>
  </si>
  <si>
    <t>E0786</t>
  </si>
  <si>
    <t>Employee 786</t>
  </si>
  <si>
    <t>E0787</t>
  </si>
  <si>
    <t>Employee 787</t>
  </si>
  <si>
    <t>E0788</t>
  </si>
  <si>
    <t>Employee 788</t>
  </si>
  <si>
    <t>E0789</t>
  </si>
  <si>
    <t>Employee 789</t>
  </si>
  <si>
    <t>E0790</t>
  </si>
  <si>
    <t>Employee 790</t>
  </si>
  <si>
    <t>E0791</t>
  </si>
  <si>
    <t>Employee 791</t>
  </si>
  <si>
    <t>E0792</t>
  </si>
  <si>
    <t>Employee 792</t>
  </si>
  <si>
    <t>E0793</t>
  </si>
  <si>
    <t>Employee 793</t>
  </si>
  <si>
    <t>E0794</t>
  </si>
  <si>
    <t>Employee 794</t>
  </si>
  <si>
    <t>E0795</t>
  </si>
  <si>
    <t>Employee 795</t>
  </si>
  <si>
    <t>E0796</t>
  </si>
  <si>
    <t>Employee 796</t>
  </si>
  <si>
    <t>E0797</t>
  </si>
  <si>
    <t>Employee 797</t>
  </si>
  <si>
    <t>E0798</t>
  </si>
  <si>
    <t>Employee 798</t>
  </si>
  <si>
    <t>E0799</t>
  </si>
  <si>
    <t>Employee 799</t>
  </si>
  <si>
    <t>E0800</t>
  </si>
  <si>
    <t>Employee 800</t>
  </si>
  <si>
    <t>E0801</t>
  </si>
  <si>
    <t>Employee 801</t>
  </si>
  <si>
    <t>E0802</t>
  </si>
  <si>
    <t>Employee 802</t>
  </si>
  <si>
    <t>E0803</t>
  </si>
  <si>
    <t>Employee 803</t>
  </si>
  <si>
    <t>E0804</t>
  </si>
  <si>
    <t>Employee 804</t>
  </si>
  <si>
    <t>E0805</t>
  </si>
  <si>
    <t>Employee 805</t>
  </si>
  <si>
    <t>E0806</t>
  </si>
  <si>
    <t>Employee 806</t>
  </si>
  <si>
    <t>E0807</t>
  </si>
  <si>
    <t>Employee 807</t>
  </si>
  <si>
    <t>E0808</t>
  </si>
  <si>
    <t>Employee 808</t>
  </si>
  <si>
    <t>E0809</t>
  </si>
  <si>
    <t>Employee 809</t>
  </si>
  <si>
    <t>E0810</t>
  </si>
  <si>
    <t>Employee 810</t>
  </si>
  <si>
    <t>E0811</t>
  </si>
  <si>
    <t>Employee 811</t>
  </si>
  <si>
    <t>E0812</t>
  </si>
  <si>
    <t>Employee 812</t>
  </si>
  <si>
    <t>E0813</t>
  </si>
  <si>
    <t>Employee 813</t>
  </si>
  <si>
    <t>E0814</t>
  </si>
  <si>
    <t>Employee 814</t>
  </si>
  <si>
    <t>E0815</t>
  </si>
  <si>
    <t>Employee 815</t>
  </si>
  <si>
    <t>E0816</t>
  </si>
  <si>
    <t>Employee 816</t>
  </si>
  <si>
    <t>E0817</t>
  </si>
  <si>
    <t>Employee 817</t>
  </si>
  <si>
    <t>E0818</t>
  </si>
  <si>
    <t>Employee 818</t>
  </si>
  <si>
    <t>E0819</t>
  </si>
  <si>
    <t>Employee 819</t>
  </si>
  <si>
    <t>E0820</t>
  </si>
  <si>
    <t>Employee 820</t>
  </si>
  <si>
    <t>E0821</t>
  </si>
  <si>
    <t>Employee 821</t>
  </si>
  <si>
    <t>E0822</t>
  </si>
  <si>
    <t>Employee 822</t>
  </si>
  <si>
    <t>E0823</t>
  </si>
  <si>
    <t>Employee 823</t>
  </si>
  <si>
    <t>E0824</t>
  </si>
  <si>
    <t>Employee 824</t>
  </si>
  <si>
    <t>E0825</t>
  </si>
  <si>
    <t>Employee 825</t>
  </si>
  <si>
    <t>E0826</t>
  </si>
  <si>
    <t>Employee 826</t>
  </si>
  <si>
    <t>E0827</t>
  </si>
  <si>
    <t>Employee 827</t>
  </si>
  <si>
    <t>E0828</t>
  </si>
  <si>
    <t>Employee 828</t>
  </si>
  <si>
    <t>E0829</t>
  </si>
  <si>
    <t>Employee 829</t>
  </si>
  <si>
    <t>E0830</t>
  </si>
  <si>
    <t>Employee 830</t>
  </si>
  <si>
    <t>E0831</t>
  </si>
  <si>
    <t>Employee 831</t>
  </si>
  <si>
    <t>E0832</t>
  </si>
  <si>
    <t>Employee 832</t>
  </si>
  <si>
    <t>E0833</t>
  </si>
  <si>
    <t>Employee 833</t>
  </si>
  <si>
    <t>E0834</t>
  </si>
  <si>
    <t>Employee 834</t>
  </si>
  <si>
    <t>E0835</t>
  </si>
  <si>
    <t>Employee 835</t>
  </si>
  <si>
    <t>E0836</t>
  </si>
  <si>
    <t>Employee 836</t>
  </si>
  <si>
    <t>E0837</t>
  </si>
  <si>
    <t>Employee 837</t>
  </si>
  <si>
    <t>E0838</t>
  </si>
  <si>
    <t>Employee 838</t>
  </si>
  <si>
    <t>E0839</t>
  </si>
  <si>
    <t>Employee 839</t>
  </si>
  <si>
    <t>E0840</t>
  </si>
  <si>
    <t>Employee 840</t>
  </si>
  <si>
    <t>E0841</t>
  </si>
  <si>
    <t>Employee 841</t>
  </si>
  <si>
    <t>E0842</t>
  </si>
  <si>
    <t>Employee 842</t>
  </si>
  <si>
    <t>E0843</t>
  </si>
  <si>
    <t>Employee 843</t>
  </si>
  <si>
    <t>E0844</t>
  </si>
  <si>
    <t>Employee 844</t>
  </si>
  <si>
    <t>E0845</t>
  </si>
  <si>
    <t>Employee 845</t>
  </si>
  <si>
    <t>E0846</t>
  </si>
  <si>
    <t>Employee 846</t>
  </si>
  <si>
    <t>E0847</t>
  </si>
  <si>
    <t>Employee 847</t>
  </si>
  <si>
    <t>E0848</t>
  </si>
  <si>
    <t>Employee 848</t>
  </si>
  <si>
    <t>E0849</t>
  </si>
  <si>
    <t>Employee 849</t>
  </si>
  <si>
    <t>E0850</t>
  </si>
  <si>
    <t>Employee 850</t>
  </si>
  <si>
    <t>E0851</t>
  </si>
  <si>
    <t>Employee 851</t>
  </si>
  <si>
    <t>E0852</t>
  </si>
  <si>
    <t>Employee 852</t>
  </si>
  <si>
    <t>E0853</t>
  </si>
  <si>
    <t>Employee 853</t>
  </si>
  <si>
    <t>E0854</t>
  </si>
  <si>
    <t>Employee 854</t>
  </si>
  <si>
    <t>E0855</t>
  </si>
  <si>
    <t>Employee 855</t>
  </si>
  <si>
    <t>E0856</t>
  </si>
  <si>
    <t>Employee 856</t>
  </si>
  <si>
    <t>E0857</t>
  </si>
  <si>
    <t>Employee 857</t>
  </si>
  <si>
    <t>E0858</t>
  </si>
  <si>
    <t>Employee 858</t>
  </si>
  <si>
    <t>E0859</t>
  </si>
  <si>
    <t>Employee 859</t>
  </si>
  <si>
    <t>E0860</t>
  </si>
  <si>
    <t>Employee 860</t>
  </si>
  <si>
    <t>E0861</t>
  </si>
  <si>
    <t>Employee 861</t>
  </si>
  <si>
    <t>E0862</t>
  </si>
  <si>
    <t>Employee 862</t>
  </si>
  <si>
    <t>E0863</t>
  </si>
  <si>
    <t>Employee 863</t>
  </si>
  <si>
    <t>E0864</t>
  </si>
  <si>
    <t>Employee 864</t>
  </si>
  <si>
    <t>E0865</t>
  </si>
  <si>
    <t>Employee 865</t>
  </si>
  <si>
    <t>E0866</t>
  </si>
  <si>
    <t>Employee 866</t>
  </si>
  <si>
    <t>E0867</t>
  </si>
  <si>
    <t>Employee 867</t>
  </si>
  <si>
    <t>E0868</t>
  </si>
  <si>
    <t>Employee 868</t>
  </si>
  <si>
    <t>E0869</t>
  </si>
  <si>
    <t>Employee 869</t>
  </si>
  <si>
    <t>E0870</t>
  </si>
  <si>
    <t>Employee 870</t>
  </si>
  <si>
    <t>E0871</t>
  </si>
  <si>
    <t>Employee 871</t>
  </si>
  <si>
    <t>E0872</t>
  </si>
  <si>
    <t>Employee 872</t>
  </si>
  <si>
    <t>E0873</t>
  </si>
  <si>
    <t>Employee 873</t>
  </si>
  <si>
    <t>E0874</t>
  </si>
  <si>
    <t>Employee 874</t>
  </si>
  <si>
    <t>E0875</t>
  </si>
  <si>
    <t>Employee 875</t>
  </si>
  <si>
    <t>E0876</t>
  </si>
  <si>
    <t>Employee 876</t>
  </si>
  <si>
    <t>E0877</t>
  </si>
  <si>
    <t>Employee 877</t>
  </si>
  <si>
    <t>E0878</t>
  </si>
  <si>
    <t>Employee 878</t>
  </si>
  <si>
    <t>E0879</t>
  </si>
  <si>
    <t>Employee 879</t>
  </si>
  <si>
    <t>E0880</t>
  </si>
  <si>
    <t>Employee 880</t>
  </si>
  <si>
    <t>E0881</t>
  </si>
  <si>
    <t>Employee 881</t>
  </si>
  <si>
    <t>E0882</t>
  </si>
  <si>
    <t>Employee 882</t>
  </si>
  <si>
    <t>E0883</t>
  </si>
  <si>
    <t>Employee 883</t>
  </si>
  <si>
    <t>E0884</t>
  </si>
  <si>
    <t>Employee 884</t>
  </si>
  <si>
    <t>E0885</t>
  </si>
  <si>
    <t>Employee 885</t>
  </si>
  <si>
    <t>E0886</t>
  </si>
  <si>
    <t>Employee 886</t>
  </si>
  <si>
    <t>E0887</t>
  </si>
  <si>
    <t>Employee 887</t>
  </si>
  <si>
    <t>E0888</t>
  </si>
  <si>
    <t>Employee 888</t>
  </si>
  <si>
    <t>E0889</t>
  </si>
  <si>
    <t>Employee 889</t>
  </si>
  <si>
    <t>E0890</t>
  </si>
  <si>
    <t>Employee 890</t>
  </si>
  <si>
    <t>E0891</t>
  </si>
  <si>
    <t>Employee 891</t>
  </si>
  <si>
    <t>E0892</t>
  </si>
  <si>
    <t>Employee 892</t>
  </si>
  <si>
    <t>E0893</t>
  </si>
  <si>
    <t>Employee 893</t>
  </si>
  <si>
    <t>E0894</t>
  </si>
  <si>
    <t>Employee 894</t>
  </si>
  <si>
    <t>E0895</t>
  </si>
  <si>
    <t>Employee 895</t>
  </si>
  <si>
    <t>E0896</t>
  </si>
  <si>
    <t>Employee 896</t>
  </si>
  <si>
    <t>E0897</t>
  </si>
  <si>
    <t>Employee 897</t>
  </si>
  <si>
    <t>E0898</t>
  </si>
  <si>
    <t>Employee 898</t>
  </si>
  <si>
    <t>E0899</t>
  </si>
  <si>
    <t>Employee 899</t>
  </si>
  <si>
    <t>E0900</t>
  </si>
  <si>
    <t>Employee 900</t>
  </si>
  <si>
    <t>E0901</t>
  </si>
  <si>
    <t>Employee 901</t>
  </si>
  <si>
    <t>E0902</t>
  </si>
  <si>
    <t>Employee 902</t>
  </si>
  <si>
    <t>E0903</t>
  </si>
  <si>
    <t>Employee 903</t>
  </si>
  <si>
    <t>E0904</t>
  </si>
  <si>
    <t>Employee 904</t>
  </si>
  <si>
    <t>E0905</t>
  </si>
  <si>
    <t>Employee 905</t>
  </si>
  <si>
    <t>E0906</t>
  </si>
  <si>
    <t>Employee 906</t>
  </si>
  <si>
    <t>E0907</t>
  </si>
  <si>
    <t>Employee 907</t>
  </si>
  <si>
    <t>E0908</t>
  </si>
  <si>
    <t>Employee 908</t>
  </si>
  <si>
    <t>E0909</t>
  </si>
  <si>
    <t>Employee 909</t>
  </si>
  <si>
    <t>E0910</t>
  </si>
  <si>
    <t>Employee 910</t>
  </si>
  <si>
    <t>E0911</t>
  </si>
  <si>
    <t>Employee 911</t>
  </si>
  <si>
    <t>E0912</t>
  </si>
  <si>
    <t>Employee 912</t>
  </si>
  <si>
    <t>E0913</t>
  </si>
  <si>
    <t>Employee 913</t>
  </si>
  <si>
    <t>E0914</t>
  </si>
  <si>
    <t>Employee 914</t>
  </si>
  <si>
    <t>E0915</t>
  </si>
  <si>
    <t>Employee 915</t>
  </si>
  <si>
    <t>E0916</t>
  </si>
  <si>
    <t>Employee 916</t>
  </si>
  <si>
    <t>E0917</t>
  </si>
  <si>
    <t>Employee 917</t>
  </si>
  <si>
    <t>E0918</t>
  </si>
  <si>
    <t>Employee 918</t>
  </si>
  <si>
    <t>E0919</t>
  </si>
  <si>
    <t>Employee 919</t>
  </si>
  <si>
    <t>E0920</t>
  </si>
  <si>
    <t>Employee 920</t>
  </si>
  <si>
    <t>E0921</t>
  </si>
  <si>
    <t>Employee 921</t>
  </si>
  <si>
    <t>E0922</t>
  </si>
  <si>
    <t>Employee 922</t>
  </si>
  <si>
    <t>E0923</t>
  </si>
  <si>
    <t>Employee 923</t>
  </si>
  <si>
    <t>E0924</t>
  </si>
  <si>
    <t>Employee 924</t>
  </si>
  <si>
    <t>E0925</t>
  </si>
  <si>
    <t>Employee 925</t>
  </si>
  <si>
    <t>E0926</t>
  </si>
  <si>
    <t>Employee 926</t>
  </si>
  <si>
    <t>E0927</t>
  </si>
  <si>
    <t>Employee 927</t>
  </si>
  <si>
    <t>E0928</t>
  </si>
  <si>
    <t>Employee 928</t>
  </si>
  <si>
    <t>E0929</t>
  </si>
  <si>
    <t>Employee 929</t>
  </si>
  <si>
    <t>E0930</t>
  </si>
  <si>
    <t>Employee 930</t>
  </si>
  <si>
    <t>E0931</t>
  </si>
  <si>
    <t>Employee 931</t>
  </si>
  <si>
    <t>E0932</t>
  </si>
  <si>
    <t>Employee 932</t>
  </si>
  <si>
    <t>E0933</t>
  </si>
  <si>
    <t>Employee 933</t>
  </si>
  <si>
    <t>E0934</t>
  </si>
  <si>
    <t>Employee 934</t>
  </si>
  <si>
    <t>E0935</t>
  </si>
  <si>
    <t>Employee 935</t>
  </si>
  <si>
    <t>E0936</t>
  </si>
  <si>
    <t>Employee 936</t>
  </si>
  <si>
    <t>E0937</t>
  </si>
  <si>
    <t>Employee 937</t>
  </si>
  <si>
    <t>E0938</t>
  </si>
  <si>
    <t>Employee 938</t>
  </si>
  <si>
    <t>E0939</t>
  </si>
  <si>
    <t>Employee 939</t>
  </si>
  <si>
    <t>E0940</t>
  </si>
  <si>
    <t>Employee 940</t>
  </si>
  <si>
    <t>E0941</t>
  </si>
  <si>
    <t>Employee 941</t>
  </si>
  <si>
    <t>E0942</t>
  </si>
  <si>
    <t>Employee 942</t>
  </si>
  <si>
    <t>E0943</t>
  </si>
  <si>
    <t>Employee 943</t>
  </si>
  <si>
    <t>E0944</t>
  </si>
  <si>
    <t>Employee 944</t>
  </si>
  <si>
    <t>E0945</t>
  </si>
  <si>
    <t>Employee 945</t>
  </si>
  <si>
    <t>E0946</t>
  </si>
  <si>
    <t>Employee 946</t>
  </si>
  <si>
    <t>E0947</t>
  </si>
  <si>
    <t>Employee 947</t>
  </si>
  <si>
    <t>E0948</t>
  </si>
  <si>
    <t>Employee 948</t>
  </si>
  <si>
    <t>E0949</t>
  </si>
  <si>
    <t>Employee 949</t>
  </si>
  <si>
    <t>E0950</t>
  </si>
  <si>
    <t>Employee 950</t>
  </si>
  <si>
    <t>E0951</t>
  </si>
  <si>
    <t>Employee 951</t>
  </si>
  <si>
    <t>E0952</t>
  </si>
  <si>
    <t>Employee 952</t>
  </si>
  <si>
    <t>E0953</t>
  </si>
  <si>
    <t>Employee 953</t>
  </si>
  <si>
    <t>E0954</t>
  </si>
  <si>
    <t>Employee 954</t>
  </si>
  <si>
    <t>E0955</t>
  </si>
  <si>
    <t>Employee 955</t>
  </si>
  <si>
    <t>E0956</t>
  </si>
  <si>
    <t>Employee 956</t>
  </si>
  <si>
    <t>E0957</t>
  </si>
  <si>
    <t>Employee 957</t>
  </si>
  <si>
    <t>E0958</t>
  </si>
  <si>
    <t>Employee 958</t>
  </si>
  <si>
    <t>E0959</t>
  </si>
  <si>
    <t>Employee 959</t>
  </si>
  <si>
    <t>E0960</t>
  </si>
  <si>
    <t>Employee 960</t>
  </si>
  <si>
    <t>E0961</t>
  </si>
  <si>
    <t>Employee 961</t>
  </si>
  <si>
    <t>E0962</t>
  </si>
  <si>
    <t>Employee 962</t>
  </si>
  <si>
    <t>E0963</t>
  </si>
  <si>
    <t>Employee 963</t>
  </si>
  <si>
    <t>E0964</t>
  </si>
  <si>
    <t>Employee 964</t>
  </si>
  <si>
    <t>E0965</t>
  </si>
  <si>
    <t>Employee 965</t>
  </si>
  <si>
    <t>E0966</t>
  </si>
  <si>
    <t>Employee 966</t>
  </si>
  <si>
    <t>E0967</t>
  </si>
  <si>
    <t>Employee 967</t>
  </si>
  <si>
    <t>E0968</t>
  </si>
  <si>
    <t>Employee 968</t>
  </si>
  <si>
    <t>E0969</t>
  </si>
  <si>
    <t>Employee 969</t>
  </si>
  <si>
    <t>E0970</t>
  </si>
  <si>
    <t>Employee 970</t>
  </si>
  <si>
    <t>E0971</t>
  </si>
  <si>
    <t>Employee 971</t>
  </si>
  <si>
    <t>E0972</t>
  </si>
  <si>
    <t>Employee 972</t>
  </si>
  <si>
    <t>E0973</t>
  </si>
  <si>
    <t>Employee 973</t>
  </si>
  <si>
    <t>E0974</t>
  </si>
  <si>
    <t>Employee 974</t>
  </si>
  <si>
    <t>E0975</t>
  </si>
  <si>
    <t>Employee 975</t>
  </si>
  <si>
    <t>E0976</t>
  </si>
  <si>
    <t>Employee 976</t>
  </si>
  <si>
    <t>E0977</t>
  </si>
  <si>
    <t>Employee 977</t>
  </si>
  <si>
    <t>E0978</t>
  </si>
  <si>
    <t>Employee 978</t>
  </si>
  <si>
    <t>E0979</t>
  </si>
  <si>
    <t>Employee 979</t>
  </si>
  <si>
    <t>E0980</t>
  </si>
  <si>
    <t>Employee 980</t>
  </si>
  <si>
    <t>E0981</t>
  </si>
  <si>
    <t>Employee 981</t>
  </si>
  <si>
    <t>E0982</t>
  </si>
  <si>
    <t>Employee 982</t>
  </si>
  <si>
    <t>E0983</t>
  </si>
  <si>
    <t>Employee 983</t>
  </si>
  <si>
    <t>E0984</t>
  </si>
  <si>
    <t>Employee 984</t>
  </si>
  <si>
    <t>E0985</t>
  </si>
  <si>
    <t>Employee 985</t>
  </si>
  <si>
    <t>E0986</t>
  </si>
  <si>
    <t>Employee 986</t>
  </si>
  <si>
    <t>E0987</t>
  </si>
  <si>
    <t>Employee 987</t>
  </si>
  <si>
    <t>E0988</t>
  </si>
  <si>
    <t>Employee 988</t>
  </si>
  <si>
    <t>E0989</t>
  </si>
  <si>
    <t>Employee 989</t>
  </si>
  <si>
    <t>E0990</t>
  </si>
  <si>
    <t>Employee 990</t>
  </si>
  <si>
    <t>E0991</t>
  </si>
  <si>
    <t>Employee 991</t>
  </si>
  <si>
    <t>E0992</t>
  </si>
  <si>
    <t>Employee 992</t>
  </si>
  <si>
    <t>E0993</t>
  </si>
  <si>
    <t>Employee 993</t>
  </si>
  <si>
    <t>E0994</t>
  </si>
  <si>
    <t>Employee 994</t>
  </si>
  <si>
    <t>E0995</t>
  </si>
  <si>
    <t>Employee 995</t>
  </si>
  <si>
    <t>E0996</t>
  </si>
  <si>
    <t>Employee 996</t>
  </si>
  <si>
    <t>E0997</t>
  </si>
  <si>
    <t>Employee 997</t>
  </si>
  <si>
    <t>E0998</t>
  </si>
  <si>
    <t>Employee 998</t>
  </si>
  <si>
    <t>E0999</t>
  </si>
  <si>
    <t>Employee 999</t>
  </si>
  <si>
    <t>E1000</t>
  </si>
  <si>
    <t>Employee 1000</t>
  </si>
  <si>
    <t>E1001</t>
  </si>
  <si>
    <t>Employee 1001</t>
  </si>
  <si>
    <t>E1002</t>
  </si>
  <si>
    <t>Employee 1002</t>
  </si>
  <si>
    <t>E1003</t>
  </si>
  <si>
    <t>Employee 1003</t>
  </si>
  <si>
    <t>E1004</t>
  </si>
  <si>
    <t>Employee 1004</t>
  </si>
  <si>
    <t>E1005</t>
  </si>
  <si>
    <t>Employee 1005</t>
  </si>
  <si>
    <t>E1006</t>
  </si>
  <si>
    <t>Employee 1006</t>
  </si>
  <si>
    <t>E1007</t>
  </si>
  <si>
    <t>Employee 1007</t>
  </si>
  <si>
    <t>E1008</t>
  </si>
  <si>
    <t>Employee 1008</t>
  </si>
  <si>
    <t>E1009</t>
  </si>
  <si>
    <t>Employee 1009</t>
  </si>
  <si>
    <t>E1010</t>
  </si>
  <si>
    <t>Employee 1010</t>
  </si>
  <si>
    <t>E1011</t>
  </si>
  <si>
    <t>Employee 1011</t>
  </si>
  <si>
    <t>E1012</t>
  </si>
  <si>
    <t>Employee 1012</t>
  </si>
  <si>
    <t>E1013</t>
  </si>
  <si>
    <t>Employee 1013</t>
  </si>
  <si>
    <t>E1014</t>
  </si>
  <si>
    <t>Employee 1014</t>
  </si>
  <si>
    <t>E1015</t>
  </si>
  <si>
    <t>Employee 1015</t>
  </si>
  <si>
    <t>E1016</t>
  </si>
  <si>
    <t>Employee 1016</t>
  </si>
  <si>
    <t>E1017</t>
  </si>
  <si>
    <t>Employee 1017</t>
  </si>
  <si>
    <t>E1018</t>
  </si>
  <si>
    <t>Employee 1018</t>
  </si>
  <si>
    <t>E1019</t>
  </si>
  <si>
    <t>Employee 1019</t>
  </si>
  <si>
    <t>E1020</t>
  </si>
  <si>
    <t>Employee 1020</t>
  </si>
  <si>
    <t>E1021</t>
  </si>
  <si>
    <t>Employee 1021</t>
  </si>
  <si>
    <t>E1022</t>
  </si>
  <si>
    <t>Employee 1022</t>
  </si>
  <si>
    <t>E1023</t>
  </si>
  <si>
    <t>Employee 1023</t>
  </si>
  <si>
    <t>E1024</t>
  </si>
  <si>
    <t>Employee 1024</t>
  </si>
  <si>
    <t>E1025</t>
  </si>
  <si>
    <t>Employee 1025</t>
  </si>
  <si>
    <t>E1026</t>
  </si>
  <si>
    <t>Employee 1026</t>
  </si>
  <si>
    <t>E1027</t>
  </si>
  <si>
    <t>Employee 1027</t>
  </si>
  <si>
    <t>E1028</t>
  </si>
  <si>
    <t>Employee 1028</t>
  </si>
  <si>
    <t>E1029</t>
  </si>
  <si>
    <t>Employee 1029</t>
  </si>
  <si>
    <t>E1030</t>
  </si>
  <si>
    <t>Employee 1030</t>
  </si>
  <si>
    <t>E1031</t>
  </si>
  <si>
    <t>Employee 1031</t>
  </si>
  <si>
    <t>E1032</t>
  </si>
  <si>
    <t>Employee 1032</t>
  </si>
  <si>
    <t>E1033</t>
  </si>
  <si>
    <t>Employee 1033</t>
  </si>
  <si>
    <t>E1034</t>
  </si>
  <si>
    <t>Employee 1034</t>
  </si>
  <si>
    <t>E1035</t>
  </si>
  <si>
    <t>Employee 1035</t>
  </si>
  <si>
    <t>E1036</t>
  </si>
  <si>
    <t>Employee 1036</t>
  </si>
  <si>
    <t>E1037</t>
  </si>
  <si>
    <t>Employee 1037</t>
  </si>
  <si>
    <t>E1038</t>
  </si>
  <si>
    <t>Employee 1038</t>
  </si>
  <si>
    <t>E1039</t>
  </si>
  <si>
    <t>Employee 1039</t>
  </si>
  <si>
    <t>E1040</t>
  </si>
  <si>
    <t>Employee 1040</t>
  </si>
  <si>
    <t>E1041</t>
  </si>
  <si>
    <t>Employee 1041</t>
  </si>
  <si>
    <t>E1042</t>
  </si>
  <si>
    <t>Employee 1042</t>
  </si>
  <si>
    <t>E1043</t>
  </si>
  <si>
    <t>Employee 1043</t>
  </si>
  <si>
    <t>E1044</t>
  </si>
  <si>
    <t>Employee 1044</t>
  </si>
  <si>
    <t>E1045</t>
  </si>
  <si>
    <t>Employee 1045</t>
  </si>
  <si>
    <t>E1046</t>
  </si>
  <si>
    <t>Employee 1046</t>
  </si>
  <si>
    <t>E1047</t>
  </si>
  <si>
    <t>Employee 1047</t>
  </si>
  <si>
    <t>E1048</t>
  </si>
  <si>
    <t>Employee 1048</t>
  </si>
  <si>
    <t>E1049</t>
  </si>
  <si>
    <t>Employee 1049</t>
  </si>
  <si>
    <t>E1050</t>
  </si>
  <si>
    <t>Employee 1050</t>
  </si>
  <si>
    <t>E1051</t>
  </si>
  <si>
    <t>Employee 1051</t>
  </si>
  <si>
    <t>E1052</t>
  </si>
  <si>
    <t>Employee 1052</t>
  </si>
  <si>
    <t>E1053</t>
  </si>
  <si>
    <t>Employee 1053</t>
  </si>
  <si>
    <t>E1054</t>
  </si>
  <si>
    <t>Employee 1054</t>
  </si>
  <si>
    <t>E1055</t>
  </si>
  <si>
    <t>Employee 1055</t>
  </si>
  <si>
    <t>E1056</t>
  </si>
  <si>
    <t>Employee 1056</t>
  </si>
  <si>
    <t>E1057</t>
  </si>
  <si>
    <t>Employee 1057</t>
  </si>
  <si>
    <t>E1058</t>
  </si>
  <si>
    <t>Employee 1058</t>
  </si>
  <si>
    <t>E1059</t>
  </si>
  <si>
    <t>Employee 1059</t>
  </si>
  <si>
    <t>E1060</t>
  </si>
  <si>
    <t>Employee 1060</t>
  </si>
  <si>
    <t>E1061</t>
  </si>
  <si>
    <t>Employee 1061</t>
  </si>
  <si>
    <t>E1062</t>
  </si>
  <si>
    <t>Employee 1062</t>
  </si>
  <si>
    <t>E1063</t>
  </si>
  <si>
    <t>Employee 1063</t>
  </si>
  <si>
    <t>E1064</t>
  </si>
  <si>
    <t>Employee 1064</t>
  </si>
  <si>
    <t>E1065</t>
  </si>
  <si>
    <t>Employee 1065</t>
  </si>
  <si>
    <t>E1066</t>
  </si>
  <si>
    <t>Employee 1066</t>
  </si>
  <si>
    <t>E1067</t>
  </si>
  <si>
    <t>Employee 1067</t>
  </si>
  <si>
    <t>E1068</t>
  </si>
  <si>
    <t>Employee 1068</t>
  </si>
  <si>
    <t>E1069</t>
  </si>
  <si>
    <t>Employee 1069</t>
  </si>
  <si>
    <t>E1070</t>
  </si>
  <si>
    <t>Employee 1070</t>
  </si>
  <si>
    <t>E1071</t>
  </si>
  <si>
    <t>Employee 1071</t>
  </si>
  <si>
    <t>E1072</t>
  </si>
  <si>
    <t>Employee 1072</t>
  </si>
  <si>
    <t>E1073</t>
  </si>
  <si>
    <t>Employee 1073</t>
  </si>
  <si>
    <t>E1074</t>
  </si>
  <si>
    <t>Employee 1074</t>
  </si>
  <si>
    <t>E1075</t>
  </si>
  <si>
    <t>Employee 1075</t>
  </si>
  <si>
    <t>E1076</t>
  </si>
  <si>
    <t>Employee 1076</t>
  </si>
  <si>
    <t>E1077</t>
  </si>
  <si>
    <t>Employee 1077</t>
  </si>
  <si>
    <t>E1078</t>
  </si>
  <si>
    <t>Employee 1078</t>
  </si>
  <si>
    <t>E1079</t>
  </si>
  <si>
    <t>Employee 1079</t>
  </si>
  <si>
    <t>E1080</t>
  </si>
  <si>
    <t>Employee 1080</t>
  </si>
  <si>
    <t>E1081</t>
  </si>
  <si>
    <t>Employee 1081</t>
  </si>
  <si>
    <t>E1082</t>
  </si>
  <si>
    <t>Employee 1082</t>
  </si>
  <si>
    <t>E1083</t>
  </si>
  <si>
    <t>Employee 1083</t>
  </si>
  <si>
    <t>E1084</t>
  </si>
  <si>
    <t>Employee 1084</t>
  </si>
  <si>
    <t>E1085</t>
  </si>
  <si>
    <t>Employee 1085</t>
  </si>
  <si>
    <t>E1086</t>
  </si>
  <si>
    <t>Employee 1086</t>
  </si>
  <si>
    <t>E1087</t>
  </si>
  <si>
    <t>Employee 1087</t>
  </si>
  <si>
    <t>E1088</t>
  </si>
  <si>
    <t>Employee 1088</t>
  </si>
  <si>
    <t>E1089</t>
  </si>
  <si>
    <t>Employee 1089</t>
  </si>
  <si>
    <t>E1090</t>
  </si>
  <si>
    <t>Employee 1090</t>
  </si>
  <si>
    <t>E1091</t>
  </si>
  <si>
    <t>Employee 1091</t>
  </si>
  <si>
    <t>E1092</t>
  </si>
  <si>
    <t>Employee 1092</t>
  </si>
  <si>
    <t>E1093</t>
  </si>
  <si>
    <t>Employee 1093</t>
  </si>
  <si>
    <t>E1094</t>
  </si>
  <si>
    <t>Employee 1094</t>
  </si>
  <si>
    <t>E1095</t>
  </si>
  <si>
    <t>Employee 1095</t>
  </si>
  <si>
    <t>E1096</t>
  </si>
  <si>
    <t>Employee 1096</t>
  </si>
  <si>
    <t>E1097</t>
  </si>
  <si>
    <t>Employee 1097</t>
  </si>
  <si>
    <t>E1098</t>
  </si>
  <si>
    <t>Employee 1098</t>
  </si>
  <si>
    <t>E1099</t>
  </si>
  <si>
    <t>Employee 1099</t>
  </si>
  <si>
    <t>E1100</t>
  </si>
  <si>
    <t>Employee 1100</t>
  </si>
  <si>
    <t>E1101</t>
  </si>
  <si>
    <t>Employee 1101</t>
  </si>
  <si>
    <t>E1102</t>
  </si>
  <si>
    <t>Employee 1102</t>
  </si>
  <si>
    <t>E1103</t>
  </si>
  <si>
    <t>Employee 1103</t>
  </si>
  <si>
    <t>E1104</t>
  </si>
  <si>
    <t>Employee 1104</t>
  </si>
  <si>
    <t>E1105</t>
  </si>
  <si>
    <t>Employee 1105</t>
  </si>
  <si>
    <t>E1106</t>
  </si>
  <si>
    <t>Employee 1106</t>
  </si>
  <si>
    <t>E1107</t>
  </si>
  <si>
    <t>Employee 1107</t>
  </si>
  <si>
    <t>E1108</t>
  </si>
  <si>
    <t>Employee 1108</t>
  </si>
  <si>
    <t>E1109</t>
  </si>
  <si>
    <t>Employee 1109</t>
  </si>
  <si>
    <t>E1110</t>
  </si>
  <si>
    <t>Employee 1110</t>
  </si>
  <si>
    <t>E1111</t>
  </si>
  <si>
    <t>Employee 1111</t>
  </si>
  <si>
    <t>E1112</t>
  </si>
  <si>
    <t>Employee 1112</t>
  </si>
  <si>
    <t>E1113</t>
  </si>
  <si>
    <t>Employee 1113</t>
  </si>
  <si>
    <t>E1114</t>
  </si>
  <si>
    <t>Employee 1114</t>
  </si>
  <si>
    <t>E1115</t>
  </si>
  <si>
    <t>Employee 1115</t>
  </si>
  <si>
    <t>E1116</t>
  </si>
  <si>
    <t>Employee 1116</t>
  </si>
  <si>
    <t>E1117</t>
  </si>
  <si>
    <t>Employee 1117</t>
  </si>
  <si>
    <t>E1118</t>
  </si>
  <si>
    <t>Employee 1118</t>
  </si>
  <si>
    <t>E1119</t>
  </si>
  <si>
    <t>Employee 1119</t>
  </si>
  <si>
    <t>E1120</t>
  </si>
  <si>
    <t>Employee 1120</t>
  </si>
  <si>
    <t>E1121</t>
  </si>
  <si>
    <t>Employee 1121</t>
  </si>
  <si>
    <t>E1122</t>
  </si>
  <si>
    <t>Employee 1122</t>
  </si>
  <si>
    <t>E1123</t>
  </si>
  <si>
    <t>Employee 1123</t>
  </si>
  <si>
    <t>E1124</t>
  </si>
  <si>
    <t>Employee 1124</t>
  </si>
  <si>
    <t>E1125</t>
  </si>
  <si>
    <t>Employee 1125</t>
  </si>
  <si>
    <t>E1126</t>
  </si>
  <si>
    <t>Employee 1126</t>
  </si>
  <si>
    <t>E1127</t>
  </si>
  <si>
    <t>Employee 1127</t>
  </si>
  <si>
    <t>E1128</t>
  </si>
  <si>
    <t>Employee 1128</t>
  </si>
  <si>
    <t>E1129</t>
  </si>
  <si>
    <t>Employee 1129</t>
  </si>
  <si>
    <t>E1130</t>
  </si>
  <si>
    <t>Employee 1130</t>
  </si>
  <si>
    <t>E1131</t>
  </si>
  <si>
    <t>Employee 1131</t>
  </si>
  <si>
    <t>E1132</t>
  </si>
  <si>
    <t>Employee 1132</t>
  </si>
  <si>
    <t>E1133</t>
  </si>
  <si>
    <t>Employee 1133</t>
  </si>
  <si>
    <t>E1134</t>
  </si>
  <si>
    <t>Employee 1134</t>
  </si>
  <si>
    <t>E1135</t>
  </si>
  <si>
    <t>Employee 1135</t>
  </si>
  <si>
    <t>E1136</t>
  </si>
  <si>
    <t>Employee 1136</t>
  </si>
  <si>
    <t>E1137</t>
  </si>
  <si>
    <t>Employee 1137</t>
  </si>
  <si>
    <t>E1138</t>
  </si>
  <si>
    <t>Employee 1138</t>
  </si>
  <si>
    <t>E1139</t>
  </si>
  <si>
    <t>Employee 1139</t>
  </si>
  <si>
    <t>E1140</t>
  </si>
  <si>
    <t>Employee 1140</t>
  </si>
  <si>
    <t>E1141</t>
  </si>
  <si>
    <t>Employee 1141</t>
  </si>
  <si>
    <t>E1142</t>
  </si>
  <si>
    <t>Employee 1142</t>
  </si>
  <si>
    <t>E1143</t>
  </si>
  <si>
    <t>Employee 1143</t>
  </si>
  <si>
    <t>E1144</t>
  </si>
  <si>
    <t>Employee 1144</t>
  </si>
  <si>
    <t>E1145</t>
  </si>
  <si>
    <t>Employee 1145</t>
  </si>
  <si>
    <t>E1146</t>
  </si>
  <si>
    <t>Employee 1146</t>
  </si>
  <si>
    <t>E1147</t>
  </si>
  <si>
    <t>Employee 1147</t>
  </si>
  <si>
    <t>E1148</t>
  </si>
  <si>
    <t>Employee 1148</t>
  </si>
  <si>
    <t>E1149</t>
  </si>
  <si>
    <t>Employee 1149</t>
  </si>
  <si>
    <t>E1150</t>
  </si>
  <si>
    <t>Employee 1150</t>
  </si>
  <si>
    <t>E1151</t>
  </si>
  <si>
    <t>Employee 1151</t>
  </si>
  <si>
    <t>E1152</t>
  </si>
  <si>
    <t>Employee 1152</t>
  </si>
  <si>
    <t>E1153</t>
  </si>
  <si>
    <t>Employee 1153</t>
  </si>
  <si>
    <t>E1154</t>
  </si>
  <si>
    <t>Employee 1154</t>
  </si>
  <si>
    <t>E1155</t>
  </si>
  <si>
    <t>Employee 1155</t>
  </si>
  <si>
    <t>E1156</t>
  </si>
  <si>
    <t>Employee 1156</t>
  </si>
  <si>
    <t>E1157</t>
  </si>
  <si>
    <t>Employee 1157</t>
  </si>
  <si>
    <t>E1158</t>
  </si>
  <si>
    <t>Employee 1158</t>
  </si>
  <si>
    <t>E1159</t>
  </si>
  <si>
    <t>Employee 1159</t>
  </si>
  <si>
    <t>E1160</t>
  </si>
  <si>
    <t>Employee 1160</t>
  </si>
  <si>
    <t>E1161</t>
  </si>
  <si>
    <t>Employee 1161</t>
  </si>
  <si>
    <t>E1162</t>
  </si>
  <si>
    <t>Employee 1162</t>
  </si>
  <si>
    <t>E1163</t>
  </si>
  <si>
    <t>Employee 1163</t>
  </si>
  <si>
    <t>E1164</t>
  </si>
  <si>
    <t>Employee 1164</t>
  </si>
  <si>
    <t>E1165</t>
  </si>
  <si>
    <t>Employee 1165</t>
  </si>
  <si>
    <t>E1166</t>
  </si>
  <si>
    <t>Employee 1166</t>
  </si>
  <si>
    <t>E1167</t>
  </si>
  <si>
    <t>Employee 1167</t>
  </si>
  <si>
    <t>E1168</t>
  </si>
  <si>
    <t>Employee 1168</t>
  </si>
  <si>
    <t>E1169</t>
  </si>
  <si>
    <t>Employee 1169</t>
  </si>
  <si>
    <t>E1170</t>
  </si>
  <si>
    <t>Employee 1170</t>
  </si>
  <si>
    <t>E1171</t>
  </si>
  <si>
    <t>Employee 1171</t>
  </si>
  <si>
    <t>E1172</t>
  </si>
  <si>
    <t>Employee 1172</t>
  </si>
  <si>
    <t>E1173</t>
  </si>
  <si>
    <t>Employee 1173</t>
  </si>
  <si>
    <t>E1174</t>
  </si>
  <si>
    <t>Employee 1174</t>
  </si>
  <si>
    <t>E1175</t>
  </si>
  <si>
    <t>Employee 1175</t>
  </si>
  <si>
    <t>E1176</t>
  </si>
  <si>
    <t>Employee 1176</t>
  </si>
  <si>
    <t>E1177</t>
  </si>
  <si>
    <t>Employee 1177</t>
  </si>
  <si>
    <t>E1178</t>
  </si>
  <si>
    <t>Employee 1178</t>
  </si>
  <si>
    <t>E1179</t>
  </si>
  <si>
    <t>Employee 1179</t>
  </si>
  <si>
    <t>E1180</t>
  </si>
  <si>
    <t>Employee 1180</t>
  </si>
  <si>
    <t>E1181</t>
  </si>
  <si>
    <t>Employee 1181</t>
  </si>
  <si>
    <t>E1182</t>
  </si>
  <si>
    <t>Employee 1182</t>
  </si>
  <si>
    <t>E1183</t>
  </si>
  <si>
    <t>Employee 1183</t>
  </si>
  <si>
    <t>E1184</t>
  </si>
  <si>
    <t>Employee 1184</t>
  </si>
  <si>
    <t>E1185</t>
  </si>
  <si>
    <t>Employee 1185</t>
  </si>
  <si>
    <t>E1186</t>
  </si>
  <si>
    <t>Employee 1186</t>
  </si>
  <si>
    <t>E1187</t>
  </si>
  <si>
    <t>Employee 1187</t>
  </si>
  <si>
    <t>E1188</t>
  </si>
  <si>
    <t>Employee 1188</t>
  </si>
  <si>
    <t>E1189</t>
  </si>
  <si>
    <t>Employee 1189</t>
  </si>
  <si>
    <t>E1190</t>
  </si>
  <si>
    <t>Employee 1190</t>
  </si>
  <si>
    <t>E1191</t>
  </si>
  <si>
    <t>Employee 1191</t>
  </si>
  <si>
    <t>E1192</t>
  </si>
  <si>
    <t>Employee 1192</t>
  </si>
  <si>
    <t>E1193</t>
  </si>
  <si>
    <t>Employee 1193</t>
  </si>
  <si>
    <t>E1194</t>
  </si>
  <si>
    <t>Employee 1194</t>
  </si>
  <si>
    <t>E1195</t>
  </si>
  <si>
    <t>Employee 1195</t>
  </si>
  <si>
    <t>E1196</t>
  </si>
  <si>
    <t>Employee 1196</t>
  </si>
  <si>
    <t>E1197</t>
  </si>
  <si>
    <t>Employee 1197</t>
  </si>
  <si>
    <t>E1198</t>
  </si>
  <si>
    <t>Employee 1198</t>
  </si>
  <si>
    <t>E1199</t>
  </si>
  <si>
    <t>Employee 1199</t>
  </si>
  <si>
    <t>E1200</t>
  </si>
  <si>
    <t>Employee 1200</t>
  </si>
  <si>
    <t>age group</t>
  </si>
  <si>
    <t>salary level</t>
  </si>
  <si>
    <t>hire year</t>
  </si>
  <si>
    <t>hire month</t>
  </si>
  <si>
    <t>employee status</t>
  </si>
  <si>
    <t xml:space="preserve">مجموع کارکنان </t>
  </si>
  <si>
    <t xml:space="preserve">تعداد کارکنان فعال </t>
  </si>
  <si>
    <t xml:space="preserve">تعداد استعفا </t>
  </si>
  <si>
    <t xml:space="preserve">میانگین حقوق </t>
  </si>
  <si>
    <t xml:space="preserve">میانگین رضایت شغلی </t>
  </si>
  <si>
    <t xml:space="preserve">میانگین عملکرد </t>
  </si>
  <si>
    <t xml:space="preserve">کمترین حقوق </t>
  </si>
  <si>
    <t xml:space="preserve">بیشترین حقوق </t>
  </si>
  <si>
    <t>Row Labels</t>
  </si>
  <si>
    <t>Grand Total</t>
  </si>
  <si>
    <t>Count of Employee ID</t>
  </si>
  <si>
    <t>تعداد کارکنان هر بخش</t>
  </si>
  <si>
    <t xml:space="preserve">تعداد کارکنان هر شهر </t>
  </si>
  <si>
    <t xml:space="preserve">تعداد کارکنان بر اساس جنسیت </t>
  </si>
  <si>
    <t>Sum of Performance Score</t>
  </si>
  <si>
    <t>Sum of Job Satisfaction</t>
  </si>
  <si>
    <t xml:space="preserve">میاگین رضایت شغلی </t>
  </si>
  <si>
    <t xml:space="preserve">گروه سنی کارکنان </t>
  </si>
  <si>
    <t>20-29</t>
  </si>
  <si>
    <t>30-39</t>
  </si>
  <si>
    <t>40-49</t>
  </si>
  <si>
    <t>50+</t>
  </si>
  <si>
    <t xml:space="preserve">میانگین عملکرد هر بخش </t>
  </si>
  <si>
    <t>Count of Hire Date</t>
  </si>
  <si>
    <t xml:space="preserve">تعداد استخدام در هر سال </t>
  </si>
  <si>
    <t>Average of Salary</t>
  </si>
  <si>
    <t xml:space="preserve">میانگین حقوق هر بخش </t>
  </si>
  <si>
    <t xml:space="preserve">زنان </t>
  </si>
  <si>
    <t xml:space="preserve">مردان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</si>
</sst>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164" formatCode="yyyy\-mm\-dd\ h:mm:ss"/>
    </dxf>
  </dxfs>
  <tableStyles count="0" defaultTableStyle="TableStyleMedium9" defaultPivotStyle="PivotStyleLight16"/>
  <colors>
    <mruColors>
      <color rgb="FF217B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681792353275424E-2"/>
          <c:y val="0.35956610074903428"/>
          <c:w val="0.89218280704602648"/>
          <c:h val="0.57502812148481441"/>
        </c:manualLayout>
      </c:layout>
      <c:doughnutChart>
        <c:varyColors val="1"/>
        <c:ser>
          <c:idx val="0"/>
          <c:order val="0"/>
          <c:spPr>
            <a:ln w="73025" cap="flat" cmpd="thickThin">
              <a:prstDash val="sysDash"/>
            </a:ln>
          </c:spPr>
          <c:dPt>
            <c:idx val="0"/>
            <c:bubble3D val="0"/>
            <c:spPr>
              <a:solidFill>
                <a:schemeClr val="accent1"/>
              </a:solidFill>
              <a:ln w="73025" cap="flat" cmpd="thickThin">
                <a:solidFill>
                  <a:schemeClr val="lt1"/>
                </a:solidFill>
                <a:prstDash val="sysDash"/>
              </a:ln>
              <a:effectLst/>
            </c:spPr>
            <c:extLst>
              <c:ext xmlns:c16="http://schemas.microsoft.com/office/drawing/2014/chart" uri="{C3380CC4-5D6E-409C-BE32-E72D297353CC}">
                <c16:uniqueId val="{00000001-D11D-43FB-9072-E52FA36E07EB}"/>
              </c:ext>
            </c:extLst>
          </c:dPt>
          <c:dPt>
            <c:idx val="1"/>
            <c:bubble3D val="0"/>
            <c:spPr>
              <a:solidFill>
                <a:schemeClr val="accent2"/>
              </a:solidFill>
              <a:ln w="73025" cap="flat" cmpd="thickThin">
                <a:solidFill>
                  <a:schemeClr val="lt1"/>
                </a:solidFill>
                <a:prstDash val="sysDash"/>
              </a:ln>
              <a:effectLst/>
            </c:spPr>
            <c:extLst>
              <c:ext xmlns:c16="http://schemas.microsoft.com/office/drawing/2014/chart" uri="{C3380CC4-5D6E-409C-BE32-E72D297353CC}">
                <c16:uniqueId val="{00000003-D11D-43FB-9072-E52FA36E07EB}"/>
              </c:ext>
            </c:extLst>
          </c:dPt>
          <c:dPt>
            <c:idx val="2"/>
            <c:bubble3D val="0"/>
            <c:spPr>
              <a:solidFill>
                <a:schemeClr val="accent3"/>
              </a:solidFill>
              <a:ln w="73025" cap="flat" cmpd="thickThin">
                <a:solidFill>
                  <a:schemeClr val="lt1"/>
                </a:solidFill>
                <a:prstDash val="sysDash"/>
              </a:ln>
              <a:effectLst/>
            </c:spPr>
            <c:extLst>
              <c:ext xmlns:c16="http://schemas.microsoft.com/office/drawing/2014/chart" uri="{C3380CC4-5D6E-409C-BE32-E72D297353CC}">
                <c16:uniqueId val="{00000005-D11D-43FB-9072-E52FA36E07EB}"/>
              </c:ext>
            </c:extLst>
          </c:dPt>
          <c:dLbls>
            <c:dLbl>
              <c:idx val="0"/>
              <c:layout>
                <c:manualLayout>
                  <c:x val="-0.22388857320669975"/>
                  <c:y val="-2.214839424141749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03596071109668"/>
                      <c:h val="0.16533776301218162"/>
                    </c:manualLayout>
                  </c15:layout>
                </c:ext>
                <c:ext xmlns:c16="http://schemas.microsoft.com/office/drawing/2014/chart" uri="{C3380CC4-5D6E-409C-BE32-E72D297353CC}">
                  <c16:uniqueId val="{00000001-D11D-43FB-9072-E52FA36E07E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analysis!$A$2:$C$2</c:f>
              <c:strCache>
                <c:ptCount val="3"/>
                <c:pt idx="0">
                  <c:v>مجموع کارکنان </c:v>
                </c:pt>
                <c:pt idx="1">
                  <c:v>تعداد کارکنان فعال </c:v>
                </c:pt>
                <c:pt idx="2">
                  <c:v>تعداد استعفا </c:v>
                </c:pt>
              </c:strCache>
            </c:strRef>
          </c:cat>
          <c:val>
            <c:numRef>
              <c:f>analysis!$A$3:$C$3</c:f>
              <c:numCache>
                <c:formatCode>General</c:formatCode>
                <c:ptCount val="3"/>
                <c:pt idx="0">
                  <c:v>1201</c:v>
                </c:pt>
                <c:pt idx="1">
                  <c:v>954</c:v>
                </c:pt>
                <c:pt idx="2">
                  <c:v>246</c:v>
                </c:pt>
              </c:numCache>
            </c:numRef>
          </c:val>
          <c:extLst>
            <c:ext xmlns:c16="http://schemas.microsoft.com/office/drawing/2014/chart" uri="{C3380CC4-5D6E-409C-BE32-E72D297353CC}">
              <c16:uniqueId val="{00000006-D11D-43FB-9072-E52FA36E07E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[HR_Analytics_Dataset.xlsx]Sheet3!PivotTable4</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r">
                <a:defRPr sz="1200" b="0" i="0" u="none" strike="noStrike" kern="1200" baseline="0">
                  <a:solidFill>
                    <a:schemeClr val="tx1">
                      <a:lumMod val="75000"/>
                      <a:lumOff val="25000"/>
                    </a:schemeClr>
                  </a:solidFill>
                  <a:latin typeface="+mn-lt"/>
                  <a:ea typeface="+mn-ea"/>
                  <a:cs typeface="B Nazanin" panose="00000400000000000000" pitchFamily="2" charset="-78"/>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64019389194847753"/>
              <c:y val="-0.36513522161319939"/>
            </c:manualLayout>
          </c:layout>
          <c:spPr>
            <a:noFill/>
            <a:ln>
              <a:noFill/>
            </a:ln>
            <a:effectLst/>
          </c:spPr>
          <c:txPr>
            <a:bodyPr rot="0" spcFirstLastPara="1" vertOverflow="ellipsis" vert="horz" wrap="square" lIns="38100" tIns="19050" rIns="38100" bIns="19050" anchor="ctr" anchorCtr="0">
              <a:spAutoFit/>
            </a:bodyPr>
            <a:lstStyle/>
            <a:p>
              <a:pPr algn="r">
                <a:defRPr sz="1200" b="0" i="0" u="none" strike="noStrike" kern="1200" baseline="0">
                  <a:solidFill>
                    <a:schemeClr val="tx1">
                      <a:lumMod val="75000"/>
                      <a:lumOff val="25000"/>
                    </a:schemeClr>
                  </a:solidFill>
                  <a:latin typeface="+mn-lt"/>
                  <a:ea typeface="+mn-ea"/>
                  <a:cs typeface="B Nazanin" panose="00000400000000000000" pitchFamily="2" charset="-78"/>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3994128624095399"/>
                  <c:h val="0.19022379269729089"/>
                </c:manualLayout>
              </c15:layout>
            </c:ext>
          </c:extLst>
        </c:dLbl>
      </c:pivotFmt>
      <c:pivotFmt>
        <c:idx val="6"/>
        <c:spPr>
          <a:solidFill>
            <a:schemeClr val="accent1"/>
          </a:solidFill>
          <a:ln w="19050">
            <a:solidFill>
              <a:schemeClr val="lt1"/>
            </a:solidFill>
          </a:ln>
          <a:effectLst/>
        </c:spPr>
        <c:dLbl>
          <c:idx val="0"/>
          <c:layout>
            <c:manualLayout>
              <c:x val="0.63208130414334052"/>
              <c:y val="-0.34746737709023123"/>
            </c:manualLayout>
          </c:layout>
          <c:spPr>
            <a:noFill/>
            <a:ln>
              <a:noFill/>
            </a:ln>
            <a:effectLst/>
          </c:spPr>
          <c:txPr>
            <a:bodyPr rot="0" spcFirstLastPara="1" vertOverflow="ellipsis" vert="horz" wrap="square" lIns="38100" tIns="19050" rIns="38100" bIns="19050" anchor="ctr" anchorCtr="0">
              <a:spAutoFit/>
            </a:bodyPr>
            <a:lstStyle/>
            <a:p>
              <a:pPr algn="r">
                <a:defRPr sz="1200" b="0" i="0" u="none" strike="noStrike" kern="1200" baseline="0">
                  <a:solidFill>
                    <a:schemeClr val="tx1">
                      <a:lumMod val="75000"/>
                      <a:lumOff val="25000"/>
                    </a:schemeClr>
                  </a:solidFill>
                  <a:latin typeface="+mn-lt"/>
                  <a:ea typeface="+mn-ea"/>
                  <a:cs typeface="B Nazanin" panose="00000400000000000000" pitchFamily="2" charset="-78"/>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974951830443155"/>
                  <c:h val="0.19022379269729089"/>
                </c:manualLayout>
              </c15:layout>
            </c:ext>
          </c:extLst>
        </c:dLbl>
      </c:pivotFmt>
    </c:pivotFmts>
    <c:plotArea>
      <c:layout>
        <c:manualLayout>
          <c:layoutTarget val="inner"/>
          <c:xMode val="edge"/>
          <c:yMode val="edge"/>
          <c:x val="3.3598076252029187E-2"/>
          <c:y val="0.28813332962354971"/>
          <c:w val="0.87500037928784913"/>
          <c:h val="0.5348942247943389"/>
        </c:manualLayout>
      </c:layout>
      <c:doughnutChart>
        <c:varyColors val="1"/>
        <c:ser>
          <c:idx val="0"/>
          <c:order val="0"/>
          <c:tx>
            <c:strRef>
              <c:f>Sheet3!$C$15</c:f>
              <c:strCache>
                <c:ptCount val="1"/>
                <c:pt idx="0">
                  <c:v>Total</c:v>
                </c:pt>
              </c:strCache>
            </c:strRef>
          </c:tx>
          <c:dPt>
            <c:idx val="0"/>
            <c:bubble3D val="0"/>
            <c:explosion val="2"/>
            <c:spPr>
              <a:solidFill>
                <a:schemeClr val="accent1"/>
              </a:solidFill>
              <a:ln w="19050">
                <a:solidFill>
                  <a:schemeClr val="lt1"/>
                </a:solidFill>
              </a:ln>
              <a:effectLst/>
            </c:spPr>
            <c:extLst>
              <c:ext xmlns:c16="http://schemas.microsoft.com/office/drawing/2014/chart" uri="{C3380CC4-5D6E-409C-BE32-E72D297353CC}">
                <c16:uniqueId val="{00000001-EE88-4CB5-80F1-7750CF5238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88-4CB5-80F1-7750CF5238CC}"/>
              </c:ext>
            </c:extLst>
          </c:dPt>
          <c:dLbls>
            <c:dLbl>
              <c:idx val="0"/>
              <c:layout>
                <c:manualLayout>
                  <c:x val="-0.64019389194847753"/>
                  <c:y val="-0.36513522161319939"/>
                </c:manualLayout>
              </c:layout>
              <c:showLegendKey val="0"/>
              <c:showVal val="1"/>
              <c:showCatName val="0"/>
              <c:showSerName val="0"/>
              <c:showPercent val="0"/>
              <c:showBubbleSize val="0"/>
              <c:extLst>
                <c:ext xmlns:c15="http://schemas.microsoft.com/office/drawing/2012/chart" uri="{CE6537A1-D6FC-4f65-9D91-7224C49458BB}">
                  <c15:layout>
                    <c:manualLayout>
                      <c:w val="0.33994128624095399"/>
                      <c:h val="0.19022379269729089"/>
                    </c:manualLayout>
                  </c15:layout>
                </c:ext>
                <c:ext xmlns:c16="http://schemas.microsoft.com/office/drawing/2014/chart" uri="{C3380CC4-5D6E-409C-BE32-E72D297353CC}">
                  <c16:uniqueId val="{00000001-EE88-4CB5-80F1-7750CF5238CC}"/>
                </c:ext>
              </c:extLst>
            </c:dLbl>
            <c:dLbl>
              <c:idx val="1"/>
              <c:layout>
                <c:manualLayout>
                  <c:x val="0.63208130414334052"/>
                  <c:y val="-0.34746737709023123"/>
                </c:manualLayout>
              </c:layout>
              <c:showLegendKey val="0"/>
              <c:showVal val="1"/>
              <c:showCatName val="0"/>
              <c:showSerName val="0"/>
              <c:showPercent val="0"/>
              <c:showBubbleSize val="0"/>
              <c:extLst>
                <c:ext xmlns:c15="http://schemas.microsoft.com/office/drawing/2012/chart" uri="{CE6537A1-D6FC-4f65-9D91-7224C49458BB}">
                  <c15:layout>
                    <c:manualLayout>
                      <c:w val="0.31974951830443155"/>
                      <c:h val="0.19022379269729089"/>
                    </c:manualLayout>
                  </c15:layout>
                </c:ext>
                <c:ext xmlns:c16="http://schemas.microsoft.com/office/drawing/2014/chart" uri="{C3380CC4-5D6E-409C-BE32-E72D297353CC}">
                  <c16:uniqueId val="{00000003-EE88-4CB5-80F1-7750CF5238CC}"/>
                </c:ext>
              </c:extLst>
            </c:dLbl>
            <c:spPr>
              <a:noFill/>
              <a:ln>
                <a:noFill/>
              </a:ln>
              <a:effectLst/>
            </c:spPr>
            <c:txPr>
              <a:bodyPr rot="0" spcFirstLastPara="1" vertOverflow="ellipsis" vert="horz" wrap="square" lIns="38100" tIns="19050" rIns="38100" bIns="19050" anchor="ctr" anchorCtr="0">
                <a:spAutoFit/>
              </a:bodyPr>
              <a:lstStyle/>
              <a:p>
                <a:pPr algn="r">
                  <a:defRPr sz="1200" b="0" i="0" u="none" strike="noStrike" kern="1200" baseline="0">
                    <a:solidFill>
                      <a:schemeClr val="tx1">
                        <a:lumMod val="75000"/>
                        <a:lumOff val="25000"/>
                      </a:schemeClr>
                    </a:solidFill>
                    <a:latin typeface="+mn-lt"/>
                    <a:ea typeface="+mn-ea"/>
                    <a:cs typeface="B Nazanin" panose="00000400000000000000"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Sheet3!$B$16:$B$18</c:f>
              <c:strCache>
                <c:ptCount val="2"/>
                <c:pt idx="0">
                  <c:v>زنان </c:v>
                </c:pt>
                <c:pt idx="1">
                  <c:v>مردان </c:v>
                </c:pt>
              </c:strCache>
            </c:strRef>
          </c:cat>
          <c:val>
            <c:numRef>
              <c:f>Sheet3!$C$16:$C$18</c:f>
              <c:numCache>
                <c:formatCode>General</c:formatCode>
                <c:ptCount val="2"/>
                <c:pt idx="0">
                  <c:v>614</c:v>
                </c:pt>
                <c:pt idx="1">
                  <c:v>586</c:v>
                </c:pt>
              </c:numCache>
            </c:numRef>
          </c:val>
          <c:extLst>
            <c:ext xmlns:c16="http://schemas.microsoft.com/office/drawing/2014/chart" uri="{C3380CC4-5D6E-409C-BE32-E72D297353CC}">
              <c16:uniqueId val="{00000004-EE88-4CB5-80F1-7750CF5238C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30175" cap="flat" cmpd="sng" algn="ctr">
      <a:no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[HR_Analytics_Dataset.xlsx]Sheet3!PivotTable2</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Sheet3!$A$4:$A$10</c:f>
              <c:strCache>
                <c:ptCount val="6"/>
                <c:pt idx="0">
                  <c:v>IT</c:v>
                </c:pt>
                <c:pt idx="1">
                  <c:v>Finance</c:v>
                </c:pt>
                <c:pt idx="2">
                  <c:v>HR</c:v>
                </c:pt>
                <c:pt idx="3">
                  <c:v>Marketing</c:v>
                </c:pt>
                <c:pt idx="4">
                  <c:v>Operations</c:v>
                </c:pt>
                <c:pt idx="5">
                  <c:v>Sales</c:v>
                </c:pt>
              </c:strCache>
            </c:strRef>
          </c:cat>
          <c:val>
            <c:numRef>
              <c:f>Sheet3!$B$4:$B$10</c:f>
              <c:numCache>
                <c:formatCode>General</c:formatCode>
                <c:ptCount val="6"/>
                <c:pt idx="0">
                  <c:v>189</c:v>
                </c:pt>
                <c:pt idx="1">
                  <c:v>215</c:v>
                </c:pt>
                <c:pt idx="2">
                  <c:v>217</c:v>
                </c:pt>
                <c:pt idx="3">
                  <c:v>185</c:v>
                </c:pt>
                <c:pt idx="4">
                  <c:v>192</c:v>
                </c:pt>
                <c:pt idx="5">
                  <c:v>202</c:v>
                </c:pt>
              </c:numCache>
            </c:numRef>
          </c:val>
          <c:extLst>
            <c:ext xmlns:c16="http://schemas.microsoft.com/office/drawing/2014/chart" uri="{C3380CC4-5D6E-409C-BE32-E72D297353CC}">
              <c16:uniqueId val="{00000000-FC73-4CAE-B96F-198EB3640875}"/>
            </c:ext>
          </c:extLst>
        </c:ser>
        <c:dLbls>
          <c:dLblPos val="inEnd"/>
          <c:showLegendKey val="0"/>
          <c:showVal val="1"/>
          <c:showCatName val="0"/>
          <c:showSerName val="0"/>
          <c:showPercent val="0"/>
          <c:showBubbleSize val="0"/>
        </c:dLbls>
        <c:gapWidth val="41"/>
        <c:axId val="1226726112"/>
        <c:axId val="1226733312"/>
      </c:barChart>
      <c:catAx>
        <c:axId val="1226726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effectLst/>
                <a:latin typeface="+mn-lt"/>
                <a:ea typeface="+mn-ea"/>
                <a:cs typeface="+mn-cs"/>
              </a:defRPr>
            </a:pPr>
            <a:endParaRPr lang="en-US"/>
          </a:p>
        </c:txPr>
        <c:crossAx val="1226733312"/>
        <c:crosses val="autoZero"/>
        <c:auto val="1"/>
        <c:lblAlgn val="ctr"/>
        <c:lblOffset val="100"/>
        <c:noMultiLvlLbl val="0"/>
      </c:catAx>
      <c:valAx>
        <c:axId val="1226733312"/>
        <c:scaling>
          <c:orientation val="minMax"/>
        </c:scaling>
        <c:delete val="1"/>
        <c:axPos val="l"/>
        <c:numFmt formatCode="General" sourceLinked="1"/>
        <c:majorTickMark val="none"/>
        <c:minorTickMark val="none"/>
        <c:tickLblPos val="nextTo"/>
        <c:crossAx val="122672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[HR_Analytics_Dataset.xlsx]Sheet3!PivotTable7</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Sheet3!$K$16</c:f>
              <c:strCache>
                <c:ptCount val="1"/>
                <c:pt idx="0">
                  <c:v>Total</c:v>
                </c:pt>
              </c:strCache>
            </c:strRef>
          </c:tx>
          <c:spPr>
            <a:solidFill>
              <a:schemeClr val="accent2">
                <a:lumMod val="75000"/>
              </a:schemeClr>
            </a:solidFill>
            <a:ln>
              <a:noFill/>
            </a:ln>
            <a:effectLst/>
          </c:spPr>
          <c:invertIfNegative val="0"/>
          <c:cat>
            <c:strRef>
              <c:f>Sheet3!$J$17:$J$21</c:f>
              <c:strCache>
                <c:ptCount val="4"/>
                <c:pt idx="0">
                  <c:v>20-29</c:v>
                </c:pt>
                <c:pt idx="1">
                  <c:v>30-39</c:v>
                </c:pt>
                <c:pt idx="2">
                  <c:v>40-49</c:v>
                </c:pt>
                <c:pt idx="3">
                  <c:v>50+</c:v>
                </c:pt>
              </c:strCache>
            </c:strRef>
          </c:cat>
          <c:val>
            <c:numRef>
              <c:f>Sheet3!$K$17:$K$21</c:f>
              <c:numCache>
                <c:formatCode>General</c:formatCode>
                <c:ptCount val="4"/>
                <c:pt idx="0">
                  <c:v>232</c:v>
                </c:pt>
                <c:pt idx="1">
                  <c:v>308</c:v>
                </c:pt>
                <c:pt idx="2">
                  <c:v>349</c:v>
                </c:pt>
                <c:pt idx="3">
                  <c:v>311</c:v>
                </c:pt>
              </c:numCache>
            </c:numRef>
          </c:val>
          <c:extLst>
            <c:ext xmlns:c16="http://schemas.microsoft.com/office/drawing/2014/chart" uri="{C3380CC4-5D6E-409C-BE32-E72D297353CC}">
              <c16:uniqueId val="{00000000-60D2-4FBC-AAB6-21E136308A58}"/>
            </c:ext>
          </c:extLst>
        </c:ser>
        <c:dLbls>
          <c:showLegendKey val="0"/>
          <c:showVal val="0"/>
          <c:showCatName val="0"/>
          <c:showSerName val="0"/>
          <c:showPercent val="0"/>
          <c:showBubbleSize val="0"/>
        </c:dLbls>
        <c:gapWidth val="182"/>
        <c:axId val="1226751072"/>
        <c:axId val="1226725632"/>
      </c:barChart>
      <c:catAx>
        <c:axId val="122675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226725632"/>
        <c:crosses val="autoZero"/>
        <c:auto val="1"/>
        <c:lblAlgn val="ctr"/>
        <c:lblOffset val="100"/>
        <c:noMultiLvlLbl val="0"/>
      </c:catAx>
      <c:valAx>
        <c:axId val="1226725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22675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[HR_Analytics_Dataset.xlsx]Sheet3!PivotTable10</c:name>
    <c:fmtId val="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gradFill>
          <a:gsLst>
            <a:gs pos="0">
              <a:schemeClr val="accent3">
                <a:tint val="50000"/>
                <a:satMod val="300000"/>
              </a:schemeClr>
            </a:gs>
            <a:gs pos="100000">
              <a:schemeClr val="accent3">
                <a:tint val="15000"/>
                <a:satMod val="350000"/>
              </a:schemeClr>
            </a:gs>
          </a:gsLst>
        </a:gradFill>
        <a:ln>
          <a:noFill/>
        </a:ln>
        <a:effectLst/>
        <a:sp3d/>
      </c:spPr>
    </c:sideWall>
    <c:backWall>
      <c:thickness val="0"/>
      <c:spPr>
        <a:gradFill rotWithShape="1">
          <a:gsLst>
            <a:gs pos="0">
              <a:schemeClr val="accent3">
                <a:tint val="50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a:sp3d contourW="9525">
          <a:contourClr>
            <a:schemeClr val="accent3">
              <a:shade val="95000"/>
              <a:satMod val="105000"/>
            </a:schemeClr>
          </a:contourClr>
        </a:sp3d>
      </c:spPr>
    </c:backWall>
    <c:plotArea>
      <c:layout>
        <c:manualLayout>
          <c:layoutTarget val="inner"/>
          <c:xMode val="edge"/>
          <c:yMode val="edge"/>
          <c:x val="0.32272109121074893"/>
          <c:y val="3.1243001621384357E-2"/>
          <c:w val="0.65838399086124599"/>
          <c:h val="0.76397481031594605"/>
        </c:manualLayout>
      </c:layout>
      <c:bar3DChart>
        <c:barDir val="col"/>
        <c:grouping val="stacked"/>
        <c:varyColors val="0"/>
        <c:ser>
          <c:idx val="0"/>
          <c:order val="0"/>
          <c:tx>
            <c:strRef>
              <c:f>Sheet3!$C$22</c:f>
              <c:strCache>
                <c:ptCount val="1"/>
                <c:pt idx="0">
                  <c:v>Total</c:v>
                </c:pt>
              </c:strCache>
            </c:strRef>
          </c:tx>
          <c:spPr>
            <a:solidFill>
              <a:schemeClr val="accent1"/>
            </a:solidFill>
            <a:ln>
              <a:noFill/>
            </a:ln>
            <a:effectLst/>
            <a:sp3d/>
          </c:spPr>
          <c:invertIfNegative val="0"/>
          <c:cat>
            <c:strRef>
              <c:f>Sheet3!$B$23:$B$33</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Sheet3!$C$23:$C$33</c:f>
              <c:numCache>
                <c:formatCode>General</c:formatCode>
                <c:ptCount val="10"/>
                <c:pt idx="0">
                  <c:v>121</c:v>
                </c:pt>
                <c:pt idx="1">
                  <c:v>122</c:v>
                </c:pt>
                <c:pt idx="2">
                  <c:v>134</c:v>
                </c:pt>
                <c:pt idx="3">
                  <c:v>142</c:v>
                </c:pt>
                <c:pt idx="4">
                  <c:v>122</c:v>
                </c:pt>
                <c:pt idx="5">
                  <c:v>109</c:v>
                </c:pt>
                <c:pt idx="6">
                  <c:v>122</c:v>
                </c:pt>
                <c:pt idx="7">
                  <c:v>115</c:v>
                </c:pt>
                <c:pt idx="8">
                  <c:v>117</c:v>
                </c:pt>
                <c:pt idx="9">
                  <c:v>96</c:v>
                </c:pt>
              </c:numCache>
            </c:numRef>
          </c:val>
          <c:extLst>
            <c:ext xmlns:c16="http://schemas.microsoft.com/office/drawing/2014/chart" uri="{C3380CC4-5D6E-409C-BE32-E72D297353CC}">
              <c16:uniqueId val="{00000000-7044-4145-9E0D-DFF4ED6F790A}"/>
            </c:ext>
          </c:extLst>
        </c:ser>
        <c:dLbls>
          <c:showLegendKey val="0"/>
          <c:showVal val="0"/>
          <c:showCatName val="0"/>
          <c:showSerName val="0"/>
          <c:showPercent val="0"/>
          <c:showBubbleSize val="0"/>
        </c:dLbls>
        <c:gapWidth val="150"/>
        <c:shape val="box"/>
        <c:axId val="1226729952"/>
        <c:axId val="1226730912"/>
        <c:axId val="0"/>
      </c:bar3DChart>
      <c:catAx>
        <c:axId val="12267299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6730912"/>
        <c:crosses val="autoZero"/>
        <c:auto val="1"/>
        <c:lblAlgn val="ctr"/>
        <c:lblOffset val="100"/>
        <c:noMultiLvlLbl val="0"/>
      </c:catAx>
      <c:valAx>
        <c:axId val="1226730912"/>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672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[HR_Analytics_Dataset.xlsx]Sheet3!PivotTable5</c:name>
    <c:fmtId val="2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272800180280496"/>
          <c:y val="0.22327935222672068"/>
          <c:w val="0.50508961001086983"/>
          <c:h val="0.59319657411244642"/>
        </c:manualLayout>
      </c:layout>
      <c:bar3DChart>
        <c:barDir val="bar"/>
        <c:grouping val="stacked"/>
        <c:varyColors val="0"/>
        <c:ser>
          <c:idx val="0"/>
          <c:order val="0"/>
          <c:tx>
            <c:strRef>
              <c:f>Sheet3!$G$16</c:f>
              <c:strCache>
                <c:ptCount val="1"/>
                <c:pt idx="0">
                  <c:v>Total</c:v>
                </c:pt>
              </c:strCache>
            </c:strRef>
          </c:tx>
          <c:spPr>
            <a:solidFill>
              <a:schemeClr val="bg2">
                <a:lumMod val="50000"/>
              </a:schemeClr>
            </a:solidFill>
            <a:ln>
              <a:noFill/>
            </a:ln>
            <a:effectLst/>
            <a:sp3d/>
          </c:spPr>
          <c:invertIfNegative val="0"/>
          <c:cat>
            <c:strRef>
              <c:f>Sheet3!$F$17:$F$23</c:f>
              <c:strCache>
                <c:ptCount val="6"/>
                <c:pt idx="0">
                  <c:v>Finance</c:v>
                </c:pt>
                <c:pt idx="1">
                  <c:v>HR</c:v>
                </c:pt>
                <c:pt idx="2">
                  <c:v>IT</c:v>
                </c:pt>
                <c:pt idx="3">
                  <c:v>Marketing</c:v>
                </c:pt>
                <c:pt idx="4">
                  <c:v>Operations</c:v>
                </c:pt>
                <c:pt idx="5">
                  <c:v>Sales</c:v>
                </c:pt>
              </c:strCache>
            </c:strRef>
          </c:cat>
          <c:val>
            <c:numRef>
              <c:f>Sheet3!$G$17:$G$23</c:f>
              <c:numCache>
                <c:formatCode>General</c:formatCode>
                <c:ptCount val="6"/>
                <c:pt idx="0">
                  <c:v>810.81</c:v>
                </c:pt>
                <c:pt idx="1">
                  <c:v>829.16</c:v>
                </c:pt>
                <c:pt idx="2">
                  <c:v>709.77</c:v>
                </c:pt>
                <c:pt idx="3">
                  <c:v>690.64</c:v>
                </c:pt>
                <c:pt idx="4">
                  <c:v>719.56</c:v>
                </c:pt>
                <c:pt idx="5">
                  <c:v>773.82</c:v>
                </c:pt>
              </c:numCache>
            </c:numRef>
          </c:val>
          <c:extLst>
            <c:ext xmlns:c16="http://schemas.microsoft.com/office/drawing/2014/chart" uri="{C3380CC4-5D6E-409C-BE32-E72D297353CC}">
              <c16:uniqueId val="{00000000-507F-4D21-A34E-21B2265A0AAD}"/>
            </c:ext>
          </c:extLst>
        </c:ser>
        <c:dLbls>
          <c:showLegendKey val="0"/>
          <c:showVal val="0"/>
          <c:showCatName val="0"/>
          <c:showSerName val="0"/>
          <c:showPercent val="0"/>
          <c:showBubbleSize val="0"/>
        </c:dLbls>
        <c:gapWidth val="150"/>
        <c:shape val="box"/>
        <c:axId val="1226737152"/>
        <c:axId val="1226737632"/>
        <c:axId val="0"/>
      </c:bar3DChart>
      <c:catAx>
        <c:axId val="1226737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737632"/>
        <c:crosses val="autoZero"/>
        <c:auto val="1"/>
        <c:lblAlgn val="ctr"/>
        <c:lblOffset val="100"/>
        <c:noMultiLvlLbl val="0"/>
      </c:catAx>
      <c:valAx>
        <c:axId val="1226737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673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[HR_Analytics_Dataset.xlsx]Sheet3!PivotTable11</c:name>
    <c:fmtId val="1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square"/>
          <c:size val="9"/>
          <c:spPr>
            <a:solidFill>
              <a:schemeClr val="accent1"/>
            </a:solidFill>
            <a:ln w="34925">
              <a:solidFill>
                <a:srgbClr val="FFC000">
                  <a:alpha val="77000"/>
                </a:srgbClr>
              </a:solidFill>
              <a:headEnd type="triangl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Sheet3!$H$28</c:f>
              <c:strCache>
                <c:ptCount val="1"/>
                <c:pt idx="0">
                  <c:v>Total</c:v>
                </c:pt>
              </c:strCache>
            </c:strRef>
          </c:tx>
          <c:spPr>
            <a:ln w="28575" cap="rnd">
              <a:solidFill>
                <a:schemeClr val="accent1"/>
              </a:solidFill>
              <a:round/>
            </a:ln>
            <a:effectLst/>
          </c:spPr>
          <c:marker>
            <c:symbol val="square"/>
            <c:size val="9"/>
            <c:spPr>
              <a:solidFill>
                <a:schemeClr val="accent1"/>
              </a:solidFill>
              <a:ln w="34925">
                <a:solidFill>
                  <a:srgbClr val="FFC000">
                    <a:alpha val="77000"/>
                  </a:srgbClr>
                </a:solidFill>
                <a:headEnd type="triangle"/>
              </a:ln>
              <a:effectLst/>
            </c:spPr>
          </c:marker>
          <c:cat>
            <c:strRef>
              <c:f>Sheet3!$G$29:$G$35</c:f>
              <c:strCache>
                <c:ptCount val="6"/>
                <c:pt idx="0">
                  <c:v>Finance</c:v>
                </c:pt>
                <c:pt idx="1">
                  <c:v>HR</c:v>
                </c:pt>
                <c:pt idx="2">
                  <c:v>IT</c:v>
                </c:pt>
                <c:pt idx="3">
                  <c:v>Marketing</c:v>
                </c:pt>
                <c:pt idx="4">
                  <c:v>Operations</c:v>
                </c:pt>
                <c:pt idx="5">
                  <c:v>Sales</c:v>
                </c:pt>
              </c:strCache>
            </c:strRef>
          </c:cat>
          <c:val>
            <c:numRef>
              <c:f>Sheet3!$H$29:$H$35</c:f>
              <c:numCache>
                <c:formatCode>General</c:formatCode>
                <c:ptCount val="6"/>
                <c:pt idx="0">
                  <c:v>36098657.274418607</c:v>
                </c:pt>
                <c:pt idx="1">
                  <c:v>34970304.852534562</c:v>
                </c:pt>
                <c:pt idx="2">
                  <c:v>35886076.375661373</c:v>
                </c:pt>
                <c:pt idx="3">
                  <c:v>35878086.021621622</c:v>
                </c:pt>
                <c:pt idx="4">
                  <c:v>36736674.697916664</c:v>
                </c:pt>
                <c:pt idx="5">
                  <c:v>34766131.514851488</c:v>
                </c:pt>
              </c:numCache>
            </c:numRef>
          </c:val>
          <c:smooth val="1"/>
          <c:extLst>
            <c:ext xmlns:c16="http://schemas.microsoft.com/office/drawing/2014/chart" uri="{C3380CC4-5D6E-409C-BE32-E72D297353CC}">
              <c16:uniqueId val="{00000000-A549-4655-B932-210C6FFCC69D}"/>
            </c:ext>
          </c:extLst>
        </c:ser>
        <c:dLbls>
          <c:showLegendKey val="0"/>
          <c:showVal val="0"/>
          <c:showCatName val="0"/>
          <c:showSerName val="0"/>
          <c:showPercent val="0"/>
          <c:showBubbleSize val="0"/>
        </c:dLbls>
        <c:marker val="1"/>
        <c:smooth val="0"/>
        <c:axId val="1226746752"/>
        <c:axId val="1226753472"/>
      </c:lineChart>
      <c:catAx>
        <c:axId val="122674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226753472"/>
        <c:crosses val="autoZero"/>
        <c:auto val="1"/>
        <c:lblAlgn val="ctr"/>
        <c:lblOffset val="100"/>
        <c:noMultiLvlLbl val="0"/>
      </c:catAx>
      <c:valAx>
        <c:axId val="122675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226746752"/>
        <c:crosses val="autoZero"/>
        <c:crossBetween val="between"/>
      </c:valAx>
      <c:spPr>
        <a:noFill/>
        <a:ln w="15875" cap="flat">
          <a:solidFill>
            <a:schemeClr val="accent1">
              <a:shade val="95000"/>
              <a:satMod val="105000"/>
              <a:alpha val="98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[HR_Analytics_Dataset.xlsx]Sheet3!PivotTable6</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7625" cap="rnd">
            <a:solidFill>
              <a:schemeClr val="tx1">
                <a:lumMod val="50000"/>
                <a:lumOff val="50000"/>
              </a:schemeClr>
            </a:solidFill>
            <a:round/>
          </a:ln>
          <a:effectLst/>
        </c:spPr>
        <c:marker>
          <c:symbol val="circle"/>
          <c:size val="5"/>
          <c:spPr>
            <a:solidFill>
              <a:srgbClr val="FFFF00">
                <a:alpha val="79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47625" cap="rnd">
            <a:solidFill>
              <a:schemeClr val="tx1">
                <a:lumMod val="50000"/>
                <a:lumOff val="50000"/>
              </a:schemeClr>
            </a:solidFill>
            <a:round/>
          </a:ln>
          <a:effectLst/>
        </c:spPr>
        <c:marker>
          <c:symbol val="circle"/>
          <c:size val="5"/>
          <c:spPr>
            <a:solidFill>
              <a:srgbClr val="FFFF00">
                <a:alpha val="79000"/>
              </a:srgbClr>
            </a:solidFill>
            <a:ln w="9525">
              <a:solidFill>
                <a:schemeClr val="accent1"/>
              </a:solidFill>
            </a:ln>
            <a:effectLst/>
          </c:spPr>
        </c:marker>
      </c:pivotFmt>
    </c:pivotFmts>
    <c:plotArea>
      <c:layout/>
      <c:lineChart>
        <c:grouping val="stacked"/>
        <c:varyColors val="0"/>
        <c:ser>
          <c:idx val="0"/>
          <c:order val="0"/>
          <c:tx>
            <c:strRef>
              <c:f>Sheet3!$M$5</c:f>
              <c:strCache>
                <c:ptCount val="1"/>
                <c:pt idx="0">
                  <c:v>Total</c:v>
                </c:pt>
              </c:strCache>
            </c:strRef>
          </c:tx>
          <c:spPr>
            <a:ln w="47625" cap="rnd">
              <a:solidFill>
                <a:schemeClr val="tx1">
                  <a:lumMod val="50000"/>
                  <a:lumOff val="50000"/>
                </a:schemeClr>
              </a:solidFill>
              <a:round/>
            </a:ln>
            <a:effectLst/>
          </c:spPr>
          <c:marker>
            <c:symbol val="circle"/>
            <c:size val="5"/>
            <c:spPr>
              <a:solidFill>
                <a:srgbClr val="FFFF00">
                  <a:alpha val="79000"/>
                </a:srgbClr>
              </a:solidFill>
              <a:ln w="9525">
                <a:solidFill>
                  <a:schemeClr val="accent1"/>
                </a:solidFill>
              </a:ln>
              <a:effectLst/>
            </c:spPr>
          </c:marker>
          <c:cat>
            <c:strRef>
              <c:f>Sheet3!$L$6:$L$12</c:f>
              <c:strCache>
                <c:ptCount val="6"/>
                <c:pt idx="0">
                  <c:v>Finance</c:v>
                </c:pt>
                <c:pt idx="1">
                  <c:v>HR</c:v>
                </c:pt>
                <c:pt idx="2">
                  <c:v>IT</c:v>
                </c:pt>
                <c:pt idx="3">
                  <c:v>Marketing</c:v>
                </c:pt>
                <c:pt idx="4">
                  <c:v>Operations</c:v>
                </c:pt>
                <c:pt idx="5">
                  <c:v>Sales</c:v>
                </c:pt>
              </c:strCache>
            </c:strRef>
          </c:cat>
          <c:val>
            <c:numRef>
              <c:f>Sheet3!$M$6:$M$12</c:f>
              <c:numCache>
                <c:formatCode>General</c:formatCode>
                <c:ptCount val="6"/>
                <c:pt idx="0">
                  <c:v>656</c:v>
                </c:pt>
                <c:pt idx="1">
                  <c:v>635</c:v>
                </c:pt>
                <c:pt idx="2">
                  <c:v>557</c:v>
                </c:pt>
                <c:pt idx="3">
                  <c:v>592</c:v>
                </c:pt>
                <c:pt idx="4">
                  <c:v>599</c:v>
                </c:pt>
                <c:pt idx="5">
                  <c:v>619</c:v>
                </c:pt>
              </c:numCache>
            </c:numRef>
          </c:val>
          <c:smooth val="0"/>
          <c:extLst>
            <c:ext xmlns:c16="http://schemas.microsoft.com/office/drawing/2014/chart" uri="{C3380CC4-5D6E-409C-BE32-E72D297353CC}">
              <c16:uniqueId val="{00000000-D9DB-480F-B903-A88BB5E24882}"/>
            </c:ext>
          </c:extLst>
        </c:ser>
        <c:dLbls>
          <c:showLegendKey val="0"/>
          <c:showVal val="0"/>
          <c:showCatName val="0"/>
          <c:showSerName val="0"/>
          <c:showPercent val="0"/>
          <c:showBubbleSize val="0"/>
        </c:dLbls>
        <c:marker val="1"/>
        <c:smooth val="0"/>
        <c:axId val="1226735712"/>
        <c:axId val="1226737152"/>
      </c:lineChart>
      <c:catAx>
        <c:axId val="122673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6737152"/>
        <c:crosses val="autoZero"/>
        <c:auto val="1"/>
        <c:lblAlgn val="ctr"/>
        <c:lblOffset val="100"/>
        <c:noMultiLvlLbl val="0"/>
      </c:catAx>
      <c:valAx>
        <c:axId val="122673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226735712"/>
        <c:crosses val="autoZero"/>
        <c:crossBetween val="between"/>
      </c:valAx>
      <c:spPr>
        <a:noFill/>
        <a:ln w="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137160</xdr:rowOff>
    </xdr:from>
    <xdr:to>
      <xdr:col>22</xdr:col>
      <xdr:colOff>502920</xdr:colOff>
      <xdr:row>31</xdr:row>
      <xdr:rowOff>144780</xdr:rowOff>
    </xdr:to>
    <xdr:sp macro="" textlink="">
      <xdr:nvSpPr>
        <xdr:cNvPr id="2" name="Rectangle 1">
          <a:extLst>
            <a:ext uri="{FF2B5EF4-FFF2-40B4-BE49-F238E27FC236}">
              <a16:creationId xmlns:a16="http://schemas.microsoft.com/office/drawing/2014/main" id="{D091B10A-879F-4167-E347-EEA5B69D9A61}"/>
            </a:ext>
          </a:extLst>
        </xdr:cNvPr>
        <xdr:cNvSpPr/>
      </xdr:nvSpPr>
      <xdr:spPr>
        <a:xfrm>
          <a:off x="9973772280" y="137160"/>
          <a:ext cx="13914120" cy="5676900"/>
        </a:xfrm>
        <a:prstGeom prst="rect">
          <a:avLst/>
        </a:prstGeom>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5</xdr:col>
      <xdr:colOff>251460</xdr:colOff>
      <xdr:row>1</xdr:row>
      <xdr:rowOff>91440</xdr:rowOff>
    </xdr:from>
    <xdr:to>
      <xdr:col>19</xdr:col>
      <xdr:colOff>190500</xdr:colOff>
      <xdr:row>4</xdr:row>
      <xdr:rowOff>76200</xdr:rowOff>
    </xdr:to>
    <xdr:sp macro="" textlink="">
      <xdr:nvSpPr>
        <xdr:cNvPr id="3" name="Rectangle: Diagonal Corners Rounded 2">
          <a:extLst>
            <a:ext uri="{FF2B5EF4-FFF2-40B4-BE49-F238E27FC236}">
              <a16:creationId xmlns:a16="http://schemas.microsoft.com/office/drawing/2014/main" id="{BC32DC14-2F2A-9D31-CCAF-B2578DA61FBF}"/>
            </a:ext>
          </a:extLst>
        </xdr:cNvPr>
        <xdr:cNvSpPr/>
      </xdr:nvSpPr>
      <xdr:spPr>
        <a:xfrm>
          <a:off x="9975913500" y="274320"/>
          <a:ext cx="8473440" cy="533400"/>
        </a:xfrm>
        <a:prstGeom prst="round2Diag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en-US" sz="1800" b="1">
              <a:solidFill>
                <a:sysClr val="windowText" lastClr="000000"/>
              </a:solidFill>
              <a:latin typeface="MingLiU_HKSCS-ExtB" panose="02020500000000000000" pitchFamily="18" charset="-120"/>
              <a:ea typeface="MingLiU_HKSCS-ExtB" panose="02020500000000000000" pitchFamily="18" charset="-120"/>
            </a:rPr>
            <a:t>HR</a:t>
          </a:r>
          <a:r>
            <a:rPr lang="en-US" sz="1800" b="1" baseline="0">
              <a:solidFill>
                <a:sysClr val="windowText" lastClr="000000"/>
              </a:solidFill>
              <a:latin typeface="MingLiU_HKSCS-ExtB" panose="02020500000000000000" pitchFamily="18" charset="-120"/>
              <a:ea typeface="MingLiU_HKSCS-ExtB" panose="02020500000000000000" pitchFamily="18" charset="-120"/>
            </a:rPr>
            <a:t> ANALYTICS DASHBOARD</a:t>
          </a:r>
          <a:endParaRPr lang="en-US" sz="1800" b="1">
            <a:solidFill>
              <a:sysClr val="windowText" lastClr="000000"/>
            </a:solidFill>
            <a:latin typeface="MingLiU_HKSCS-ExtB" panose="02020500000000000000" pitchFamily="18" charset="-120"/>
            <a:ea typeface="MingLiU_HKSCS-ExtB" panose="02020500000000000000" pitchFamily="18" charset="-120"/>
          </a:endParaRPr>
        </a:p>
      </xdr:txBody>
    </xdr:sp>
    <xdr:clientData/>
  </xdr:twoCellAnchor>
  <xdr:twoCellAnchor>
    <xdr:from>
      <xdr:col>19</xdr:col>
      <xdr:colOff>571500</xdr:colOff>
      <xdr:row>5</xdr:row>
      <xdr:rowOff>60960</xdr:rowOff>
    </xdr:from>
    <xdr:to>
      <xdr:col>22</xdr:col>
      <xdr:colOff>236220</xdr:colOff>
      <xdr:row>18</xdr:row>
      <xdr:rowOff>53340</xdr:rowOff>
    </xdr:to>
    <xdr:sp macro="" textlink="">
      <xdr:nvSpPr>
        <xdr:cNvPr id="4" name="Rectangle: Rounded Corners 3">
          <a:extLst>
            <a:ext uri="{FF2B5EF4-FFF2-40B4-BE49-F238E27FC236}">
              <a16:creationId xmlns:a16="http://schemas.microsoft.com/office/drawing/2014/main" id="{86187B04-B1BD-0C26-D13F-2E30F67269E6}"/>
            </a:ext>
          </a:extLst>
        </xdr:cNvPr>
        <xdr:cNvSpPr/>
      </xdr:nvSpPr>
      <xdr:spPr>
        <a:xfrm>
          <a:off x="9974038980" y="975360"/>
          <a:ext cx="1493520" cy="2369820"/>
        </a:xfrm>
        <a:prstGeom prst="round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r" rtl="1"/>
          <a:endParaRPr lang="en-US" sz="1200" b="1">
            <a:solidFill>
              <a:sysClr val="windowText" lastClr="000000"/>
            </a:solidFill>
            <a:cs typeface="B Nazanin" panose="00000400000000000000" pitchFamily="2" charset="-78"/>
          </a:endParaRPr>
        </a:p>
      </xdr:txBody>
    </xdr:sp>
    <xdr:clientData/>
  </xdr:twoCellAnchor>
  <xdr:twoCellAnchor>
    <xdr:from>
      <xdr:col>16</xdr:col>
      <xdr:colOff>586740</xdr:colOff>
      <xdr:row>5</xdr:row>
      <xdr:rowOff>60960</xdr:rowOff>
    </xdr:from>
    <xdr:to>
      <xdr:col>19</xdr:col>
      <xdr:colOff>251460</xdr:colOff>
      <xdr:row>18</xdr:row>
      <xdr:rowOff>53340</xdr:rowOff>
    </xdr:to>
    <xdr:sp macro="" textlink="">
      <xdr:nvSpPr>
        <xdr:cNvPr id="5" name="Rectangle: Rounded Corners 4">
          <a:extLst>
            <a:ext uri="{FF2B5EF4-FFF2-40B4-BE49-F238E27FC236}">
              <a16:creationId xmlns:a16="http://schemas.microsoft.com/office/drawing/2014/main" id="{59407F8B-B1FE-4096-B4BD-F11D3AC10437}"/>
            </a:ext>
          </a:extLst>
        </xdr:cNvPr>
        <xdr:cNvSpPr/>
      </xdr:nvSpPr>
      <xdr:spPr>
        <a:xfrm>
          <a:off x="9975852540" y="975360"/>
          <a:ext cx="1493520" cy="2369820"/>
        </a:xfrm>
        <a:prstGeom prst="round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16</xdr:col>
      <xdr:colOff>281940</xdr:colOff>
      <xdr:row>19</xdr:row>
      <xdr:rowOff>0</xdr:rowOff>
    </xdr:from>
    <xdr:to>
      <xdr:col>22</xdr:col>
      <xdr:colOff>365760</xdr:colOff>
      <xdr:row>26</xdr:row>
      <xdr:rowOff>76200</xdr:rowOff>
    </xdr:to>
    <xdr:sp macro="" textlink="">
      <xdr:nvSpPr>
        <xdr:cNvPr id="6" name="Rectangle: Rounded Corners 5">
          <a:extLst>
            <a:ext uri="{FF2B5EF4-FFF2-40B4-BE49-F238E27FC236}">
              <a16:creationId xmlns:a16="http://schemas.microsoft.com/office/drawing/2014/main" id="{235EB4F1-521C-4B71-9BA4-89FB228189F9}"/>
            </a:ext>
          </a:extLst>
        </xdr:cNvPr>
        <xdr:cNvSpPr/>
      </xdr:nvSpPr>
      <xdr:spPr>
        <a:xfrm>
          <a:off x="9973909440" y="3474720"/>
          <a:ext cx="3741420" cy="1356360"/>
        </a:xfrm>
        <a:prstGeom prst="round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r" rtl="1"/>
          <a:r>
            <a:rPr lang="fa-IR" sz="1100" b="1">
              <a:solidFill>
                <a:sysClr val="windowText" lastClr="000000"/>
              </a:solidFill>
              <a:cs typeface="B Nazanin" panose="00000400000000000000" pitchFamily="2" charset="-78"/>
            </a:rPr>
            <a:t>تعداد کارکنان</a:t>
          </a:r>
          <a:r>
            <a:rPr lang="fa-IR" sz="1100" b="1" baseline="0">
              <a:solidFill>
                <a:sysClr val="windowText" lastClr="000000"/>
              </a:solidFill>
              <a:cs typeface="B Nazanin" panose="00000400000000000000" pitchFamily="2" charset="-78"/>
            </a:rPr>
            <a:t> بخش ها </a:t>
          </a:r>
          <a:endParaRPr lang="en-US" sz="1100" b="1">
            <a:solidFill>
              <a:sysClr val="windowText" lastClr="000000"/>
            </a:solidFill>
            <a:cs typeface="B Nazanin" panose="00000400000000000000" pitchFamily="2" charset="-78"/>
          </a:endParaRPr>
        </a:p>
      </xdr:txBody>
    </xdr:sp>
    <xdr:clientData/>
  </xdr:twoCellAnchor>
  <xdr:twoCellAnchor>
    <xdr:from>
      <xdr:col>12</xdr:col>
      <xdr:colOff>441960</xdr:colOff>
      <xdr:row>11</xdr:row>
      <xdr:rowOff>53340</xdr:rowOff>
    </xdr:from>
    <xdr:to>
      <xdr:col>16</xdr:col>
      <xdr:colOff>137160</xdr:colOff>
      <xdr:row>31</xdr:row>
      <xdr:rowOff>106680</xdr:rowOff>
    </xdr:to>
    <xdr:sp macro="" textlink="">
      <xdr:nvSpPr>
        <xdr:cNvPr id="7" name="Rectangle: Rounded Corners 6">
          <a:extLst>
            <a:ext uri="{FF2B5EF4-FFF2-40B4-BE49-F238E27FC236}">
              <a16:creationId xmlns:a16="http://schemas.microsoft.com/office/drawing/2014/main" id="{E5F8233B-F90E-4A27-8D32-F2562A939F9A}"/>
            </a:ext>
          </a:extLst>
        </xdr:cNvPr>
        <xdr:cNvSpPr/>
      </xdr:nvSpPr>
      <xdr:spPr>
        <a:xfrm>
          <a:off x="9977795640" y="2065020"/>
          <a:ext cx="2133600" cy="37109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r>
            <a:rPr lang="fa-IR" sz="1100" b="1">
              <a:cs typeface="B Nazanin" panose="00000400000000000000" pitchFamily="2" charset="-78"/>
            </a:rPr>
            <a:t>میانگین رضایت</a:t>
          </a:r>
          <a:r>
            <a:rPr lang="fa-IR" sz="1100" b="1" baseline="0">
              <a:cs typeface="B Nazanin" panose="00000400000000000000" pitchFamily="2" charset="-78"/>
            </a:rPr>
            <a:t> شغلی بخش ها</a:t>
          </a:r>
          <a:endParaRPr lang="en-US" sz="1100" b="1">
            <a:cs typeface="B Nazanin" panose="00000400000000000000" pitchFamily="2" charset="-78"/>
          </a:endParaRPr>
        </a:p>
      </xdr:txBody>
    </xdr:sp>
    <xdr:clientData/>
  </xdr:twoCellAnchor>
  <xdr:twoCellAnchor>
    <xdr:from>
      <xdr:col>8</xdr:col>
      <xdr:colOff>457200</xdr:colOff>
      <xdr:row>11</xdr:row>
      <xdr:rowOff>38100</xdr:rowOff>
    </xdr:from>
    <xdr:to>
      <xdr:col>12</xdr:col>
      <xdr:colOff>175260</xdr:colOff>
      <xdr:row>31</xdr:row>
      <xdr:rowOff>60960</xdr:rowOff>
    </xdr:to>
    <xdr:sp macro="" textlink="">
      <xdr:nvSpPr>
        <xdr:cNvPr id="8" name="Rectangle: Rounded Corners 7">
          <a:extLst>
            <a:ext uri="{FF2B5EF4-FFF2-40B4-BE49-F238E27FC236}">
              <a16:creationId xmlns:a16="http://schemas.microsoft.com/office/drawing/2014/main" id="{03FEDDCE-23E5-4E5F-8E1C-7BDDB57874E9}"/>
            </a:ext>
          </a:extLst>
        </xdr:cNvPr>
        <xdr:cNvSpPr/>
      </xdr:nvSpPr>
      <xdr:spPr>
        <a:xfrm>
          <a:off x="9980195940" y="2049780"/>
          <a:ext cx="2156460" cy="368046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r" rtl="1"/>
          <a:r>
            <a:rPr lang="fa-IR" sz="1100" b="1">
              <a:cs typeface="B Nazanin" panose="00000400000000000000" pitchFamily="2" charset="-78"/>
            </a:rPr>
            <a:t>میانگین حقوق</a:t>
          </a:r>
          <a:r>
            <a:rPr lang="fa-IR" sz="1100" b="1" baseline="0">
              <a:cs typeface="B Nazanin" panose="00000400000000000000" pitchFamily="2" charset="-78"/>
            </a:rPr>
            <a:t> بخش ها </a:t>
          </a:r>
          <a:r>
            <a:rPr lang="fa-IR" sz="1100" b="1">
              <a:cs typeface="B Nazanin" panose="00000400000000000000" pitchFamily="2" charset="-78"/>
            </a:rPr>
            <a:t> </a:t>
          </a:r>
          <a:endParaRPr lang="en-US" sz="1100" b="1">
            <a:cs typeface="B Nazanin" panose="00000400000000000000" pitchFamily="2" charset="-78"/>
          </a:endParaRPr>
        </a:p>
      </xdr:txBody>
    </xdr:sp>
    <xdr:clientData/>
  </xdr:twoCellAnchor>
  <xdr:twoCellAnchor>
    <xdr:from>
      <xdr:col>5</xdr:col>
      <xdr:colOff>495300</xdr:colOff>
      <xdr:row>5</xdr:row>
      <xdr:rowOff>83820</xdr:rowOff>
    </xdr:from>
    <xdr:to>
      <xdr:col>8</xdr:col>
      <xdr:colOff>160020</xdr:colOff>
      <xdr:row>18</xdr:row>
      <xdr:rowOff>38100</xdr:rowOff>
    </xdr:to>
    <xdr:sp macro="" textlink="">
      <xdr:nvSpPr>
        <xdr:cNvPr id="9" name="Rectangle: Rounded Corners 8">
          <a:extLst>
            <a:ext uri="{FF2B5EF4-FFF2-40B4-BE49-F238E27FC236}">
              <a16:creationId xmlns:a16="http://schemas.microsoft.com/office/drawing/2014/main" id="{C0169CA2-D689-4DF2-8ED5-A1BE4F0FA13F}"/>
            </a:ext>
          </a:extLst>
        </xdr:cNvPr>
        <xdr:cNvSpPr/>
      </xdr:nvSpPr>
      <xdr:spPr>
        <a:xfrm>
          <a:off x="9982649580" y="998220"/>
          <a:ext cx="1493520" cy="2331720"/>
        </a:xfrm>
        <a:prstGeom prst="round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r" rtl="1"/>
          <a:r>
            <a:rPr lang="fa-IR" sz="1000" b="1">
              <a:solidFill>
                <a:sysClr val="windowText" lastClr="000000"/>
              </a:solidFill>
              <a:cs typeface="B Nazanin" panose="00000400000000000000" pitchFamily="2" charset="-78"/>
            </a:rPr>
            <a:t>گروه سنی کارکنان</a:t>
          </a:r>
          <a:endParaRPr lang="en-US" sz="1000" b="1">
            <a:solidFill>
              <a:sysClr val="windowText" lastClr="000000"/>
            </a:solidFill>
            <a:cs typeface="B Nazanin" panose="00000400000000000000" pitchFamily="2" charset="-78"/>
          </a:endParaRPr>
        </a:p>
      </xdr:txBody>
    </xdr:sp>
    <xdr:clientData/>
  </xdr:twoCellAnchor>
  <xdr:twoCellAnchor>
    <xdr:from>
      <xdr:col>3</xdr:col>
      <xdr:colOff>30480</xdr:colOff>
      <xdr:row>5</xdr:row>
      <xdr:rowOff>38100</xdr:rowOff>
    </xdr:from>
    <xdr:to>
      <xdr:col>5</xdr:col>
      <xdr:colOff>304800</xdr:colOff>
      <xdr:row>18</xdr:row>
      <xdr:rowOff>22860</xdr:rowOff>
    </xdr:to>
    <xdr:sp macro="" textlink="">
      <xdr:nvSpPr>
        <xdr:cNvPr id="10" name="Rectangle: Rounded Corners 9">
          <a:extLst>
            <a:ext uri="{FF2B5EF4-FFF2-40B4-BE49-F238E27FC236}">
              <a16:creationId xmlns:a16="http://schemas.microsoft.com/office/drawing/2014/main" id="{4D66005F-879E-4641-8156-F6CCDB5F5494}"/>
            </a:ext>
          </a:extLst>
        </xdr:cNvPr>
        <xdr:cNvSpPr/>
      </xdr:nvSpPr>
      <xdr:spPr>
        <a:xfrm>
          <a:off x="9984333600" y="952500"/>
          <a:ext cx="1493520" cy="2362200"/>
        </a:xfrm>
        <a:prstGeom prst="round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r" rtl="1"/>
          <a:r>
            <a:rPr lang="fa-IR" sz="1050" b="1">
              <a:solidFill>
                <a:sysClr val="windowText" lastClr="000000"/>
              </a:solidFill>
              <a:cs typeface="B Nazanin" panose="00000400000000000000" pitchFamily="2" charset="-78"/>
            </a:rPr>
            <a:t>تعداد استخدام سالیانه</a:t>
          </a:r>
          <a:r>
            <a:rPr lang="fa-IR" sz="1050" b="1" baseline="0">
              <a:solidFill>
                <a:sysClr val="windowText" lastClr="000000"/>
              </a:solidFill>
              <a:cs typeface="B Nazanin" panose="00000400000000000000" pitchFamily="2" charset="-78"/>
            </a:rPr>
            <a:t> </a:t>
          </a:r>
          <a:endParaRPr lang="en-US" sz="1050" b="1">
            <a:solidFill>
              <a:sysClr val="windowText" lastClr="000000"/>
            </a:solidFill>
            <a:cs typeface="B Nazanin" panose="00000400000000000000" pitchFamily="2" charset="-78"/>
          </a:endParaRPr>
        </a:p>
      </xdr:txBody>
    </xdr:sp>
    <xdr:clientData/>
  </xdr:twoCellAnchor>
  <xdr:twoCellAnchor>
    <xdr:from>
      <xdr:col>2</xdr:col>
      <xdr:colOff>457200</xdr:colOff>
      <xdr:row>19</xdr:row>
      <xdr:rowOff>0</xdr:rowOff>
    </xdr:from>
    <xdr:to>
      <xdr:col>8</xdr:col>
      <xdr:colOff>274320</xdr:colOff>
      <xdr:row>26</xdr:row>
      <xdr:rowOff>15240</xdr:rowOff>
    </xdr:to>
    <xdr:sp macro="" textlink="">
      <xdr:nvSpPr>
        <xdr:cNvPr id="11" name="Rectangle: Rounded Corners 10">
          <a:extLst>
            <a:ext uri="{FF2B5EF4-FFF2-40B4-BE49-F238E27FC236}">
              <a16:creationId xmlns:a16="http://schemas.microsoft.com/office/drawing/2014/main" id="{0ADCE954-88C6-43AD-9F80-6E73D6BD6AEA}"/>
            </a:ext>
          </a:extLst>
        </xdr:cNvPr>
        <xdr:cNvSpPr/>
      </xdr:nvSpPr>
      <xdr:spPr>
        <a:xfrm>
          <a:off x="9982535280" y="3474720"/>
          <a:ext cx="3474720" cy="1295400"/>
        </a:xfrm>
        <a:prstGeom prst="round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r" rtl="1"/>
          <a:r>
            <a:rPr lang="fa-IR" sz="1100" b="1">
              <a:solidFill>
                <a:sysClr val="windowText" lastClr="000000"/>
              </a:solidFill>
              <a:cs typeface="B Nazanin" panose="00000400000000000000" pitchFamily="2" charset="-78"/>
            </a:rPr>
            <a:t>میانگین عملکرد بخش ها</a:t>
          </a:r>
          <a:endParaRPr lang="en-US" sz="1100" b="1">
            <a:solidFill>
              <a:sysClr val="windowText" lastClr="000000"/>
            </a:solidFill>
            <a:cs typeface="B Nazanin" panose="00000400000000000000" pitchFamily="2" charset="-78"/>
          </a:endParaRPr>
        </a:p>
      </xdr:txBody>
    </xdr:sp>
    <xdr:clientData/>
  </xdr:twoCellAnchor>
  <xdr:twoCellAnchor>
    <xdr:from>
      <xdr:col>20</xdr:col>
      <xdr:colOff>7620</xdr:colOff>
      <xdr:row>5</xdr:row>
      <xdr:rowOff>83820</xdr:rowOff>
    </xdr:from>
    <xdr:to>
      <xdr:col>22</xdr:col>
      <xdr:colOff>266700</xdr:colOff>
      <xdr:row>18</xdr:row>
      <xdr:rowOff>0</xdr:rowOff>
    </xdr:to>
    <xdr:graphicFrame macro="">
      <xdr:nvGraphicFramePr>
        <xdr:cNvPr id="13" name="Chart 12">
          <a:extLst>
            <a:ext uri="{FF2B5EF4-FFF2-40B4-BE49-F238E27FC236}">
              <a16:creationId xmlns:a16="http://schemas.microsoft.com/office/drawing/2014/main" id="{1EE6F157-72A9-42C5-8FD0-053C66608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68580</xdr:colOff>
      <xdr:row>5</xdr:row>
      <xdr:rowOff>167640</xdr:rowOff>
    </xdr:from>
    <xdr:to>
      <xdr:col>19</xdr:col>
      <xdr:colOff>167640</xdr:colOff>
      <xdr:row>17</xdr:row>
      <xdr:rowOff>129540</xdr:rowOff>
    </xdr:to>
    <xdr:graphicFrame macro="">
      <xdr:nvGraphicFramePr>
        <xdr:cNvPr id="14" name="Chart 13">
          <a:extLst>
            <a:ext uri="{FF2B5EF4-FFF2-40B4-BE49-F238E27FC236}">
              <a16:creationId xmlns:a16="http://schemas.microsoft.com/office/drawing/2014/main" id="{EC7099A0-0C27-4DE0-8811-B06F2E791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502920</xdr:colOff>
      <xdr:row>19</xdr:row>
      <xdr:rowOff>99060</xdr:rowOff>
    </xdr:from>
    <xdr:to>
      <xdr:col>22</xdr:col>
      <xdr:colOff>281940</xdr:colOff>
      <xdr:row>25</xdr:row>
      <xdr:rowOff>175260</xdr:rowOff>
    </xdr:to>
    <xdr:graphicFrame macro="">
      <xdr:nvGraphicFramePr>
        <xdr:cNvPr id="15" name="Chart 14">
          <a:extLst>
            <a:ext uri="{FF2B5EF4-FFF2-40B4-BE49-F238E27FC236}">
              <a16:creationId xmlns:a16="http://schemas.microsoft.com/office/drawing/2014/main" id="{237998E0-6AE6-4E76-88D6-44D82ACA9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541020</xdr:colOff>
      <xdr:row>6</xdr:row>
      <xdr:rowOff>144780</xdr:rowOff>
    </xdr:from>
    <xdr:to>
      <xdr:col>8</xdr:col>
      <xdr:colOff>137160</xdr:colOff>
      <xdr:row>18</xdr:row>
      <xdr:rowOff>15240</xdr:rowOff>
    </xdr:to>
    <xdr:graphicFrame macro="">
      <xdr:nvGraphicFramePr>
        <xdr:cNvPr id="16" name="Chart 15">
          <a:extLst>
            <a:ext uri="{FF2B5EF4-FFF2-40B4-BE49-F238E27FC236}">
              <a16:creationId xmlns:a16="http://schemas.microsoft.com/office/drawing/2014/main" id="{432226D7-7332-40C9-88CD-6F73A2273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99060</xdr:colOff>
      <xdr:row>7</xdr:row>
      <xdr:rowOff>129540</xdr:rowOff>
    </xdr:from>
    <xdr:to>
      <xdr:col>5</xdr:col>
      <xdr:colOff>251460</xdr:colOff>
      <xdr:row>17</xdr:row>
      <xdr:rowOff>76200</xdr:rowOff>
    </xdr:to>
    <xdr:graphicFrame macro="">
      <xdr:nvGraphicFramePr>
        <xdr:cNvPr id="17" name="Chart 16">
          <a:extLst>
            <a:ext uri="{FF2B5EF4-FFF2-40B4-BE49-F238E27FC236}">
              <a16:creationId xmlns:a16="http://schemas.microsoft.com/office/drawing/2014/main" id="{B67F92D3-2DF3-4933-BD4D-854ED51CA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403860</xdr:colOff>
      <xdr:row>16</xdr:row>
      <xdr:rowOff>99060</xdr:rowOff>
    </xdr:from>
    <xdr:to>
      <xdr:col>8</xdr:col>
      <xdr:colOff>205740</xdr:colOff>
      <xdr:row>26</xdr:row>
      <xdr:rowOff>167640</xdr:rowOff>
    </xdr:to>
    <xdr:graphicFrame macro="">
      <xdr:nvGraphicFramePr>
        <xdr:cNvPr id="18" name="Chart 17">
          <a:extLst>
            <a:ext uri="{FF2B5EF4-FFF2-40B4-BE49-F238E27FC236}">
              <a16:creationId xmlns:a16="http://schemas.microsoft.com/office/drawing/2014/main" id="{27116E25-06A7-4FED-9610-C50DC9583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472440</xdr:colOff>
      <xdr:row>13</xdr:row>
      <xdr:rowOff>38100</xdr:rowOff>
    </xdr:from>
    <xdr:to>
      <xdr:col>12</xdr:col>
      <xdr:colOff>167640</xdr:colOff>
      <xdr:row>30</xdr:row>
      <xdr:rowOff>114300</xdr:rowOff>
    </xdr:to>
    <xdr:graphicFrame macro="">
      <xdr:nvGraphicFramePr>
        <xdr:cNvPr id="19" name="Chart 18">
          <a:extLst>
            <a:ext uri="{FF2B5EF4-FFF2-40B4-BE49-F238E27FC236}">
              <a16:creationId xmlns:a16="http://schemas.microsoft.com/office/drawing/2014/main" id="{302AC117-6BBB-4794-A5EB-A3F3A7C38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434340</xdr:colOff>
      <xdr:row>13</xdr:row>
      <xdr:rowOff>38100</xdr:rowOff>
    </xdr:from>
    <xdr:to>
      <xdr:col>16</xdr:col>
      <xdr:colOff>152400</xdr:colOff>
      <xdr:row>31</xdr:row>
      <xdr:rowOff>7620</xdr:rowOff>
    </xdr:to>
    <xdr:graphicFrame macro="">
      <xdr:nvGraphicFramePr>
        <xdr:cNvPr id="20" name="Chart 19">
          <a:extLst>
            <a:ext uri="{FF2B5EF4-FFF2-40B4-BE49-F238E27FC236}">
              <a16:creationId xmlns:a16="http://schemas.microsoft.com/office/drawing/2014/main" id="{B02D088A-D8EE-4CD9-A7A5-D7F3CFAAD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121920</xdr:colOff>
      <xdr:row>1</xdr:row>
      <xdr:rowOff>83821</xdr:rowOff>
    </xdr:from>
    <xdr:to>
      <xdr:col>2</xdr:col>
      <xdr:colOff>335280</xdr:colOff>
      <xdr:row>7</xdr:row>
      <xdr:rowOff>53340</xdr:rowOff>
    </xdr:to>
    <mc:AlternateContent xmlns:mc="http://schemas.openxmlformats.org/markup-compatibility/2006" xmlns:a14="http://schemas.microsoft.com/office/drawing/2010/main">
      <mc:Choice Requires="a14">
        <xdr:graphicFrame macro="">
          <xdr:nvGraphicFramePr>
            <xdr:cNvPr id="12" name="Manager">
              <a:extLst>
                <a:ext uri="{FF2B5EF4-FFF2-40B4-BE49-F238E27FC236}">
                  <a16:creationId xmlns:a16="http://schemas.microsoft.com/office/drawing/2014/main" id="{2B1637DC-E8DC-4CE1-AF65-7A12C4CA6496}"/>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9986131920" y="266701"/>
              <a:ext cx="1432560" cy="1066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7</xdr:row>
      <xdr:rowOff>137161</xdr:rowOff>
    </xdr:from>
    <xdr:to>
      <xdr:col>2</xdr:col>
      <xdr:colOff>342900</xdr:colOff>
      <xdr:row>13</xdr:row>
      <xdr:rowOff>152400</xdr:rowOff>
    </xdr:to>
    <mc:AlternateContent xmlns:mc="http://schemas.openxmlformats.org/markup-compatibility/2006" xmlns:a14="http://schemas.microsoft.com/office/drawing/2010/main">
      <mc:Choice Requires="a14">
        <xdr:graphicFrame macro="">
          <xdr:nvGraphicFramePr>
            <xdr:cNvPr id="21" name="Department">
              <a:extLst>
                <a:ext uri="{FF2B5EF4-FFF2-40B4-BE49-F238E27FC236}">
                  <a16:creationId xmlns:a16="http://schemas.microsoft.com/office/drawing/2014/main" id="{40B79C7A-0E88-471B-92F0-54B9DB15789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986124300" y="1417321"/>
              <a:ext cx="1455420" cy="1112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14</xdr:row>
      <xdr:rowOff>53341</xdr:rowOff>
    </xdr:from>
    <xdr:to>
      <xdr:col>2</xdr:col>
      <xdr:colOff>320040</xdr:colOff>
      <xdr:row>19</xdr:row>
      <xdr:rowOff>175260</xdr:rowOff>
    </xdr:to>
    <mc:AlternateContent xmlns:mc="http://schemas.openxmlformats.org/markup-compatibility/2006" xmlns:a14="http://schemas.microsoft.com/office/drawing/2010/main">
      <mc:Choice Requires="a14">
        <xdr:graphicFrame macro="">
          <xdr:nvGraphicFramePr>
            <xdr:cNvPr id="22" name="City">
              <a:extLst>
                <a:ext uri="{FF2B5EF4-FFF2-40B4-BE49-F238E27FC236}">
                  <a16:creationId xmlns:a16="http://schemas.microsoft.com/office/drawing/2014/main" id="{1929F0BD-F4EB-4405-B038-19CEF45C219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986147160" y="2613661"/>
              <a:ext cx="1432560" cy="1036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20</xdr:row>
      <xdr:rowOff>68581</xdr:rowOff>
    </xdr:from>
    <xdr:to>
      <xdr:col>2</xdr:col>
      <xdr:colOff>304800</xdr:colOff>
      <xdr:row>26</xdr:row>
      <xdr:rowOff>121920</xdr:rowOff>
    </xdr:to>
    <mc:AlternateContent xmlns:mc="http://schemas.openxmlformats.org/markup-compatibility/2006" xmlns:a14="http://schemas.microsoft.com/office/drawing/2010/main">
      <mc:Choice Requires="a14">
        <xdr:graphicFrame macro="">
          <xdr:nvGraphicFramePr>
            <xdr:cNvPr id="23" name="Contract Type">
              <a:extLst>
                <a:ext uri="{FF2B5EF4-FFF2-40B4-BE49-F238E27FC236}">
                  <a16:creationId xmlns:a16="http://schemas.microsoft.com/office/drawing/2014/main" id="{56538F6B-945E-45C2-AC52-21186CC47185}"/>
                </a:ext>
              </a:extLst>
            </xdr:cNvPr>
            <xdr:cNvGraphicFramePr/>
          </xdr:nvGraphicFramePr>
          <xdr:xfrm>
            <a:off x="0" y="0"/>
            <a:ext cx="0" cy="0"/>
          </xdr:xfrm>
          <a:graphic>
            <a:graphicData uri="http://schemas.microsoft.com/office/drawing/2010/slicer">
              <sle:slicer xmlns:sle="http://schemas.microsoft.com/office/drawing/2010/slicer" name="Contract Type"/>
            </a:graphicData>
          </a:graphic>
        </xdr:graphicFrame>
      </mc:Choice>
      <mc:Fallback xmlns="">
        <xdr:sp macro="" textlink="">
          <xdr:nvSpPr>
            <xdr:cNvPr id="0" name=""/>
            <xdr:cNvSpPr>
              <a:spLocks noTextEdit="1"/>
            </xdr:cNvSpPr>
          </xdr:nvSpPr>
          <xdr:spPr>
            <a:xfrm>
              <a:off x="9986162400" y="3726181"/>
              <a:ext cx="1440180" cy="1150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SKALA" refreshedDate="46230.889105324073" backgroundQuery="1" createdVersion="8" refreshedVersion="8" minRefreshableVersion="3" recordCount="0" supportSubquery="1" supportAdvancedDrill="1" xr:uid="{5A290CAD-4D35-459F-BB98-586F31BBEA8F}">
  <cacheSource type="external" connectionId="1"/>
  <cacheFields count="3">
    <cacheField name="[Table1].[Department].[Department]" caption="Department" numFmtId="0" hierarchy="5" level="1">
      <sharedItems count="6">
        <s v="Finance"/>
        <s v="HR"/>
        <s v="IT"/>
        <s v="Marketing"/>
        <s v="Operations"/>
        <s v="Sales"/>
      </sharedItems>
    </cacheField>
    <cacheField name="[Measures].[Count of Employee ID]" caption="Count of Employee ID" numFmtId="0" hierarchy="34" level="32767"/>
    <cacheField name="[Table1].[Contract Type].[Contract Type]" caption="Contract Type" numFmtId="0" hierarchy="24" level="1">
      <sharedItems containsSemiMixedTypes="0" containsNonDate="0" containsString="0"/>
    </cacheField>
  </cacheFields>
  <cacheHierarchies count="42">
    <cacheHierarchy uniqueName="[Range].[Salary]" caption="Salary" attribute="1" defaultMemberUniqueName="[Range].[Salary].[All]" allUniqueName="[Range].[Salary].[All]" dimensionUniqueName="[Range]" displayFolder="" count="2" memberValueDatatype="20" unbalanced="0"/>
    <cacheHierarchy uniqueName="[Table1].[Employee ID]" caption="Employee ID" attribute="1" defaultMemberUniqueName="[Table1].[Employee ID].[All]" allUniqueName="[Table1].[Employee ID].[All]" dimensionUniqueName="[Table1]" displayFolder="" count="2" memberValueDatatype="130" unbalanced="0"/>
    <cacheHierarchy uniqueName="[Table1].[Name]" caption="Name" attribute="1" defaultMemberUniqueName="[Table1].[Name].[All]" allUniqueName="[Table1].[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Job Role]" caption="Job Role" attribute="1" defaultMemberUniqueName="[Table1].[Job Role].[All]" allUniqueName="[Table1].[Job Role].[All]" dimensionUniqueName="[Table1]" displayFolder="" count="2" memberValueDatatype="130" unbalanced="0"/>
    <cacheHierarchy uniqueName="[Table1].[Education]" caption="Education" attribute="1" defaultMemberUniqueName="[Table1].[Education].[All]" allUniqueName="[Table1].[Education].[All]" dimensionUniqueName="[Table1]" displayFolder="" count="2"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Hire Date]" caption="Hire Date" attribute="1" time="1" defaultMemberUniqueName="[Table1].[Hire Date].[All]" allUniqueName="[Table1].[Hire Date].[All]" dimensionUniqueName="[Table1]" displayFolder="" count="2" memberValueDatatype="7" unbalanced="0"/>
    <cacheHierarchy uniqueName="[Table1].[Years at Company]" caption="Years at Company" attribute="1" defaultMemberUniqueName="[Table1].[Years at Company].[All]" allUniqueName="[Table1].[Years at Company].[All]" dimensionUniqueName="[Table1]" displayFolder="" count="2" memberValueDatatype="20" unbalanced="0"/>
    <cacheHierarchy uniqueName="[Table1].[Salary]" caption="Salary" attribute="1" defaultMemberUniqueName="[Table1].[Salary].[All]" allUniqueName="[Table1].[Salary].[All]" dimensionUniqueName="[Table1]" displayFolder="" count="2" memberValueDatatype="20" unbalanced="0"/>
    <cacheHierarchy uniqueName="[Table1].[Bonus]" caption="Bonus" attribute="1" defaultMemberUniqueName="[Table1].[Bonus].[All]" allUniqueName="[Table1].[Bonus].[All]" dimensionUniqueName="[Table1]" displayFolder="" count="2" memberValueDatatype="20" unbalanced="0"/>
    <cacheHierarchy uniqueName="[Table1].[Overtime]" caption="Overtime" attribute="1" defaultMemberUniqueName="[Table1].[Overtime].[All]" allUniqueName="[Table1].[Overtime].[All]" dimensionUniqueName="[Table1]" displayFolder="" count="2" memberValueDatatype="130" unbalanced="0"/>
    <cacheHierarchy uniqueName="[Table1].[Performance Score]" caption="Performance Score" attribute="1" defaultMemberUniqueName="[Table1].[Performance Score].[All]" allUniqueName="[Table1].[Performance Score].[All]" dimensionUniqueName="[Table1]" displayFolder="" count="2" memberValueDatatype="5" unbalanced="0"/>
    <cacheHierarchy uniqueName="[Table1].[Training Hours]" caption="Training Hours" attribute="1" defaultMemberUniqueName="[Table1].[Training Hours].[All]" allUniqueName="[Table1].[Training Hours].[All]" dimensionUniqueName="[Table1]" displayFolder="" count="2" memberValueDatatype="20" unbalanced="0"/>
    <cacheHierarchy uniqueName="[Table1].[Job Satisfaction]" caption="Job Satisfaction" attribute="1" defaultMemberUniqueName="[Table1].[Job Satisfaction].[All]" allUniqueName="[Table1].[Job Satisfaction].[All]" dimensionUniqueName="[Table1]" displayFolder="" count="2" memberValueDatatype="20" unbalanced="0"/>
    <cacheHierarchy uniqueName="[Table1].[Work Life Balance]" caption="Work Life Balance" attribute="1" defaultMemberUniqueName="[Table1].[Work Life Balance].[All]" allUniqueName="[Table1].[Work Life Balance].[All]" dimensionUniqueName="[Table1]" displayFolder="" count="2" memberValueDatatype="20" unbalanced="0"/>
    <cacheHierarchy uniqueName="[Table1].[Absent Days]" caption="Absent Days" attribute="1" defaultMemberUniqueName="[Table1].[Absent Days].[All]" allUniqueName="[Table1].[Absent Days].[All]" dimensionUniqueName="[Table1]" displayFolder="" count="2" memberValueDatatype="20" unbalanced="0"/>
    <cacheHierarchy uniqueName="[Table1].[Promotion]" caption="Promotion" attribute="1" defaultMemberUniqueName="[Table1].[Promotion].[All]" allUniqueName="[Table1].[Promotion].[All]" dimensionUniqueName="[Table1]" displayFolder="" count="2" memberValueDatatype="130" unbalanced="0"/>
    <cacheHierarchy uniqueName="[Table1].[Resigned]" caption="Resigned" attribute="1" defaultMemberUniqueName="[Table1].[Resigned].[All]" allUniqueName="[Table1].[Resigned].[All]" dimensionUniqueName="[Table1]" displayFolder="" count="2" memberValueDatatype="130" unbalanced="0"/>
    <cacheHierarchy uniqueName="[Table1].[Manager]" caption="Manager" attribute="1" defaultMemberUniqueName="[Table1].[Manager].[All]" allUniqueName="[Table1].[Manager].[All]" dimensionUniqueName="[Table1]" displayFolder="" count="2" memberValueDatatype="130" unbalanced="0"/>
    <cacheHierarchy uniqueName="[Table1].[Remote Work]" caption="Remote Work" attribute="1" defaultMemberUniqueName="[Table1].[Remote Work].[All]" allUniqueName="[Table1].[Remote Work].[All]" dimensionUniqueName="[Table1]" displayFolder="" count="2" memberValueDatatype="130" unbalanced="0"/>
    <cacheHierarchy uniqueName="[Table1].[Contract Type]" caption="Contract Type" attribute="1" defaultMemberUniqueName="[Table1].[Contract Type].[All]" allUniqueName="[Table1].[Contrac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2" memberValueDatatype="130" unbalanced="0"/>
    <cacheHierarchy uniqueName="[Table1].[age group]" caption="age group" attribute="1" defaultMemberUniqueName="[Table1].[age group].[All]" allUniqueName="[Table1].[age group].[All]" dimensionUniqueName="[Table1]" displayFolder="" count="2" memberValueDatatype="130" unbalanced="0"/>
    <cacheHierarchy uniqueName="[Table1].[salary level]" caption="salary level" attribute="1" defaultMemberUniqueName="[Table1].[salary level].[All]" allUniqueName="[Table1].[salary level].[All]" dimensionUniqueName="[Table1]" displayFolder="" count="2" memberValueDatatype="130" unbalanced="0"/>
    <cacheHierarchy uniqueName="[Table1].[hire year]" caption="hire year" attribute="1" defaultMemberUniqueName="[Table1].[hire year].[All]" allUniqueName="[Table1].[hire year].[All]" dimensionUniqueName="[Table1]" displayFolder="" count="2" memberValueDatatype="20" unbalanced="0"/>
    <cacheHierarchy uniqueName="[Table1].[hire month]" caption="hire month" attribute="1" defaultMemberUniqueName="[Table1].[hire month].[All]" allUniqueName="[Table1].[hire month].[All]" dimensionUniqueName="[Table1]" displayFolder="" count="2" memberValueDatatype="130" unbalanced="0"/>
    <cacheHierarchy uniqueName="[Table1].[employee status]" caption="employee status" attribute="1" defaultMemberUniqueName="[Table1].[employee status].[All]" allUniqueName="[Table1].[employee status].[All]" dimensionUniqueName="[Table1]" displayFolder="" count="2"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 ID]" caption="Count of Employee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15"/>
        </ext>
      </extLst>
    </cacheHierarchy>
    <cacheHierarchy uniqueName="[Measures].[Sum of Job Satisfaction]" caption="Sum of Job Satisfaction" measure="1" displayFolder="" measureGroup="Table1" count="0" hidden="1">
      <extLst>
        <ext xmlns:x15="http://schemas.microsoft.com/office/spreadsheetml/2010/11/main" uri="{B97F6D7D-B522-45F9-BDA1-12C45D357490}">
          <x15:cacheHierarchy aggregatedColumn="17"/>
        </ext>
      </extLst>
    </cacheHierarchy>
    <cacheHierarchy uniqueName="[Measures].[Sum of hire year]" caption="Sum of hire year" measure="1" displayFolder="" measureGroup="Table1" count="0" hidden="1">
      <extLst>
        <ext xmlns:x15="http://schemas.microsoft.com/office/spreadsheetml/2010/11/main" uri="{B97F6D7D-B522-45F9-BDA1-12C45D357490}">
          <x15:cacheHierarchy aggregatedColumn="28"/>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10"/>
        </ext>
      </extLst>
    </cacheHierarchy>
    <cacheHierarchy uniqueName="[Measures].[Max of Hire Date]" caption="Max of Hire Date" measure="1" displayFolder="" measureGroup="Table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SKALA" refreshedDate="46230.889105787035" backgroundQuery="1" createdVersion="8" refreshedVersion="8" minRefreshableVersion="3" recordCount="0" supportSubquery="1" supportAdvancedDrill="1" xr:uid="{E022FD59-4515-42BF-ACA0-45FA3DE0CDE6}">
  <cacheSource type="external" connectionId="1"/>
  <cacheFields count="3">
    <cacheField name="[Table1].[hire year].[hire year]" caption="hire year" numFmtId="0" hierarchy="28" level="1">
      <sharedItems containsSemiMixedTypes="0" containsString="0" containsNumber="1" containsInteger="1" minValue="2016" maxValue="2025" count="10">
        <n v="2016"/>
        <n v="2017"/>
        <n v="2018"/>
        <n v="2019"/>
        <n v="2020"/>
        <n v="2021"/>
        <n v="2022"/>
        <n v="2023"/>
        <n v="2024"/>
        <n v="2025"/>
      </sharedItems>
      <extLst>
        <ext xmlns:x15="http://schemas.microsoft.com/office/spreadsheetml/2010/11/main" uri="{4F2E5C28-24EA-4eb8-9CBF-B6C8F9C3D259}">
          <x15:cachedUniqueNames>
            <x15:cachedUniqueName index="0" name="[Table1].[hire year].&amp;[2016]"/>
            <x15:cachedUniqueName index="1" name="[Table1].[hire year].&amp;[2017]"/>
            <x15:cachedUniqueName index="2" name="[Table1].[hire year].&amp;[2018]"/>
            <x15:cachedUniqueName index="3" name="[Table1].[hire year].&amp;[2019]"/>
            <x15:cachedUniqueName index="4" name="[Table1].[hire year].&amp;[2020]"/>
            <x15:cachedUniqueName index="5" name="[Table1].[hire year].&amp;[2021]"/>
            <x15:cachedUniqueName index="6" name="[Table1].[hire year].&amp;[2022]"/>
            <x15:cachedUniqueName index="7" name="[Table1].[hire year].&amp;[2023]"/>
            <x15:cachedUniqueName index="8" name="[Table1].[hire year].&amp;[2024]"/>
            <x15:cachedUniqueName index="9" name="[Table1].[hire year].&amp;[2025]"/>
          </x15:cachedUniqueNames>
        </ext>
      </extLst>
    </cacheField>
    <cacheField name="[Measures].[Count of Hire Date]" caption="Count of Hire Date" numFmtId="0" hierarchy="38" level="32767"/>
    <cacheField name="[Table1].[Contract Type].[Contract Type]" caption="Contract Type" numFmtId="0" hierarchy="24" level="1">
      <sharedItems containsSemiMixedTypes="0" containsNonDate="0" containsString="0"/>
    </cacheField>
  </cacheFields>
  <cacheHierarchies count="42">
    <cacheHierarchy uniqueName="[Range].[Salary]" caption="Salary" attribute="1" defaultMemberUniqueName="[Range].[Salary].[All]" allUniqueName="[Range].[Salary].[All]" dimensionUniqueName="[Range]" displayFolder="" count="0" memberValueDatatype="20" unbalanced="0"/>
    <cacheHierarchy uniqueName="[Table1].[Employee ID]" caption="Employee ID" attribute="1" defaultMemberUniqueName="[Table1].[Employee ID].[All]" allUniqueName="[Table1].[Employee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Bonus]" caption="Bonus" attribute="1" defaultMemberUniqueName="[Table1].[Bonus].[All]" allUniqueName="[Table1].[Bonus].[All]" dimensionUniqueName="[Table1]" displayFolder="" count="0" memberValueDatatype="20" unbalanced="0"/>
    <cacheHierarchy uniqueName="[Table1].[Overtime]" caption="Overtime" attribute="1" defaultMemberUniqueName="[Table1].[Overtime].[All]" allUniqueName="[Table1].[Overtime].[All]" dimensionUniqueName="[Table1]" displayFolder="" count="0" memberValueDatatype="130" unbalanced="0"/>
    <cacheHierarchy uniqueName="[Table1].[Performance Score]" caption="Performance Score" attribute="1" defaultMemberUniqueName="[Table1].[Performance Score].[All]" allUniqueName="[Table1].[Performance Score].[All]" dimensionUniqueName="[Table1]" displayFolder="" count="0" memberValueDatatype="5" unbalanced="0"/>
    <cacheHierarchy uniqueName="[Table1].[Training Hours]" caption="Training Hours" attribute="1" defaultMemberUniqueName="[Table1].[Training Hours].[All]" allUniqueName="[Table1].[Training Hours].[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Absent Days]" caption="Absent Days" attribute="1" defaultMemberUniqueName="[Table1].[Absent Days].[All]" allUniqueName="[Table1].[Absent Days].[All]" dimensionUniqueName="[Table1]" displayFolder="" count="0" memberValueDatatype="20" unbalanced="0"/>
    <cacheHierarchy uniqueName="[Table1].[Promotion]" caption="Promotion" attribute="1" defaultMemberUniqueName="[Table1].[Promotion].[All]" allUniqueName="[Table1].[Promotion].[All]" dimensionUniqueName="[Table1]" displayFolder="" count="0" memberValueDatatype="130" unbalanced="0"/>
    <cacheHierarchy uniqueName="[Table1].[Resigned]" caption="Resigned" attribute="1" defaultMemberUniqueName="[Table1].[Resigned].[All]" allUniqueName="[Table1].[Resigned].[All]" dimensionUniqueName="[Table1]" displayFolder="" count="0" memberValueDatatype="130" unbalanced="0"/>
    <cacheHierarchy uniqueName="[Table1].[Manager]" caption="Manager" attribute="1" defaultMemberUniqueName="[Table1].[Manager].[All]" allUniqueName="[Table1].[Manager].[All]" dimensionUniqueName="[Table1]" displayFolder="" count="2" memberValueDatatype="130" unbalanced="0"/>
    <cacheHierarchy uniqueName="[Table1].[Remote Work]" caption="Remote Work" attribute="1" defaultMemberUniqueName="[Table1].[Remote Work].[All]" allUniqueName="[Table1].[Remote Work].[All]" dimensionUniqueName="[Table1]" displayFolder="" count="0" memberValueDatatype="130" unbalanced="0"/>
    <cacheHierarchy uniqueName="[Table1].[Contract Type]" caption="Contract Type" attribute="1" defaultMemberUniqueName="[Table1].[Contract Type].[All]" allUniqueName="[Table1].[Contrac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salary level]" caption="salary level" attribute="1" defaultMemberUniqueName="[Table1].[salary level].[All]" allUniqueName="[Table1].[salary level].[All]" dimensionUniqueName="[Table1]" displayFolder="" count="0" memberValueDatatype="130" unbalanced="0"/>
    <cacheHierarchy uniqueName="[Table1].[hire year]" caption="hire year" attribute="1" defaultMemberUniqueName="[Table1].[hire year].[All]" allUniqueName="[Table1].[hire year].[All]" dimensionUniqueName="[Table1]" displayFolder="" count="2" memberValueDatatype="20" unbalanced="0">
      <fieldsUsage count="2">
        <fieldUsage x="-1"/>
        <fieldUsage x="0"/>
      </fieldsUsage>
    </cacheHierarchy>
    <cacheHierarchy uniqueName="[Table1].[hire month]" caption="hire month" attribute="1" defaultMemberUniqueName="[Table1].[hire month].[All]" allUniqueName="[Table1].[hire month].[All]" dimensionUniqueName="[Table1]" displayFolder="" count="0" memberValueDatatype="130" unbalanced="0"/>
    <cacheHierarchy uniqueName="[Table1].[employee status]" caption="employee status" attribute="1" defaultMemberUniqueName="[Table1].[employee status].[All]" allUniqueName="[Table1].[employee status].[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 ID]" caption="Count of Employee ID" measure="1" displayFolder="" measureGroup="Table1" count="0" hidden="1">
      <extLst>
        <ext xmlns:x15="http://schemas.microsoft.com/office/spreadsheetml/2010/11/main" uri="{B97F6D7D-B522-45F9-BDA1-12C45D357490}">
          <x15:cacheHierarchy aggregatedColumn="1"/>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15"/>
        </ext>
      </extLst>
    </cacheHierarchy>
    <cacheHierarchy uniqueName="[Measures].[Sum of Job Satisfaction]" caption="Sum of Job Satisfaction" measure="1" displayFolder="" measureGroup="Table1" count="0" hidden="1">
      <extLst>
        <ext xmlns:x15="http://schemas.microsoft.com/office/spreadsheetml/2010/11/main" uri="{B97F6D7D-B522-45F9-BDA1-12C45D357490}">
          <x15:cacheHierarchy aggregatedColumn="17"/>
        </ext>
      </extLst>
    </cacheHierarchy>
    <cacheHierarchy uniqueName="[Measures].[Sum of hire year]" caption="Sum of hire year" measure="1" displayFolder="" measureGroup="Table1" count="0" hidden="1">
      <extLst>
        <ext xmlns:x15="http://schemas.microsoft.com/office/spreadsheetml/2010/11/main" uri="{B97F6D7D-B522-45F9-BDA1-12C45D357490}">
          <x15:cacheHierarchy aggregatedColumn="28"/>
        </ext>
      </extLst>
    </cacheHierarchy>
    <cacheHierarchy uniqueName="[Measures].[Count of Hire Date]" caption="Count of Hire Date"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Max of Hire Date]" caption="Max of Hire Date" measure="1" displayFolder="" measureGroup="Table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SKALA" refreshedDate="46230.889106134258" backgroundQuery="1" createdVersion="8" refreshedVersion="8" minRefreshableVersion="3" recordCount="0" supportSubquery="1" supportAdvancedDrill="1" xr:uid="{13E4DEBF-B976-47DA-97EE-A039E2DE988A}">
  <cacheSource type="external" connectionId="1"/>
  <cacheFields count="3">
    <cacheField name="[Table1].[Department].[Department]" caption="Department" numFmtId="0" hierarchy="5" level="1">
      <sharedItems count="6">
        <s v="Finance"/>
        <s v="HR"/>
        <s v="IT"/>
        <s v="Marketing"/>
        <s v="Operations"/>
        <s v="Sales"/>
      </sharedItems>
    </cacheField>
    <cacheField name="[Measures].[Average of Salary]" caption="Average of Salary" numFmtId="0" hierarchy="41" level="32767"/>
    <cacheField name="[Table1].[Contract Type].[Contract Type]" caption="Contract Type" numFmtId="0" hierarchy="24" level="1">
      <sharedItems containsSemiMixedTypes="0" containsNonDate="0" containsString="0"/>
    </cacheField>
  </cacheFields>
  <cacheHierarchies count="42">
    <cacheHierarchy uniqueName="[Range].[Salary]" caption="Salary" attribute="1" defaultMemberUniqueName="[Range].[Salary].[All]" allUniqueName="[Range].[Salary].[All]" dimensionUniqueName="[Range]" displayFolder="" count="0" memberValueDatatype="20" unbalanced="0"/>
    <cacheHierarchy uniqueName="[Table1].[Employee ID]" caption="Employee ID" attribute="1" defaultMemberUniqueName="[Table1].[Employee ID].[All]" allUniqueName="[Table1].[Employee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Job Role]" caption="Job Role" attribute="1" defaultMemberUniqueName="[Table1].[Job Role].[All]" allUniqueName="[Table1].[Job Role].[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Bonus]" caption="Bonus" attribute="1" defaultMemberUniqueName="[Table1].[Bonus].[All]" allUniqueName="[Table1].[Bonus].[All]" dimensionUniqueName="[Table1]" displayFolder="" count="0" memberValueDatatype="20" unbalanced="0"/>
    <cacheHierarchy uniqueName="[Table1].[Overtime]" caption="Overtime" attribute="1" defaultMemberUniqueName="[Table1].[Overtime].[All]" allUniqueName="[Table1].[Overtime].[All]" dimensionUniqueName="[Table1]" displayFolder="" count="0" memberValueDatatype="130" unbalanced="0"/>
    <cacheHierarchy uniqueName="[Table1].[Performance Score]" caption="Performance Score" attribute="1" defaultMemberUniqueName="[Table1].[Performance Score].[All]" allUniqueName="[Table1].[Performance Score].[All]" dimensionUniqueName="[Table1]" displayFolder="" count="0" memberValueDatatype="5" unbalanced="0"/>
    <cacheHierarchy uniqueName="[Table1].[Training Hours]" caption="Training Hours" attribute="1" defaultMemberUniqueName="[Table1].[Training Hours].[All]" allUniqueName="[Table1].[Training Hours].[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Absent Days]" caption="Absent Days" attribute="1" defaultMemberUniqueName="[Table1].[Absent Days].[All]" allUniqueName="[Table1].[Absent Days].[All]" dimensionUniqueName="[Table1]" displayFolder="" count="0" memberValueDatatype="20" unbalanced="0"/>
    <cacheHierarchy uniqueName="[Table1].[Promotion]" caption="Promotion" attribute="1" defaultMemberUniqueName="[Table1].[Promotion].[All]" allUniqueName="[Table1].[Promotion].[All]" dimensionUniqueName="[Table1]" displayFolder="" count="0" memberValueDatatype="130" unbalanced="0"/>
    <cacheHierarchy uniqueName="[Table1].[Resigned]" caption="Resigned" attribute="1" defaultMemberUniqueName="[Table1].[Resigned].[All]" allUniqueName="[Table1].[Resigned].[All]" dimensionUniqueName="[Table1]" displayFolder="" count="0" memberValueDatatype="130" unbalanced="0"/>
    <cacheHierarchy uniqueName="[Table1].[Manager]" caption="Manager" attribute="1" defaultMemberUniqueName="[Table1].[Manager].[All]" allUniqueName="[Table1].[Manager].[All]" dimensionUniqueName="[Table1]" displayFolder="" count="2" memberValueDatatype="130" unbalanced="0"/>
    <cacheHierarchy uniqueName="[Table1].[Remote Work]" caption="Remote Work" attribute="1" defaultMemberUniqueName="[Table1].[Remote Work].[All]" allUniqueName="[Table1].[Remote Work].[All]" dimensionUniqueName="[Table1]" displayFolder="" count="0" memberValueDatatype="130" unbalanced="0"/>
    <cacheHierarchy uniqueName="[Table1].[Contract Type]" caption="Contract Type" attribute="1" defaultMemberUniqueName="[Table1].[Contract Type].[All]" allUniqueName="[Table1].[Contrac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salary level]" caption="salary level" attribute="1" defaultMemberUniqueName="[Table1].[salary level].[All]" allUniqueName="[Table1].[salary level].[All]" dimensionUniqueName="[Table1]" displayFolder="" count="0" memberValueDatatype="130" unbalanced="0"/>
    <cacheHierarchy uniqueName="[Table1].[hire year]" caption="hire year" attribute="1" defaultMemberUniqueName="[Table1].[hire year].[All]" allUniqueName="[Table1].[hire year].[All]" dimensionUniqueName="[Table1]" displayFolder="" count="0" memberValueDatatype="20" unbalanced="0"/>
    <cacheHierarchy uniqueName="[Table1].[hire month]" caption="hire month" attribute="1" defaultMemberUniqueName="[Table1].[hire month].[All]" allUniqueName="[Table1].[hire month].[All]" dimensionUniqueName="[Table1]" displayFolder="" count="0" memberValueDatatype="130" unbalanced="0"/>
    <cacheHierarchy uniqueName="[Table1].[employee status]" caption="employee status" attribute="1" defaultMemberUniqueName="[Table1].[employee status].[All]" allUniqueName="[Table1].[employee status].[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 ID]" caption="Count of Employee ID" measure="1" displayFolder="" measureGroup="Table1" count="0" hidden="1">
      <extLst>
        <ext xmlns:x15="http://schemas.microsoft.com/office/spreadsheetml/2010/11/main" uri="{B97F6D7D-B522-45F9-BDA1-12C45D357490}">
          <x15:cacheHierarchy aggregatedColumn="1"/>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15"/>
        </ext>
      </extLst>
    </cacheHierarchy>
    <cacheHierarchy uniqueName="[Measures].[Sum of Job Satisfaction]" caption="Sum of Job Satisfaction" measure="1" displayFolder="" measureGroup="Table1" count="0" hidden="1">
      <extLst>
        <ext xmlns:x15="http://schemas.microsoft.com/office/spreadsheetml/2010/11/main" uri="{B97F6D7D-B522-45F9-BDA1-12C45D357490}">
          <x15:cacheHierarchy aggregatedColumn="17"/>
        </ext>
      </extLst>
    </cacheHierarchy>
    <cacheHierarchy uniqueName="[Measures].[Sum of hire year]" caption="Sum of hire year" measure="1" displayFolder="" measureGroup="Table1" count="0" hidden="1">
      <extLst>
        <ext xmlns:x15="http://schemas.microsoft.com/office/spreadsheetml/2010/11/main" uri="{B97F6D7D-B522-45F9-BDA1-12C45D357490}">
          <x15:cacheHierarchy aggregatedColumn="28"/>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10"/>
        </ext>
      </extLst>
    </cacheHierarchy>
    <cacheHierarchy uniqueName="[Measures].[Max of Hire Date]" caption="Max of Hire Date" measure="1" displayFolder="" measureGroup="Table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SKALA" refreshedDate="46230.88910659722" backgroundQuery="1" createdVersion="8" refreshedVersion="8" minRefreshableVersion="3" recordCount="0" supportSubquery="1" supportAdvancedDrill="1" xr:uid="{B0D4C0ED-D584-43B8-9030-CCA9BED9160A}">
  <cacheSource type="external" connectionId="1"/>
  <cacheFields count="3">
    <cacheField name="[Table1].[City].[City]" caption="City" numFmtId="0" hierarchy="9" level="1">
      <sharedItems count="5">
        <s v="Isfahan"/>
        <s v="Mashhad"/>
        <s v="Shiraz"/>
        <s v="Tabriz"/>
        <s v="Tehran"/>
      </sharedItems>
    </cacheField>
    <cacheField name="[Measures].[Count of Employee ID]" caption="Count of Employee ID" numFmtId="0" hierarchy="34" level="32767"/>
    <cacheField name="[Table1].[Contract Type].[Contract Type]" caption="Contract Type" numFmtId="0" hierarchy="24" level="1">
      <sharedItems containsSemiMixedTypes="0" containsNonDate="0" containsString="0"/>
    </cacheField>
  </cacheFields>
  <cacheHierarchies count="42">
    <cacheHierarchy uniqueName="[Range].[Salary]" caption="Salary" attribute="1" defaultMemberUniqueName="[Range].[Salary].[All]" allUniqueName="[Range].[Salary].[All]" dimensionUniqueName="[Range]" displayFolder="" count="0" memberValueDatatype="20" unbalanced="0"/>
    <cacheHierarchy uniqueName="[Table1].[Employee ID]" caption="Employee ID" attribute="1" defaultMemberUniqueName="[Table1].[Employee ID].[All]" allUniqueName="[Table1].[Employee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Hire Date]" caption="Hire Date" attribute="1" time="1" defaultMemberUniqueName="[Table1].[Hire Date].[All]" allUniqueName="[Table1].[Hire Date].[All]" dimensionUniqueName="[Table1]" displayFolder="" count="0" memberValueDatatype="7"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Bonus]" caption="Bonus" attribute="1" defaultMemberUniqueName="[Table1].[Bonus].[All]" allUniqueName="[Table1].[Bonus].[All]" dimensionUniqueName="[Table1]" displayFolder="" count="0" memberValueDatatype="20" unbalanced="0"/>
    <cacheHierarchy uniqueName="[Table1].[Overtime]" caption="Overtime" attribute="1" defaultMemberUniqueName="[Table1].[Overtime].[All]" allUniqueName="[Table1].[Overtime].[All]" dimensionUniqueName="[Table1]" displayFolder="" count="0" memberValueDatatype="130" unbalanced="0"/>
    <cacheHierarchy uniqueName="[Table1].[Performance Score]" caption="Performance Score" attribute="1" defaultMemberUniqueName="[Table1].[Performance Score].[All]" allUniqueName="[Table1].[Performance Score].[All]" dimensionUniqueName="[Table1]" displayFolder="" count="0" memberValueDatatype="5" unbalanced="0"/>
    <cacheHierarchy uniqueName="[Table1].[Training Hours]" caption="Training Hours" attribute="1" defaultMemberUniqueName="[Table1].[Training Hours].[All]" allUniqueName="[Table1].[Training Hours].[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Absent Days]" caption="Absent Days" attribute="1" defaultMemberUniqueName="[Table1].[Absent Days].[All]" allUniqueName="[Table1].[Absent Days].[All]" dimensionUniqueName="[Table1]" displayFolder="" count="0" memberValueDatatype="20" unbalanced="0"/>
    <cacheHierarchy uniqueName="[Table1].[Promotion]" caption="Promotion" attribute="1" defaultMemberUniqueName="[Table1].[Promotion].[All]" allUniqueName="[Table1].[Promotion].[All]" dimensionUniqueName="[Table1]" displayFolder="" count="0" memberValueDatatype="130" unbalanced="0"/>
    <cacheHierarchy uniqueName="[Table1].[Resigned]" caption="Resigned" attribute="1" defaultMemberUniqueName="[Table1].[Resigned].[All]" allUniqueName="[Table1].[Resigned].[All]" dimensionUniqueName="[Table1]" displayFolder="" count="0" memberValueDatatype="130" unbalanced="0"/>
    <cacheHierarchy uniqueName="[Table1].[Manager]" caption="Manager" attribute="1" defaultMemberUniqueName="[Table1].[Manager].[All]" allUniqueName="[Table1].[Manager].[All]" dimensionUniqueName="[Table1]" displayFolder="" count="2" memberValueDatatype="130" unbalanced="0"/>
    <cacheHierarchy uniqueName="[Table1].[Remote Work]" caption="Remote Work" attribute="1" defaultMemberUniqueName="[Table1].[Remote Work].[All]" allUniqueName="[Table1].[Remote Work].[All]" dimensionUniqueName="[Table1]" displayFolder="" count="0" memberValueDatatype="130" unbalanced="0"/>
    <cacheHierarchy uniqueName="[Table1].[Contract Type]" caption="Contract Type" attribute="1" defaultMemberUniqueName="[Table1].[Contract Type].[All]" allUniqueName="[Table1].[Contrac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salary level]" caption="salary level" attribute="1" defaultMemberUniqueName="[Table1].[salary level].[All]" allUniqueName="[Table1].[salary level].[All]" dimensionUniqueName="[Table1]" displayFolder="" count="0" memberValueDatatype="130" unbalanced="0"/>
    <cacheHierarchy uniqueName="[Table1].[hire year]" caption="hire year" attribute="1" defaultMemberUniqueName="[Table1].[hire year].[All]" allUniqueName="[Table1].[hire year].[All]" dimensionUniqueName="[Table1]" displayFolder="" count="0" memberValueDatatype="20" unbalanced="0"/>
    <cacheHierarchy uniqueName="[Table1].[hire month]" caption="hire month" attribute="1" defaultMemberUniqueName="[Table1].[hire month].[All]" allUniqueName="[Table1].[hire month].[All]" dimensionUniqueName="[Table1]" displayFolder="" count="0" memberValueDatatype="130" unbalanced="0"/>
    <cacheHierarchy uniqueName="[Table1].[employee status]" caption="employee status" attribute="1" defaultMemberUniqueName="[Table1].[employee status].[All]" allUniqueName="[Table1].[employee status].[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 ID]" caption="Count of Employee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15"/>
        </ext>
      </extLst>
    </cacheHierarchy>
    <cacheHierarchy uniqueName="[Measures].[Sum of Job Satisfaction]" caption="Sum of Job Satisfaction" measure="1" displayFolder="" measureGroup="Table1" count="0" hidden="1">
      <extLst>
        <ext xmlns:x15="http://schemas.microsoft.com/office/spreadsheetml/2010/11/main" uri="{B97F6D7D-B522-45F9-BDA1-12C45D357490}">
          <x15:cacheHierarchy aggregatedColumn="17"/>
        </ext>
      </extLst>
    </cacheHierarchy>
    <cacheHierarchy uniqueName="[Measures].[Sum of hire year]" caption="Sum of hire year" measure="1" displayFolder="" measureGroup="Table1" count="0" hidden="1">
      <extLst>
        <ext xmlns:x15="http://schemas.microsoft.com/office/spreadsheetml/2010/11/main" uri="{B97F6D7D-B522-45F9-BDA1-12C45D357490}">
          <x15:cacheHierarchy aggregatedColumn="28"/>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10"/>
        </ext>
      </extLst>
    </cacheHierarchy>
    <cacheHierarchy uniqueName="[Measures].[Max of Hire Date]" caption="Max of Hire Date" measure="1" displayFolder="" measureGroup="Table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SKALA" refreshedDate="46230.889106944443" backgroundQuery="1" createdVersion="8" refreshedVersion="8" minRefreshableVersion="3" recordCount="0" supportSubquery="1" supportAdvancedDrill="1" xr:uid="{244D0B96-9834-424B-B83E-4896B5E0A469}">
  <cacheSource type="external" connectionId="1"/>
  <cacheFields count="3">
    <cacheField name="[Table1].[Gender].[Gender]" caption="Gender" numFmtId="0" hierarchy="3" level="1">
      <sharedItems count="2">
        <s v="Female"/>
        <s v="Male"/>
      </sharedItems>
    </cacheField>
    <cacheField name="[Measures].[Count of Employee ID]" caption="Count of Employee ID" numFmtId="0" hierarchy="34" level="32767"/>
    <cacheField name="[Table1].[Contract Type].[Contract Type]" caption="Contract Type" numFmtId="0" hierarchy="24" level="1">
      <sharedItems containsSemiMixedTypes="0" containsNonDate="0" containsString="0"/>
    </cacheField>
  </cacheFields>
  <cacheHierarchies count="42">
    <cacheHierarchy uniqueName="[Range].[Salary]" caption="Salary" attribute="1" defaultMemberUniqueName="[Range].[Salary].[All]" allUniqueName="[Range].[Salary].[All]" dimensionUniqueName="[Range]" displayFolder="" count="0" memberValueDatatype="20" unbalanced="0"/>
    <cacheHierarchy uniqueName="[Table1].[Employee ID]" caption="Employee ID" attribute="1" defaultMemberUniqueName="[Table1].[Employee ID].[All]" allUniqueName="[Table1].[Employee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Bonus]" caption="Bonus" attribute="1" defaultMemberUniqueName="[Table1].[Bonus].[All]" allUniqueName="[Table1].[Bonus].[All]" dimensionUniqueName="[Table1]" displayFolder="" count="0" memberValueDatatype="20" unbalanced="0"/>
    <cacheHierarchy uniqueName="[Table1].[Overtime]" caption="Overtime" attribute="1" defaultMemberUniqueName="[Table1].[Overtime].[All]" allUniqueName="[Table1].[Overtime].[All]" dimensionUniqueName="[Table1]" displayFolder="" count="0" memberValueDatatype="130" unbalanced="0"/>
    <cacheHierarchy uniqueName="[Table1].[Performance Score]" caption="Performance Score" attribute="1" defaultMemberUniqueName="[Table1].[Performance Score].[All]" allUniqueName="[Table1].[Performance Score].[All]" dimensionUniqueName="[Table1]" displayFolder="" count="0" memberValueDatatype="5" unbalanced="0"/>
    <cacheHierarchy uniqueName="[Table1].[Training Hours]" caption="Training Hours" attribute="1" defaultMemberUniqueName="[Table1].[Training Hours].[All]" allUniqueName="[Table1].[Training Hours].[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Absent Days]" caption="Absent Days" attribute="1" defaultMemberUniqueName="[Table1].[Absent Days].[All]" allUniqueName="[Table1].[Absent Days].[All]" dimensionUniqueName="[Table1]" displayFolder="" count="0" memberValueDatatype="20" unbalanced="0"/>
    <cacheHierarchy uniqueName="[Table1].[Promotion]" caption="Promotion" attribute="1" defaultMemberUniqueName="[Table1].[Promotion].[All]" allUniqueName="[Table1].[Promotion].[All]" dimensionUniqueName="[Table1]" displayFolder="" count="0" memberValueDatatype="130" unbalanced="0"/>
    <cacheHierarchy uniqueName="[Table1].[Resigned]" caption="Resigned" attribute="1" defaultMemberUniqueName="[Table1].[Resigned].[All]" allUniqueName="[Table1].[Resigned].[All]" dimensionUniqueName="[Table1]" displayFolder="" count="0" memberValueDatatype="130" unbalanced="0"/>
    <cacheHierarchy uniqueName="[Table1].[Manager]" caption="Manager" attribute="1" defaultMemberUniqueName="[Table1].[Manager].[All]" allUniqueName="[Table1].[Manager].[All]" dimensionUniqueName="[Table1]" displayFolder="" count="2" memberValueDatatype="130" unbalanced="0"/>
    <cacheHierarchy uniqueName="[Table1].[Remote Work]" caption="Remote Work" attribute="1" defaultMemberUniqueName="[Table1].[Remote Work].[All]" allUniqueName="[Table1].[Remote Work].[All]" dimensionUniqueName="[Table1]" displayFolder="" count="0" memberValueDatatype="130" unbalanced="0"/>
    <cacheHierarchy uniqueName="[Table1].[Contract Type]" caption="Contract Type" attribute="1" defaultMemberUniqueName="[Table1].[Contract Type].[All]" allUniqueName="[Table1].[Contrac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salary level]" caption="salary level" attribute="1" defaultMemberUniqueName="[Table1].[salary level].[All]" allUniqueName="[Table1].[salary level].[All]" dimensionUniqueName="[Table1]" displayFolder="" count="0" memberValueDatatype="130" unbalanced="0"/>
    <cacheHierarchy uniqueName="[Table1].[hire year]" caption="hire year" attribute="1" defaultMemberUniqueName="[Table1].[hire year].[All]" allUniqueName="[Table1].[hire year].[All]" dimensionUniqueName="[Table1]" displayFolder="" count="0" memberValueDatatype="20" unbalanced="0"/>
    <cacheHierarchy uniqueName="[Table1].[hire month]" caption="hire month" attribute="1" defaultMemberUniqueName="[Table1].[hire month].[All]" allUniqueName="[Table1].[hire month].[All]" dimensionUniqueName="[Table1]" displayFolder="" count="0" memberValueDatatype="130" unbalanced="0"/>
    <cacheHierarchy uniqueName="[Table1].[employee status]" caption="employee status" attribute="1" defaultMemberUniqueName="[Table1].[employee status].[All]" allUniqueName="[Table1].[employee status].[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 ID]" caption="Count of Employee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15"/>
        </ext>
      </extLst>
    </cacheHierarchy>
    <cacheHierarchy uniqueName="[Measures].[Sum of Job Satisfaction]" caption="Sum of Job Satisfaction" measure="1" displayFolder="" measureGroup="Table1" count="0" hidden="1">
      <extLst>
        <ext xmlns:x15="http://schemas.microsoft.com/office/spreadsheetml/2010/11/main" uri="{B97F6D7D-B522-45F9-BDA1-12C45D357490}">
          <x15:cacheHierarchy aggregatedColumn="17"/>
        </ext>
      </extLst>
    </cacheHierarchy>
    <cacheHierarchy uniqueName="[Measures].[Sum of hire year]" caption="Sum of hire year" measure="1" displayFolder="" measureGroup="Table1" count="0" hidden="1">
      <extLst>
        <ext xmlns:x15="http://schemas.microsoft.com/office/spreadsheetml/2010/11/main" uri="{B97F6D7D-B522-45F9-BDA1-12C45D357490}">
          <x15:cacheHierarchy aggregatedColumn="28"/>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10"/>
        </ext>
      </extLst>
    </cacheHierarchy>
    <cacheHierarchy uniqueName="[Measures].[Max of Hire Date]" caption="Max of Hire Date" measure="1" displayFolder="" measureGroup="Table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SKALA" refreshedDate="46230.889107291667" backgroundQuery="1" createdVersion="8" refreshedVersion="8" minRefreshableVersion="3" recordCount="0" supportSubquery="1" supportAdvancedDrill="1" xr:uid="{5B18BE33-E12D-4E69-9538-A9115DF3F2A8}">
  <cacheSource type="external" connectionId="1"/>
  <cacheFields count="3">
    <cacheField name="[Table1].[Department].[Department]" caption="Department" numFmtId="0" hierarchy="5" level="1">
      <sharedItems count="6">
        <s v="Finance"/>
        <s v="HR"/>
        <s v="IT"/>
        <s v="Marketing"/>
        <s v="Operations"/>
        <s v="Sales"/>
      </sharedItems>
    </cacheField>
    <cacheField name="[Measures].[Sum of Performance Score]" caption="Sum of Performance Score" numFmtId="0" hierarchy="35" level="32767"/>
    <cacheField name="[Table1].[Contract Type].[Contract Type]" caption="Contract Type" numFmtId="0" hierarchy="24" level="1">
      <sharedItems containsSemiMixedTypes="0" containsNonDate="0" containsString="0"/>
    </cacheField>
  </cacheFields>
  <cacheHierarchies count="42">
    <cacheHierarchy uniqueName="[Range].[Salary]" caption="Salary" attribute="1" defaultMemberUniqueName="[Range].[Salary].[All]" allUniqueName="[Range].[Salary].[All]" dimensionUniqueName="[Range]" displayFolder="" count="0" memberValueDatatype="20" unbalanced="0"/>
    <cacheHierarchy uniqueName="[Table1].[Employee ID]" caption="Employee ID" attribute="1" defaultMemberUniqueName="[Table1].[Employee ID].[All]" allUniqueName="[Table1].[Employee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Job Role]" caption="Job Role" attribute="1" defaultMemberUniqueName="[Table1].[Job Role].[All]" allUniqueName="[Table1].[Job Role].[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Bonus]" caption="Bonus" attribute="1" defaultMemberUniqueName="[Table1].[Bonus].[All]" allUniqueName="[Table1].[Bonus].[All]" dimensionUniqueName="[Table1]" displayFolder="" count="0" memberValueDatatype="20" unbalanced="0"/>
    <cacheHierarchy uniqueName="[Table1].[Overtime]" caption="Overtime" attribute="1" defaultMemberUniqueName="[Table1].[Overtime].[All]" allUniqueName="[Table1].[Overtime].[All]" dimensionUniqueName="[Table1]" displayFolder="" count="0" memberValueDatatype="130" unbalanced="0"/>
    <cacheHierarchy uniqueName="[Table1].[Performance Score]" caption="Performance Score" attribute="1" defaultMemberUniqueName="[Table1].[Performance Score].[All]" allUniqueName="[Table1].[Performance Score].[All]" dimensionUniqueName="[Table1]" displayFolder="" count="0" memberValueDatatype="5" unbalanced="0"/>
    <cacheHierarchy uniqueName="[Table1].[Training Hours]" caption="Training Hours" attribute="1" defaultMemberUniqueName="[Table1].[Training Hours].[All]" allUniqueName="[Table1].[Training Hours].[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Absent Days]" caption="Absent Days" attribute="1" defaultMemberUniqueName="[Table1].[Absent Days].[All]" allUniqueName="[Table1].[Absent Days].[All]" dimensionUniqueName="[Table1]" displayFolder="" count="0" memberValueDatatype="20" unbalanced="0"/>
    <cacheHierarchy uniqueName="[Table1].[Promotion]" caption="Promotion" attribute="1" defaultMemberUniqueName="[Table1].[Promotion].[All]" allUniqueName="[Table1].[Promotion].[All]" dimensionUniqueName="[Table1]" displayFolder="" count="0" memberValueDatatype="130" unbalanced="0"/>
    <cacheHierarchy uniqueName="[Table1].[Resigned]" caption="Resigned" attribute="1" defaultMemberUniqueName="[Table1].[Resigned].[All]" allUniqueName="[Table1].[Resigned].[All]" dimensionUniqueName="[Table1]" displayFolder="" count="0" memberValueDatatype="130" unbalanced="0"/>
    <cacheHierarchy uniqueName="[Table1].[Manager]" caption="Manager" attribute="1" defaultMemberUniqueName="[Table1].[Manager].[All]" allUniqueName="[Table1].[Manager].[All]" dimensionUniqueName="[Table1]" displayFolder="" count="2" memberValueDatatype="130" unbalanced="0"/>
    <cacheHierarchy uniqueName="[Table1].[Remote Work]" caption="Remote Work" attribute="1" defaultMemberUniqueName="[Table1].[Remote Work].[All]" allUniqueName="[Table1].[Remote Work].[All]" dimensionUniqueName="[Table1]" displayFolder="" count="0" memberValueDatatype="130" unbalanced="0"/>
    <cacheHierarchy uniqueName="[Table1].[Contract Type]" caption="Contract Type" attribute="1" defaultMemberUniqueName="[Table1].[Contract Type].[All]" allUniqueName="[Table1].[Contrac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salary level]" caption="salary level" attribute="1" defaultMemberUniqueName="[Table1].[salary level].[All]" allUniqueName="[Table1].[salary level].[All]" dimensionUniqueName="[Table1]" displayFolder="" count="0" memberValueDatatype="130" unbalanced="0"/>
    <cacheHierarchy uniqueName="[Table1].[hire year]" caption="hire year" attribute="1" defaultMemberUniqueName="[Table1].[hire year].[All]" allUniqueName="[Table1].[hire year].[All]" dimensionUniqueName="[Table1]" displayFolder="" count="0" memberValueDatatype="20" unbalanced="0"/>
    <cacheHierarchy uniqueName="[Table1].[hire month]" caption="hire month" attribute="1" defaultMemberUniqueName="[Table1].[hire month].[All]" allUniqueName="[Table1].[hire month].[All]" dimensionUniqueName="[Table1]" displayFolder="" count="0" memberValueDatatype="130" unbalanced="0"/>
    <cacheHierarchy uniqueName="[Table1].[employee status]" caption="employee status" attribute="1" defaultMemberUniqueName="[Table1].[employee status].[All]" allUniqueName="[Table1].[employee status].[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 ID]" caption="Count of Employee ID" measure="1" displayFolder="" measureGroup="Table1" count="0" hidden="1">
      <extLst>
        <ext xmlns:x15="http://schemas.microsoft.com/office/spreadsheetml/2010/11/main" uri="{B97F6D7D-B522-45F9-BDA1-12C45D357490}">
          <x15:cacheHierarchy aggregatedColumn="1"/>
        </ext>
      </extLst>
    </cacheHierarchy>
    <cacheHierarchy uniqueName="[Measures].[Sum of Performance Score]" caption="Sum of Performance Score"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Job Satisfaction]" caption="Sum of Job Satisfaction" measure="1" displayFolder="" measureGroup="Table1" count="0" hidden="1">
      <extLst>
        <ext xmlns:x15="http://schemas.microsoft.com/office/spreadsheetml/2010/11/main" uri="{B97F6D7D-B522-45F9-BDA1-12C45D357490}">
          <x15:cacheHierarchy aggregatedColumn="17"/>
        </ext>
      </extLst>
    </cacheHierarchy>
    <cacheHierarchy uniqueName="[Measures].[Sum of hire year]" caption="Sum of hire year" measure="1" displayFolder="" measureGroup="Table1" count="0" hidden="1">
      <extLst>
        <ext xmlns:x15="http://schemas.microsoft.com/office/spreadsheetml/2010/11/main" uri="{B97F6D7D-B522-45F9-BDA1-12C45D357490}">
          <x15:cacheHierarchy aggregatedColumn="28"/>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10"/>
        </ext>
      </extLst>
    </cacheHierarchy>
    <cacheHierarchy uniqueName="[Measures].[Max of Hire Date]" caption="Max of Hire Date" measure="1" displayFolder="" measureGroup="Table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SKALA" refreshedDate="46230.88910763889" backgroundQuery="1" createdVersion="8" refreshedVersion="8" minRefreshableVersion="3" recordCount="0" supportSubquery="1" supportAdvancedDrill="1" xr:uid="{119F4F07-B91A-4D85-AFD2-2BA57E8FB988}">
  <cacheSource type="external" connectionId="1"/>
  <cacheFields count="3">
    <cacheField name="[Table1].[Department].[Department]" caption="Department" numFmtId="0" hierarchy="5" level="1">
      <sharedItems count="6">
        <s v="Finance"/>
        <s v="HR"/>
        <s v="IT"/>
        <s v="Marketing"/>
        <s v="Operations"/>
        <s v="Sales"/>
      </sharedItems>
    </cacheField>
    <cacheField name="[Measures].[Sum of Job Satisfaction]" caption="Sum of Job Satisfaction" numFmtId="0" hierarchy="36" level="32767"/>
    <cacheField name="[Table1].[Contract Type].[Contract Type]" caption="Contract Type" numFmtId="0" hierarchy="24" level="1">
      <sharedItems containsSemiMixedTypes="0" containsNonDate="0" containsString="0"/>
    </cacheField>
  </cacheFields>
  <cacheHierarchies count="42">
    <cacheHierarchy uniqueName="[Range].[Salary]" caption="Salary" attribute="1" defaultMemberUniqueName="[Range].[Salary].[All]" allUniqueName="[Range].[Salary].[All]" dimensionUniqueName="[Range]" displayFolder="" count="0" memberValueDatatype="20" unbalanced="0"/>
    <cacheHierarchy uniqueName="[Table1].[Employee ID]" caption="Employee ID" attribute="1" defaultMemberUniqueName="[Table1].[Employee ID].[All]" allUniqueName="[Table1].[Employee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Job Role]" caption="Job Role" attribute="1" defaultMemberUniqueName="[Table1].[Job Role].[All]" allUniqueName="[Table1].[Job Role].[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Bonus]" caption="Bonus" attribute="1" defaultMemberUniqueName="[Table1].[Bonus].[All]" allUniqueName="[Table1].[Bonus].[All]" dimensionUniqueName="[Table1]" displayFolder="" count="0" memberValueDatatype="20" unbalanced="0"/>
    <cacheHierarchy uniqueName="[Table1].[Overtime]" caption="Overtime" attribute="1" defaultMemberUniqueName="[Table1].[Overtime].[All]" allUniqueName="[Table1].[Overtime].[All]" dimensionUniqueName="[Table1]" displayFolder="" count="0" memberValueDatatype="130" unbalanced="0"/>
    <cacheHierarchy uniqueName="[Table1].[Performance Score]" caption="Performance Score" attribute="1" defaultMemberUniqueName="[Table1].[Performance Score].[All]" allUniqueName="[Table1].[Performance Score].[All]" dimensionUniqueName="[Table1]" displayFolder="" count="0" memberValueDatatype="5" unbalanced="0"/>
    <cacheHierarchy uniqueName="[Table1].[Training Hours]" caption="Training Hours" attribute="1" defaultMemberUniqueName="[Table1].[Training Hours].[All]" allUniqueName="[Table1].[Training Hours].[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Absent Days]" caption="Absent Days" attribute="1" defaultMemberUniqueName="[Table1].[Absent Days].[All]" allUniqueName="[Table1].[Absent Days].[All]" dimensionUniqueName="[Table1]" displayFolder="" count="0" memberValueDatatype="20" unbalanced="0"/>
    <cacheHierarchy uniqueName="[Table1].[Promotion]" caption="Promotion" attribute="1" defaultMemberUniqueName="[Table1].[Promotion].[All]" allUniqueName="[Table1].[Promotion].[All]" dimensionUniqueName="[Table1]" displayFolder="" count="0" memberValueDatatype="130" unbalanced="0"/>
    <cacheHierarchy uniqueName="[Table1].[Resigned]" caption="Resigned" attribute="1" defaultMemberUniqueName="[Table1].[Resigned].[All]" allUniqueName="[Table1].[Resigned].[All]" dimensionUniqueName="[Table1]" displayFolder="" count="0" memberValueDatatype="130" unbalanced="0"/>
    <cacheHierarchy uniqueName="[Table1].[Manager]" caption="Manager" attribute="1" defaultMemberUniqueName="[Table1].[Manager].[All]" allUniqueName="[Table1].[Manager].[All]" dimensionUniqueName="[Table1]" displayFolder="" count="2" memberValueDatatype="130" unbalanced="0"/>
    <cacheHierarchy uniqueName="[Table1].[Remote Work]" caption="Remote Work" attribute="1" defaultMemberUniqueName="[Table1].[Remote Work].[All]" allUniqueName="[Table1].[Remote Work].[All]" dimensionUniqueName="[Table1]" displayFolder="" count="0" memberValueDatatype="130" unbalanced="0"/>
    <cacheHierarchy uniqueName="[Table1].[Contract Type]" caption="Contract Type" attribute="1" defaultMemberUniqueName="[Table1].[Contract Type].[All]" allUniqueName="[Table1].[Contrac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salary level]" caption="salary level" attribute="1" defaultMemberUniqueName="[Table1].[salary level].[All]" allUniqueName="[Table1].[salary level].[All]" dimensionUniqueName="[Table1]" displayFolder="" count="0" memberValueDatatype="130" unbalanced="0"/>
    <cacheHierarchy uniqueName="[Table1].[hire year]" caption="hire year" attribute="1" defaultMemberUniqueName="[Table1].[hire year].[All]" allUniqueName="[Table1].[hire year].[All]" dimensionUniqueName="[Table1]" displayFolder="" count="0" memberValueDatatype="20" unbalanced="0"/>
    <cacheHierarchy uniqueName="[Table1].[hire month]" caption="hire month" attribute="1" defaultMemberUniqueName="[Table1].[hire month].[All]" allUniqueName="[Table1].[hire month].[All]" dimensionUniqueName="[Table1]" displayFolder="" count="0" memberValueDatatype="130" unbalanced="0"/>
    <cacheHierarchy uniqueName="[Table1].[employee status]" caption="employee status" attribute="1" defaultMemberUniqueName="[Table1].[employee status].[All]" allUniqueName="[Table1].[employee status].[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 ID]" caption="Count of Employee ID" measure="1" displayFolder="" measureGroup="Table1" count="0" hidden="1">
      <extLst>
        <ext xmlns:x15="http://schemas.microsoft.com/office/spreadsheetml/2010/11/main" uri="{B97F6D7D-B522-45F9-BDA1-12C45D357490}">
          <x15:cacheHierarchy aggregatedColumn="1"/>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15"/>
        </ext>
      </extLst>
    </cacheHierarchy>
    <cacheHierarchy uniqueName="[Measures].[Sum of Job Satisfaction]" caption="Sum of Job Satisfaction"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hire year]" caption="Sum of hire year" measure="1" displayFolder="" measureGroup="Table1" count="0" hidden="1">
      <extLst>
        <ext xmlns:x15="http://schemas.microsoft.com/office/spreadsheetml/2010/11/main" uri="{B97F6D7D-B522-45F9-BDA1-12C45D357490}">
          <x15:cacheHierarchy aggregatedColumn="28"/>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10"/>
        </ext>
      </extLst>
    </cacheHierarchy>
    <cacheHierarchy uniqueName="[Measures].[Max of Hire Date]" caption="Max of Hire Date" measure="1" displayFolder="" measureGroup="Table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SKALA" refreshedDate="46230.889107986113" backgroundQuery="1" createdVersion="8" refreshedVersion="8" minRefreshableVersion="3" recordCount="0" supportSubquery="1" supportAdvancedDrill="1" xr:uid="{17D4639F-DC52-4137-B10F-4C3B43A25EB3}">
  <cacheSource type="external" connectionId="1"/>
  <cacheFields count="3">
    <cacheField name="[Table1].[age group].[age group]" caption="age group" numFmtId="0" hierarchy="26" level="1">
      <sharedItems count="4">
        <s v="20-29"/>
        <s v="30-39"/>
        <s v="40-49"/>
        <s v="50+"/>
      </sharedItems>
    </cacheField>
    <cacheField name="[Measures].[Count of Employee ID]" caption="Count of Employee ID" numFmtId="0" hierarchy="34" level="32767"/>
    <cacheField name="[Table1].[Contract Type].[Contract Type]" caption="Contract Type" numFmtId="0" hierarchy="24" level="1">
      <sharedItems containsSemiMixedTypes="0" containsNonDate="0" containsString="0"/>
    </cacheField>
  </cacheFields>
  <cacheHierarchies count="42">
    <cacheHierarchy uniqueName="[Range].[Salary]" caption="Salary" attribute="1" defaultMemberUniqueName="[Range].[Salary].[All]" allUniqueName="[Range].[Salary].[All]" dimensionUniqueName="[Range]" displayFolder="" count="0" memberValueDatatype="20" unbalanced="0"/>
    <cacheHierarchy uniqueName="[Table1].[Employee ID]" caption="Employee ID" attribute="1" defaultMemberUniqueName="[Table1].[Employee ID].[All]" allUniqueName="[Table1].[Employee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Bonus]" caption="Bonus" attribute="1" defaultMemberUniqueName="[Table1].[Bonus].[All]" allUniqueName="[Table1].[Bonus].[All]" dimensionUniqueName="[Table1]" displayFolder="" count="0" memberValueDatatype="20" unbalanced="0"/>
    <cacheHierarchy uniqueName="[Table1].[Overtime]" caption="Overtime" attribute="1" defaultMemberUniqueName="[Table1].[Overtime].[All]" allUniqueName="[Table1].[Overtime].[All]" dimensionUniqueName="[Table1]" displayFolder="" count="0" memberValueDatatype="130" unbalanced="0"/>
    <cacheHierarchy uniqueName="[Table1].[Performance Score]" caption="Performance Score" attribute="1" defaultMemberUniqueName="[Table1].[Performance Score].[All]" allUniqueName="[Table1].[Performance Score].[All]" dimensionUniqueName="[Table1]" displayFolder="" count="0" memberValueDatatype="5" unbalanced="0"/>
    <cacheHierarchy uniqueName="[Table1].[Training Hours]" caption="Training Hours" attribute="1" defaultMemberUniqueName="[Table1].[Training Hours].[All]" allUniqueName="[Table1].[Training Hours].[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Absent Days]" caption="Absent Days" attribute="1" defaultMemberUniqueName="[Table1].[Absent Days].[All]" allUniqueName="[Table1].[Absent Days].[All]" dimensionUniqueName="[Table1]" displayFolder="" count="0" memberValueDatatype="20" unbalanced="0"/>
    <cacheHierarchy uniqueName="[Table1].[Promotion]" caption="Promotion" attribute="1" defaultMemberUniqueName="[Table1].[Promotion].[All]" allUniqueName="[Table1].[Promotion].[All]" dimensionUniqueName="[Table1]" displayFolder="" count="0" memberValueDatatype="130" unbalanced="0"/>
    <cacheHierarchy uniqueName="[Table1].[Resigned]" caption="Resigned" attribute="1" defaultMemberUniqueName="[Table1].[Resigned].[All]" allUniqueName="[Table1].[Resigned].[All]" dimensionUniqueName="[Table1]" displayFolder="" count="0" memberValueDatatype="130" unbalanced="0"/>
    <cacheHierarchy uniqueName="[Table1].[Manager]" caption="Manager" attribute="1" defaultMemberUniqueName="[Table1].[Manager].[All]" allUniqueName="[Table1].[Manager].[All]" dimensionUniqueName="[Table1]" displayFolder="" count="2" memberValueDatatype="130" unbalanced="0"/>
    <cacheHierarchy uniqueName="[Table1].[Remote Work]" caption="Remote Work" attribute="1" defaultMemberUniqueName="[Table1].[Remote Work].[All]" allUniqueName="[Table1].[Remote Work].[All]" dimensionUniqueName="[Table1]" displayFolder="" count="0" memberValueDatatype="130" unbalanced="0"/>
    <cacheHierarchy uniqueName="[Table1].[Contract Type]" caption="Contract Type" attribute="1" defaultMemberUniqueName="[Table1].[Contract Type].[All]" allUniqueName="[Table1].[Contract Type].[All]" dimensionUniqueName="[Table1]" displayFolder="" count="2" memberValueDatatype="130" unbalanced="0">
      <fieldsUsage count="2">
        <fieldUsage x="-1"/>
        <fieldUsage x="2"/>
      </fieldsUsage>
    </cacheHierarchy>
    <cacheHierarchy uniqueName="[Table1].[Exit Reason]" caption="Exit Reason" attribute="1" defaultMemberUniqueName="[Table1].[Exit Reason].[All]" allUniqueName="[Table1].[Exit Reason].[All]" dimensionUniqueName="[Table1]" displayFolder="" count="0" memberValueDatatype="13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0"/>
      </fieldsUsage>
    </cacheHierarchy>
    <cacheHierarchy uniqueName="[Table1].[salary level]" caption="salary level" attribute="1" defaultMemberUniqueName="[Table1].[salary level].[All]" allUniqueName="[Table1].[salary level].[All]" dimensionUniqueName="[Table1]" displayFolder="" count="0" memberValueDatatype="130" unbalanced="0"/>
    <cacheHierarchy uniqueName="[Table1].[hire year]" caption="hire year" attribute="1" defaultMemberUniqueName="[Table1].[hire year].[All]" allUniqueName="[Table1].[hire year].[All]" dimensionUniqueName="[Table1]" displayFolder="" count="0" memberValueDatatype="20" unbalanced="0"/>
    <cacheHierarchy uniqueName="[Table1].[hire month]" caption="hire month" attribute="1" defaultMemberUniqueName="[Table1].[hire month].[All]" allUniqueName="[Table1].[hire month].[All]" dimensionUniqueName="[Table1]" displayFolder="" count="0" memberValueDatatype="130" unbalanced="0"/>
    <cacheHierarchy uniqueName="[Table1].[employee status]" caption="employee status" attribute="1" defaultMemberUniqueName="[Table1].[employee status].[All]" allUniqueName="[Table1].[employee status].[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 ID]" caption="Count of Employee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15"/>
        </ext>
      </extLst>
    </cacheHierarchy>
    <cacheHierarchy uniqueName="[Measures].[Sum of Job Satisfaction]" caption="Sum of Job Satisfaction" measure="1" displayFolder="" measureGroup="Table1" count="0" hidden="1">
      <extLst>
        <ext xmlns:x15="http://schemas.microsoft.com/office/spreadsheetml/2010/11/main" uri="{B97F6D7D-B522-45F9-BDA1-12C45D357490}">
          <x15:cacheHierarchy aggregatedColumn="17"/>
        </ext>
      </extLst>
    </cacheHierarchy>
    <cacheHierarchy uniqueName="[Measures].[Sum of hire year]" caption="Sum of hire year" measure="1" displayFolder="" measureGroup="Table1" count="0" hidden="1">
      <extLst>
        <ext xmlns:x15="http://schemas.microsoft.com/office/spreadsheetml/2010/11/main" uri="{B97F6D7D-B522-45F9-BDA1-12C45D357490}">
          <x15:cacheHierarchy aggregatedColumn="28"/>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10"/>
        </ext>
      </extLst>
    </cacheHierarchy>
    <cacheHierarchy uniqueName="[Measures].[Max of Hire Date]" caption="Max of Hire Date" measure="1" displayFolder="" measureGroup="Table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SKALA" refreshedDate="46230.884232986115" backgroundQuery="1" createdVersion="3" refreshedVersion="8" minRefreshableVersion="3" recordCount="0" supportSubquery="1" supportAdvancedDrill="1" xr:uid="{2D9DAAC6-1042-43FD-A190-27DAA4B3FBB1}">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Range].[Salary]" caption="Salary" attribute="1" defaultMemberUniqueName="[Range].[Salary].[All]" allUniqueName="[Range].[Salary].[All]" dimensionUniqueName="[Range]" displayFolder="" count="0" memberValueDatatype="20" unbalanced="0"/>
    <cacheHierarchy uniqueName="[Table1].[Employee ID]" caption="Employee ID" attribute="1" defaultMemberUniqueName="[Table1].[Employee ID].[All]" allUniqueName="[Table1].[Employee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Hire Date]" caption="Hire Date" attribute="1" time="1" defaultMemberUniqueName="[Table1].[Hire Date].[All]" allUniqueName="[Table1].[Hire Date].[All]" dimensionUniqueName="[Table1]" displayFolder="" count="0" memberValueDatatype="7"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Bonus]" caption="Bonus" attribute="1" defaultMemberUniqueName="[Table1].[Bonus].[All]" allUniqueName="[Table1].[Bonus].[All]" dimensionUniqueName="[Table1]" displayFolder="" count="0" memberValueDatatype="20" unbalanced="0"/>
    <cacheHierarchy uniqueName="[Table1].[Overtime]" caption="Overtime" attribute="1" defaultMemberUniqueName="[Table1].[Overtime].[All]" allUniqueName="[Table1].[Overtime].[All]" dimensionUniqueName="[Table1]" displayFolder="" count="0" memberValueDatatype="130" unbalanced="0"/>
    <cacheHierarchy uniqueName="[Table1].[Performance Score]" caption="Performance Score" attribute="1" defaultMemberUniqueName="[Table1].[Performance Score].[All]" allUniqueName="[Table1].[Performance Score].[All]" dimensionUniqueName="[Table1]" displayFolder="" count="0" memberValueDatatype="5" unbalanced="0"/>
    <cacheHierarchy uniqueName="[Table1].[Training Hours]" caption="Training Hours" attribute="1" defaultMemberUniqueName="[Table1].[Training Hours].[All]" allUniqueName="[Table1].[Training Hours].[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Absent Days]" caption="Absent Days" attribute="1" defaultMemberUniqueName="[Table1].[Absent Days].[All]" allUniqueName="[Table1].[Absent Days].[All]" dimensionUniqueName="[Table1]" displayFolder="" count="0" memberValueDatatype="20" unbalanced="0"/>
    <cacheHierarchy uniqueName="[Table1].[Promotion]" caption="Promotion" attribute="1" defaultMemberUniqueName="[Table1].[Promotion].[All]" allUniqueName="[Table1].[Promotion].[All]" dimensionUniqueName="[Table1]" displayFolder="" count="0" memberValueDatatype="130" unbalanced="0"/>
    <cacheHierarchy uniqueName="[Table1].[Resigned]" caption="Resigned" attribute="1" defaultMemberUniqueName="[Table1].[Resigned].[All]" allUniqueName="[Table1].[Resigned].[All]" dimensionUniqueName="[Table1]" displayFolder="" count="0" memberValueDatatype="130" unbalanced="0"/>
    <cacheHierarchy uniqueName="[Table1].[Manager]" caption="Manager" attribute="1" defaultMemberUniqueName="[Table1].[Manager].[All]" allUniqueName="[Table1].[Manager].[All]" dimensionUniqueName="[Table1]" displayFolder="" count="2" memberValueDatatype="130" unbalanced="0"/>
    <cacheHierarchy uniqueName="[Table1].[Remote Work]" caption="Remote Work" attribute="1" defaultMemberUniqueName="[Table1].[Remote Work].[All]" allUniqueName="[Table1].[Remote Work].[All]" dimensionUniqueName="[Table1]" displayFolder="" count="0" memberValueDatatype="130" unbalanced="0"/>
    <cacheHierarchy uniqueName="[Table1].[Contract Type]" caption="Contract Type" attribute="1" defaultMemberUniqueName="[Table1].[Contract Type].[All]" allUniqueName="[Table1].[Contract Type].[All]" dimensionUniqueName="[Table1]" displayFolder="" count="2" memberValueDatatype="130" unbalanced="0"/>
    <cacheHierarchy uniqueName="[Table1].[Exit Reason]" caption="Exit Reason" attribute="1" defaultMemberUniqueName="[Table1].[Exit Reason].[All]" allUniqueName="[Table1].[Exit Reason].[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salary level]" caption="salary level" attribute="1" defaultMemberUniqueName="[Table1].[salary level].[All]" allUniqueName="[Table1].[salary level].[All]" dimensionUniqueName="[Table1]" displayFolder="" count="0" memberValueDatatype="130" unbalanced="0"/>
    <cacheHierarchy uniqueName="[Table1].[hire year]" caption="hire year" attribute="1" defaultMemberUniqueName="[Table1].[hire year].[All]" allUniqueName="[Table1].[hire year].[All]" dimensionUniqueName="[Table1]" displayFolder="" count="0" memberValueDatatype="20" unbalanced="0"/>
    <cacheHierarchy uniqueName="[Table1].[hire month]" caption="hire month" attribute="1" defaultMemberUniqueName="[Table1].[hire month].[All]" allUniqueName="[Table1].[hire month].[All]" dimensionUniqueName="[Table1]" displayFolder="" count="0" memberValueDatatype="130" unbalanced="0"/>
    <cacheHierarchy uniqueName="[Table1].[employee status]" caption="employee status" attribute="1" defaultMemberUniqueName="[Table1].[employee status].[All]" allUniqueName="[Table1].[employee status].[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Employee ID]" caption="Count of Employee ID" measure="1" displayFolder="" measureGroup="Table1" count="0" hidden="1">
      <extLst>
        <ext xmlns:x15="http://schemas.microsoft.com/office/spreadsheetml/2010/11/main" uri="{B97F6D7D-B522-45F9-BDA1-12C45D357490}">
          <x15:cacheHierarchy aggregatedColumn="1"/>
        </ext>
      </extLst>
    </cacheHierarchy>
    <cacheHierarchy uniqueName="[Measures].[Sum of Performance Score]" caption="Sum of Performance Score" measure="1" displayFolder="" measureGroup="Table1" count="0" hidden="1">
      <extLst>
        <ext xmlns:x15="http://schemas.microsoft.com/office/spreadsheetml/2010/11/main" uri="{B97F6D7D-B522-45F9-BDA1-12C45D357490}">
          <x15:cacheHierarchy aggregatedColumn="15"/>
        </ext>
      </extLst>
    </cacheHierarchy>
    <cacheHierarchy uniqueName="[Measures].[Sum of Job Satisfaction]" caption="Sum of Job Satisfaction" measure="1" displayFolder="" measureGroup="Table1" count="0" hidden="1">
      <extLst>
        <ext xmlns:x15="http://schemas.microsoft.com/office/spreadsheetml/2010/11/main" uri="{B97F6D7D-B522-45F9-BDA1-12C45D357490}">
          <x15:cacheHierarchy aggregatedColumn="17"/>
        </ext>
      </extLst>
    </cacheHierarchy>
    <cacheHierarchy uniqueName="[Measures].[Sum of hire year]" caption="Sum of hire year" measure="1" displayFolder="" measureGroup="Table1" count="0" hidden="1">
      <extLst>
        <ext xmlns:x15="http://schemas.microsoft.com/office/spreadsheetml/2010/11/main" uri="{B97F6D7D-B522-45F9-BDA1-12C45D357490}">
          <x15:cacheHierarchy aggregatedColumn="28"/>
        </ext>
      </extLst>
    </cacheHierarchy>
    <cacheHierarchy uniqueName="[Measures].[Count of Hire Date]" caption="Count of Hire Date" measure="1" displayFolder="" measureGroup="Table1" count="0" hidden="1">
      <extLst>
        <ext xmlns:x15="http://schemas.microsoft.com/office/spreadsheetml/2010/11/main" uri="{B97F6D7D-B522-45F9-BDA1-12C45D357490}">
          <x15:cacheHierarchy aggregatedColumn="10"/>
        </ext>
      </extLst>
    </cacheHierarchy>
    <cacheHierarchy uniqueName="[Measures].[Max of Hire Date]" caption="Max of Hire Date" measure="1" displayFolder="" measureGroup="Table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12"/>
        </ext>
      </extLst>
    </cacheHierarchy>
    <cacheHierarchy uniqueName="[Measures].[Average of Salary]" caption="Average of Salary"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096468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A9243F-9B13-44E5-98D4-EDA4DC5D449B}" name="PivotTable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B15:C18" firstHeaderRow="1" firstDataRow="1" firstDataCol="1"/>
  <pivotFields count="3">
    <pivotField axis="axisRow" allDrilled="1" subtotalTop="0" showAll="0" dataSourceSort="1" defaultSubtotal="0" defaultAttributeDrillState="1">
      <items count="2">
        <item n="زنان " x="0"/>
        <item n="مردان "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Employee ID" fld="1" subtotal="count" baseField="0" baseItem="0"/>
  </dataField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0" count="1" selected="0">
            <x v="0"/>
          </reference>
        </references>
      </pivotArea>
    </chartFormat>
    <chartFormat chart="13" format="6">
      <pivotArea type="data" outline="0" fieldPosition="0">
        <references count="2">
          <reference field="4294967294" count="1" selected="0">
            <x v="0"/>
          </reference>
          <reference field="0" count="1" selected="0">
            <x v="1"/>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11821D-BC60-4BFF-A2B8-E700EE8846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0" firstHeaderRow="1" firstDataRow="1" firstDataCol="1"/>
  <pivotFields count="3">
    <pivotField axis="axisRow" allDrilled="1" subtotalTop="0" showAll="0" defaultSubtotal="0" defaultAttributeDrillState="1">
      <items count="6">
        <item x="2"/>
        <item x="0"/>
        <item x="1"/>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Employee ID" fld="1"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0C1801-4C85-4ACC-8C4D-A474D74DBF01}"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7:G1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Employee ID" fld="1" subtotal="count" baseField="0" baseItem="0"/>
  </dataField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B91A75-CC21-4434-9775-58475205ABAA}" name="PivotTable10"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22:C33"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Hire Date"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Hire Date"/>
    <pivotHierarchy dragToData="1" caption="Max of Hire Date"/>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1DEA9A-F7BD-4931-B1A6-210D9F1286DA}" name="PivotTable6"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L5:M1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Job Satisfaction" fld="1" baseField="0" baseItem="0"/>
  </dataField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4"/>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B38953-E40D-4050-BC43-51B8C9CFE1F5}" name="PivotTable5"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F16:G23"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Performance Score" fld="1" baseField="0" baseItem="0"/>
  </dataFields>
  <chartFormats count="1">
    <chartFormat chart="25"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0D7E1D-5D57-4597-A4E6-FED9B66CA4C4}" name="PivotTable7"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J16:K2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Employee ID" fld="1" subtotal="count" baseField="0" baseItem="0"/>
  </dataFields>
  <chartFormats count="1">
    <chartFormat chart="21"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893904-BFAF-4D44-90FA-FB143753F8A6}" name="PivotTable1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G28:H35"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Salary" fld="1" subtotal="average"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Salary"/>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0AF9CFE9-CDB4-47A2-B07D-E99A3F592598}" sourceName="[Table1].[Manager]">
  <pivotTables>
    <pivotTable tabId="4" name="PivotTable2"/>
    <pivotTable tabId="4" name="PivotTable10"/>
    <pivotTable tabId="4" name="PivotTable11"/>
    <pivotTable tabId="4" name="PivotTable3"/>
    <pivotTable tabId="4" name="PivotTable4"/>
    <pivotTable tabId="4" name="PivotTable5"/>
    <pivotTable tabId="4" name="PivotTable6"/>
    <pivotTable tabId="4" name="PivotTable7"/>
  </pivotTables>
  <data>
    <olap pivotCacheId="1409646892">
      <levels count="2">
        <level uniqueName="[Table1].[Manager].[(All)]" sourceCaption="(All)" count="0"/>
        <level uniqueName="[Table1].[Manager].[Manager]" sourceCaption="Manager" count="5">
          <ranges>
            <range startItem="0">
              <i n="[Table1].[Manager].&amp;[Ahmadi]" c="Ahmadi"/>
              <i n="[Table1].[Manager].&amp;[Hosseini]" c="Hosseini"/>
              <i n="[Table1].[Manager].&amp;[Karimi]" c="Karimi"/>
              <i n="[Table1].[Manager].&amp;[Moradi]" c="Moradi"/>
              <i n="[Table1].[Manager].&amp;[Rahimi]" c="Rahimi"/>
            </range>
          </ranges>
        </level>
      </levels>
      <selections count="1">
        <selection n="[Table1].[Manag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A025A04-2D87-4A79-BFCE-7E320F01941E}" sourceName="[Table1].[Department]">
  <pivotTables>
    <pivotTable tabId="4" name="PivotTable2"/>
    <pivotTable tabId="4" name="PivotTable10"/>
    <pivotTable tabId="4" name="PivotTable11"/>
    <pivotTable tabId="4" name="PivotTable3"/>
    <pivotTable tabId="4" name="PivotTable4"/>
    <pivotTable tabId="4" name="PivotTable5"/>
    <pivotTable tabId="4" name="PivotTable6"/>
    <pivotTable tabId="4" name="PivotTable7"/>
  </pivotTables>
  <data>
    <olap pivotCacheId="1409646892">
      <levels count="2">
        <level uniqueName="[Table1].[Department].[(All)]" sourceCaption="(All)" count="0"/>
        <level uniqueName="[Table1].[Department].[Department]" sourceCaption="Department" count="6">
          <ranges>
            <range startItem="0">
              <i n="[Table1].[Department].&amp;[Finance]" c="Finance"/>
              <i n="[Table1].[Department].&amp;[HR]" c="HR"/>
              <i n="[Table1].[Department].&amp;[IT]" c="IT"/>
              <i n="[Table1].[Department].&amp;[Marketing]" c="Marketing"/>
              <i n="[Table1].[Department].&amp;[Operations]" c="Operations"/>
              <i n="[Table1].[Department].&amp;[Sales]" c="Sales"/>
            </range>
          </ranges>
        </level>
      </levels>
      <selections count="1">
        <selection n="[Table1].[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8E610BD-830A-4266-A8D0-C0AE65EE6FD8}" sourceName="[Table1].[City]">
  <pivotTables>
    <pivotTable tabId="4" name="PivotTable2"/>
    <pivotTable tabId="4" name="PivotTable10"/>
    <pivotTable tabId="4" name="PivotTable11"/>
    <pivotTable tabId="4" name="PivotTable3"/>
    <pivotTable tabId="4" name="PivotTable4"/>
    <pivotTable tabId="4" name="PivotTable5"/>
    <pivotTable tabId="4" name="PivotTable6"/>
    <pivotTable tabId="4" name="PivotTable7"/>
  </pivotTables>
  <data>
    <olap pivotCacheId="1409646892">
      <levels count="2">
        <level uniqueName="[Table1].[City].[(All)]" sourceCaption="(All)" count="0"/>
        <level uniqueName="[Table1].[City].[City]" sourceCaption="City" count="5">
          <ranges>
            <range startItem="0">
              <i n="[Table1].[City].&amp;[Isfahan]" c="Isfahan"/>
              <i n="[Table1].[City].&amp;[Mashhad]" c="Mashhad"/>
              <i n="[Table1].[City].&amp;[Shiraz]" c="Shiraz"/>
              <i n="[Table1].[City].&amp;[Tabriz]" c="Tabriz"/>
              <i n="[Table1].[City].&amp;[Tehran]" c="Tehran"/>
            </range>
          </ranges>
        </level>
      </levels>
      <selections count="1">
        <selection n="[Table1].[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_Type" xr10:uid="{6D1E2191-F215-4D79-9568-F74AABF47106}" sourceName="[Table1].[Contract Type]">
  <pivotTables>
    <pivotTable tabId="4" name="PivotTable2"/>
    <pivotTable tabId="4" name="PivotTable10"/>
    <pivotTable tabId="4" name="PivotTable11"/>
    <pivotTable tabId="4" name="PivotTable3"/>
    <pivotTable tabId="4" name="PivotTable4"/>
    <pivotTable tabId="4" name="PivotTable5"/>
    <pivotTable tabId="4" name="PivotTable6"/>
    <pivotTable tabId="4" name="PivotTable7"/>
  </pivotTables>
  <data>
    <olap pivotCacheId="1409646892">
      <levels count="2">
        <level uniqueName="[Table1].[Contract Type].[(All)]" sourceCaption="(All)" count="0"/>
        <level uniqueName="[Table1].[Contract Type].[Contract Type]" sourceCaption="Contract Type" count="3">
          <ranges>
            <range startItem="0">
              <i n="[Table1].[Contract Type].&amp;[Contract]" c="Contract"/>
              <i n="[Table1].[Contract Type].&amp;[Full-Time]" c="Full-Time"/>
              <i n="[Table1].[Contract Type].&amp;[Part-Time]" c="Part-Time"/>
            </range>
          </ranges>
        </level>
      </levels>
      <selections count="1">
        <selection n="[Table1].[Contrac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9E31B1A4-092D-4DD8-8CD2-520437F6DEE0}" cache="Slicer_Manager" caption="Manager" level="1" style="SlicerStyleLight3" rowHeight="234950"/>
  <slicer name="Department" xr10:uid="{3642E37C-D564-4BCE-BF65-35F97731A3B7}" cache="Slicer_Department" caption="Department" startItem="4" level="1" style="SlicerStyleOther1" rowHeight="234950"/>
  <slicer name="City" xr10:uid="{9A389303-096B-436A-9EF7-19DC066D6486}" cache="Slicer_City" caption="City" level="1" rowHeight="234950"/>
  <slicer name="Contract Type" xr10:uid="{60711CC4-2AB9-4A9E-B7AB-927747E2434C}" cache="Slicer_Contract_Type" caption="Contract Type" level="1"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7E94B5-DBF8-427A-AC96-C39D6B157D34}" name="Table1" displayName="Table1" ref="A1:AD1201" totalsRowShown="0">
  <autoFilter ref="A1:AD1201" xr:uid="{F17E94B5-DBF8-427A-AC96-C39D6B157D34}"/>
  <tableColumns count="30">
    <tableColumn id="1" xr3:uid="{6A8A15AB-891F-4224-8319-ED17A2B88DBD}" name="Employee ID"/>
    <tableColumn id="2" xr3:uid="{57F199F3-0B0F-4F21-AE36-ED7C50C7B33E}" name="Name"/>
    <tableColumn id="3" xr3:uid="{CCC9C37D-98B2-4B01-BA6E-EE48E1D6503B}" name="Gender"/>
    <tableColumn id="4" xr3:uid="{799371F1-1DB9-42B8-9C73-B917D7C919E1}" name="Age"/>
    <tableColumn id="5" xr3:uid="{E5158441-8EFE-42C6-B664-FED20EF9B3B7}" name="Department"/>
    <tableColumn id="6" xr3:uid="{E24FCD61-D7E7-4C8E-81C4-8EC5948BD498}" name="Job Role"/>
    <tableColumn id="7" xr3:uid="{47CE1109-BC97-4EC4-8744-84C35F28CE69}" name="Education"/>
    <tableColumn id="8" xr3:uid="{79B56E8E-6E27-4DC3-9E21-C1242E4D24C8}" name="Marital Status"/>
    <tableColumn id="9" xr3:uid="{70D20F32-9948-4944-86A6-308B3DC3CB69}" name="City"/>
    <tableColumn id="10" xr3:uid="{6B727BA6-4200-4F4E-945F-8CBCFBFC6B80}" name="Hire Date" dataDxfId="5"/>
    <tableColumn id="11" xr3:uid="{EB875A0C-9FB9-45BD-926E-618B4CA19754}" name="Years at Company"/>
    <tableColumn id="12" xr3:uid="{4A7959E6-1489-442F-8F8E-728503D996F7}" name="Salary"/>
    <tableColumn id="13" xr3:uid="{B8F61C8D-29B3-436B-8964-7DE1D6D604BD}" name="Bonus"/>
    <tableColumn id="14" xr3:uid="{793C1949-CA1A-4806-8687-9D9930AE6608}" name="Overtime"/>
    <tableColumn id="15" xr3:uid="{63845C96-81E5-41EF-86B2-E1AB057C7ACE}" name="Performance Score"/>
    <tableColumn id="16" xr3:uid="{95382B37-88D0-4305-8D13-86DA9F32033D}" name="Training Hours"/>
    <tableColumn id="17" xr3:uid="{112F7FE5-8CD3-4D0A-BDCF-A582EE5539AC}" name="Job Satisfaction"/>
    <tableColumn id="18" xr3:uid="{B6E7DDDB-DC83-4C29-8DD0-7F35351284D3}" name="Work Life Balance"/>
    <tableColumn id="19" xr3:uid="{5E9CFDE9-8354-4441-A13D-6F1E463E97CB}" name="Absent Days"/>
    <tableColumn id="20" xr3:uid="{9C7134D3-096E-4F3D-BDF4-715CFA377F49}" name="Promotion"/>
    <tableColumn id="21" xr3:uid="{9AAE145F-ABBB-42A3-9BBB-F3E8D8B18B32}" name="Resigned"/>
    <tableColumn id="22" xr3:uid="{62F445AF-3854-4267-B8EE-0153B389848B}" name="Manager"/>
    <tableColumn id="23" xr3:uid="{778ACC45-39C4-4D05-AA6B-8806E7765B2D}" name="Remote Work"/>
    <tableColumn id="24" xr3:uid="{EAC3356F-5506-41A8-9B72-A7CDC6AA7770}" name="Contract Type"/>
    <tableColumn id="25" xr3:uid="{840BB738-D2BA-4FDB-90B7-BA999D299A64}" name="Exit Reason"/>
    <tableColumn id="26" xr3:uid="{CA7E9A56-25D6-48E5-9599-FEF7265519DE}" name="age group" dataDxfId="4">
      <calculatedColumnFormula>IF(Table1[[#This Row],[Age]]&lt;30,"20-29",IF(Table1[[#This Row],[Age]]&lt;40,"30-39",IF(Table1[[#This Row],[Age]]&lt;50,"40-49","50+")))</calculatedColumnFormula>
    </tableColumn>
    <tableColumn id="27" xr3:uid="{C7F8A2D3-3EA3-4FF3-AE94-70882963A1D5}" name="salary level" dataDxfId="3">
      <calculatedColumnFormula>IF(Table1[[#This Row],[Salary]]&lt;20000000,"low",IF(Table1[[#This Row],[Salary]]&lt;40000000,"medium","high"))</calculatedColumnFormula>
    </tableColumn>
    <tableColumn id="28" xr3:uid="{8A4ADCDB-B89C-4A03-9359-1AF33D5BF8A7}" name="hire year" dataDxfId="2">
      <calculatedColumnFormula>YEAR(Table1[[#This Row],[Hire Date]])</calculatedColumnFormula>
    </tableColumn>
    <tableColumn id="29" xr3:uid="{62A02470-1CE5-4E6F-B650-78A7C2DB2281}" name="hire month" dataDxfId="1">
      <calculatedColumnFormula>TEXT(Table1[[#This Row],[Hire Date]],"mmmm")</calculatedColumnFormula>
    </tableColumn>
    <tableColumn id="30" xr3:uid="{3C6946D3-0A71-4460-9279-4D76F8553B1F}" name="employee status" dataDxfId="0">
      <calculatedColumnFormula>IF(Table1[[#This Row],[Resigned]]="yes","former","active")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85744-09C6-4A03-8DD7-C4FE8F0FB602}">
  <dimension ref="A3:M35"/>
  <sheetViews>
    <sheetView workbookViewId="0">
      <selection activeCell="B6" sqref="B6"/>
    </sheetView>
  </sheetViews>
  <sheetFormatPr defaultRowHeight="14.4" x14ac:dyDescent="0.3"/>
  <cols>
    <col min="1" max="2" width="12.5546875" bestFit="1" customWidth="1"/>
    <col min="3" max="3" width="19.5546875" bestFit="1" customWidth="1"/>
    <col min="6" max="6" width="12.5546875" bestFit="1" customWidth="1"/>
    <col min="7" max="7" width="23.77734375" bestFit="1" customWidth="1"/>
    <col min="8" max="8" width="15.77734375" bestFit="1" customWidth="1"/>
    <col min="9" max="9" width="6" bestFit="1" customWidth="1"/>
    <col min="10" max="10" width="12.5546875" bestFit="1" customWidth="1"/>
    <col min="11" max="11" width="19.5546875" bestFit="1" customWidth="1"/>
    <col min="12" max="12" width="12.5546875" bestFit="1" customWidth="1"/>
    <col min="13" max="13" width="20.77734375" bestFit="1" customWidth="1"/>
    <col min="14" max="1206" width="6" bestFit="1" customWidth="1"/>
    <col min="1207" max="1207" width="10.77734375" bestFit="1" customWidth="1"/>
  </cols>
  <sheetData>
    <row r="3" spans="1:13" x14ac:dyDescent="0.3">
      <c r="A3" s="3" t="s">
        <v>2482</v>
      </c>
      <c r="B3" t="s">
        <v>2484</v>
      </c>
    </row>
    <row r="4" spans="1:13" x14ac:dyDescent="0.3">
      <c r="A4" s="4" t="s">
        <v>40</v>
      </c>
      <c r="B4">
        <v>189</v>
      </c>
      <c r="M4" t="s">
        <v>2490</v>
      </c>
    </row>
    <row r="5" spans="1:13" x14ac:dyDescent="0.3">
      <c r="A5" s="4" t="s">
        <v>56</v>
      </c>
      <c r="B5">
        <v>215</v>
      </c>
      <c r="L5" s="3" t="s">
        <v>2482</v>
      </c>
      <c r="M5" t="s">
        <v>2489</v>
      </c>
    </row>
    <row r="6" spans="1:13" x14ac:dyDescent="0.3">
      <c r="A6" s="4" t="s">
        <v>73</v>
      </c>
      <c r="B6">
        <v>217</v>
      </c>
      <c r="G6" t="s">
        <v>2486</v>
      </c>
      <c r="L6" s="4" t="s">
        <v>56</v>
      </c>
      <c r="M6">
        <v>656</v>
      </c>
    </row>
    <row r="7" spans="1:13" x14ac:dyDescent="0.3">
      <c r="A7" s="4" t="s">
        <v>110</v>
      </c>
      <c r="B7">
        <v>185</v>
      </c>
      <c r="F7" s="3" t="s">
        <v>2482</v>
      </c>
      <c r="G7" t="s">
        <v>2484</v>
      </c>
      <c r="L7" s="4" t="s">
        <v>73</v>
      </c>
      <c r="M7">
        <v>635</v>
      </c>
    </row>
    <row r="8" spans="1:13" x14ac:dyDescent="0.3">
      <c r="A8" s="4" t="s">
        <v>63</v>
      </c>
      <c r="B8">
        <v>192</v>
      </c>
      <c r="F8" s="4" t="s">
        <v>50</v>
      </c>
      <c r="G8">
        <v>228</v>
      </c>
      <c r="L8" s="4" t="s">
        <v>40</v>
      </c>
      <c r="M8">
        <v>557</v>
      </c>
    </row>
    <row r="9" spans="1:13" x14ac:dyDescent="0.3">
      <c r="A9" s="4" t="s">
        <v>28</v>
      </c>
      <c r="B9">
        <v>202</v>
      </c>
      <c r="F9" s="4" t="s">
        <v>81</v>
      </c>
      <c r="G9">
        <v>254</v>
      </c>
      <c r="L9" s="4" t="s">
        <v>110</v>
      </c>
      <c r="M9">
        <v>592</v>
      </c>
    </row>
    <row r="10" spans="1:13" x14ac:dyDescent="0.3">
      <c r="A10" s="4" t="s">
        <v>2483</v>
      </c>
      <c r="B10">
        <v>1200</v>
      </c>
      <c r="F10" s="4" t="s">
        <v>65</v>
      </c>
      <c r="G10">
        <v>252</v>
      </c>
      <c r="L10" s="4" t="s">
        <v>63</v>
      </c>
      <c r="M10">
        <v>599</v>
      </c>
    </row>
    <row r="11" spans="1:13" x14ac:dyDescent="0.3">
      <c r="B11" t="s">
        <v>2485</v>
      </c>
      <c r="F11" s="4" t="s">
        <v>32</v>
      </c>
      <c r="G11">
        <v>224</v>
      </c>
      <c r="L11" s="4" t="s">
        <v>28</v>
      </c>
      <c r="M11">
        <v>619</v>
      </c>
    </row>
    <row r="12" spans="1:13" x14ac:dyDescent="0.3">
      <c r="F12" s="4" t="s">
        <v>43</v>
      </c>
      <c r="G12">
        <v>242</v>
      </c>
      <c r="L12" s="4" t="s">
        <v>2483</v>
      </c>
      <c r="M12">
        <v>3658</v>
      </c>
    </row>
    <row r="13" spans="1:13" x14ac:dyDescent="0.3">
      <c r="F13" s="4" t="s">
        <v>2483</v>
      </c>
      <c r="G13">
        <v>1200</v>
      </c>
    </row>
    <row r="14" spans="1:13" x14ac:dyDescent="0.3">
      <c r="C14" t="s">
        <v>2487</v>
      </c>
    </row>
    <row r="15" spans="1:13" x14ac:dyDescent="0.3">
      <c r="B15" s="3" t="s">
        <v>2482</v>
      </c>
      <c r="C15" t="s">
        <v>2484</v>
      </c>
      <c r="K15" t="s">
        <v>2491</v>
      </c>
    </row>
    <row r="16" spans="1:13" x14ac:dyDescent="0.3">
      <c r="B16" s="4" t="s">
        <v>2501</v>
      </c>
      <c r="C16">
        <v>614</v>
      </c>
      <c r="F16" s="3" t="s">
        <v>2482</v>
      </c>
      <c r="G16" t="s">
        <v>2488</v>
      </c>
      <c r="J16" s="3" t="s">
        <v>2482</v>
      </c>
      <c r="K16" t="s">
        <v>2484</v>
      </c>
    </row>
    <row r="17" spans="2:11" x14ac:dyDescent="0.3">
      <c r="B17" s="4" t="s">
        <v>2502</v>
      </c>
      <c r="C17">
        <v>586</v>
      </c>
      <c r="F17" s="4" t="s">
        <v>56</v>
      </c>
      <c r="G17">
        <v>810.81</v>
      </c>
      <c r="J17" s="4" t="s">
        <v>2492</v>
      </c>
      <c r="K17">
        <v>232</v>
      </c>
    </row>
    <row r="18" spans="2:11" x14ac:dyDescent="0.3">
      <c r="B18" s="4" t="s">
        <v>2483</v>
      </c>
      <c r="C18">
        <v>1200</v>
      </c>
      <c r="F18" s="4" t="s">
        <v>73</v>
      </c>
      <c r="G18">
        <v>829.16</v>
      </c>
      <c r="J18" s="4" t="s">
        <v>2493</v>
      </c>
      <c r="K18">
        <v>308</v>
      </c>
    </row>
    <row r="19" spans="2:11" x14ac:dyDescent="0.3">
      <c r="F19" s="4" t="s">
        <v>40</v>
      </c>
      <c r="G19">
        <v>709.77</v>
      </c>
      <c r="J19" s="4" t="s">
        <v>2494</v>
      </c>
      <c r="K19">
        <v>349</v>
      </c>
    </row>
    <row r="20" spans="2:11" x14ac:dyDescent="0.3">
      <c r="F20" s="4" t="s">
        <v>110</v>
      </c>
      <c r="G20">
        <v>690.64</v>
      </c>
      <c r="J20" s="4" t="s">
        <v>2495</v>
      </c>
      <c r="K20">
        <v>311</v>
      </c>
    </row>
    <row r="21" spans="2:11" x14ac:dyDescent="0.3">
      <c r="F21" s="4" t="s">
        <v>63</v>
      </c>
      <c r="G21">
        <v>719.56</v>
      </c>
      <c r="J21" s="4" t="s">
        <v>2483</v>
      </c>
      <c r="K21">
        <v>1200</v>
      </c>
    </row>
    <row r="22" spans="2:11" x14ac:dyDescent="0.3">
      <c r="B22" s="3" t="s">
        <v>2482</v>
      </c>
      <c r="C22" t="s">
        <v>2497</v>
      </c>
      <c r="F22" s="4" t="s">
        <v>28</v>
      </c>
      <c r="G22">
        <v>773.82</v>
      </c>
    </row>
    <row r="23" spans="2:11" x14ac:dyDescent="0.3">
      <c r="B23" s="4">
        <v>2016</v>
      </c>
      <c r="C23">
        <v>121</v>
      </c>
      <c r="F23" s="4" t="s">
        <v>2483</v>
      </c>
      <c r="G23">
        <v>4533.76</v>
      </c>
    </row>
    <row r="24" spans="2:11" x14ac:dyDescent="0.3">
      <c r="B24" s="4">
        <v>2017</v>
      </c>
      <c r="C24">
        <v>122</v>
      </c>
      <c r="G24" t="s">
        <v>2496</v>
      </c>
    </row>
    <row r="25" spans="2:11" x14ac:dyDescent="0.3">
      <c r="B25" s="4">
        <v>2018</v>
      </c>
      <c r="C25">
        <v>134</v>
      </c>
    </row>
    <row r="26" spans="2:11" x14ac:dyDescent="0.3">
      <c r="B26" s="4">
        <v>2019</v>
      </c>
      <c r="C26">
        <v>142</v>
      </c>
    </row>
    <row r="27" spans="2:11" x14ac:dyDescent="0.3">
      <c r="B27" s="4">
        <v>2020</v>
      </c>
      <c r="C27">
        <v>122</v>
      </c>
      <c r="H27" t="s">
        <v>2500</v>
      </c>
    </row>
    <row r="28" spans="2:11" x14ac:dyDescent="0.3">
      <c r="B28" s="4">
        <v>2021</v>
      </c>
      <c r="C28">
        <v>109</v>
      </c>
      <c r="G28" s="3" t="s">
        <v>2482</v>
      </c>
      <c r="H28" t="s">
        <v>2499</v>
      </c>
    </row>
    <row r="29" spans="2:11" x14ac:dyDescent="0.3">
      <c r="B29" s="4">
        <v>2022</v>
      </c>
      <c r="C29">
        <v>122</v>
      </c>
      <c r="G29" s="4" t="s">
        <v>56</v>
      </c>
      <c r="H29">
        <v>36098657.274418607</v>
      </c>
    </row>
    <row r="30" spans="2:11" x14ac:dyDescent="0.3">
      <c r="B30" s="4">
        <v>2023</v>
      </c>
      <c r="C30">
        <v>115</v>
      </c>
      <c r="G30" s="4" t="s">
        <v>73</v>
      </c>
      <c r="H30">
        <v>34970304.852534562</v>
      </c>
    </row>
    <row r="31" spans="2:11" x14ac:dyDescent="0.3">
      <c r="B31" s="4">
        <v>2024</v>
      </c>
      <c r="C31">
        <v>117</v>
      </c>
      <c r="G31" s="4" t="s">
        <v>40</v>
      </c>
      <c r="H31">
        <v>35886076.375661373</v>
      </c>
    </row>
    <row r="32" spans="2:11" x14ac:dyDescent="0.3">
      <c r="B32" s="4">
        <v>2025</v>
      </c>
      <c r="C32">
        <v>96</v>
      </c>
      <c r="G32" s="4" t="s">
        <v>110</v>
      </c>
      <c r="H32">
        <v>35878086.021621622</v>
      </c>
    </row>
    <row r="33" spans="2:8" x14ac:dyDescent="0.3">
      <c r="B33" s="4" t="s">
        <v>2483</v>
      </c>
      <c r="C33">
        <v>1200</v>
      </c>
      <c r="G33" s="4" t="s">
        <v>63</v>
      </c>
      <c r="H33">
        <v>36736674.697916664</v>
      </c>
    </row>
    <row r="34" spans="2:8" x14ac:dyDescent="0.3">
      <c r="C34" t="s">
        <v>2498</v>
      </c>
      <c r="G34" s="4" t="s">
        <v>28</v>
      </c>
      <c r="H34">
        <v>34766131.514851488</v>
      </c>
    </row>
    <row r="35" spans="2:8" x14ac:dyDescent="0.3">
      <c r="G35" s="4" t="s">
        <v>2483</v>
      </c>
      <c r="H35">
        <v>35704901.603333332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B39E3-3867-4377-AECB-1E0553895964}">
  <dimension ref="A1"/>
  <sheetViews>
    <sheetView showGridLines="0" rightToLeft="1"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201"/>
  <sheetViews>
    <sheetView rightToLeft="1" workbookViewId="0">
      <selection activeCell="AL10" sqref="AL10"/>
    </sheetView>
  </sheetViews>
  <sheetFormatPr defaultRowHeight="14.4" x14ac:dyDescent="0.3"/>
  <cols>
    <col min="1" max="1" width="13.44140625" customWidth="1"/>
    <col min="3" max="3" width="9" customWidth="1"/>
    <col min="5" max="5" width="13" customWidth="1"/>
    <col min="6" max="6" width="9.88671875" customWidth="1"/>
    <col min="7" max="7" width="11.33203125" customWidth="1"/>
    <col min="8" max="8" width="14.5546875" customWidth="1"/>
    <col min="9" max="9" width="7.88671875" customWidth="1"/>
    <col min="10" max="10" width="20.77734375" customWidth="1"/>
    <col min="11" max="11" width="7.88671875" customWidth="1"/>
    <col min="14" max="14" width="10.6640625" customWidth="1"/>
    <col min="15" max="15" width="11.77734375" customWidth="1"/>
    <col min="16" max="16" width="8.77734375" customWidth="1"/>
    <col min="17" max="17" width="9" customWidth="1"/>
    <col min="18" max="18" width="10.77734375" customWidth="1"/>
    <col min="19" max="19" width="13.21875" customWidth="1"/>
    <col min="20" max="20" width="11.88671875" customWidth="1"/>
    <col min="21" max="22" width="10.44140625" customWidth="1"/>
    <col min="23" max="23" width="14.44140625" customWidth="1"/>
    <col min="24" max="24" width="14.6640625" customWidth="1"/>
    <col min="25" max="25" width="12.44140625"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2469</v>
      </c>
      <c r="AA1" t="s">
        <v>2470</v>
      </c>
      <c r="AB1" t="s">
        <v>2471</v>
      </c>
      <c r="AC1" t="s">
        <v>2472</v>
      </c>
      <c r="AD1" t="s">
        <v>2473</v>
      </c>
    </row>
    <row r="2" spans="1:30" x14ac:dyDescent="0.3">
      <c r="A2" t="s">
        <v>25</v>
      </c>
      <c r="B2" t="s">
        <v>26</v>
      </c>
      <c r="C2" t="s">
        <v>27</v>
      </c>
      <c r="D2">
        <v>56</v>
      </c>
      <c r="E2" t="s">
        <v>28</v>
      </c>
      <c r="F2" t="s">
        <v>29</v>
      </c>
      <c r="G2" t="s">
        <v>30</v>
      </c>
      <c r="H2" t="s">
        <v>31</v>
      </c>
      <c r="I2" t="s">
        <v>32</v>
      </c>
      <c r="J2" s="1">
        <v>43169</v>
      </c>
      <c r="K2">
        <v>8</v>
      </c>
      <c r="L2">
        <v>33895632</v>
      </c>
      <c r="M2">
        <v>9458173</v>
      </c>
      <c r="N2" t="s">
        <v>33</v>
      </c>
      <c r="O2">
        <v>3.93</v>
      </c>
      <c r="P2">
        <v>78</v>
      </c>
      <c r="Q2">
        <v>5</v>
      </c>
      <c r="R2">
        <v>4</v>
      </c>
      <c r="S2">
        <v>12</v>
      </c>
      <c r="T2" t="s">
        <v>33</v>
      </c>
      <c r="U2" t="s">
        <v>34</v>
      </c>
      <c r="V2" t="s">
        <v>35</v>
      </c>
      <c r="W2" t="s">
        <v>34</v>
      </c>
      <c r="X2" t="s">
        <v>36</v>
      </c>
      <c r="Z2" t="str">
        <f>IF(Table1[[#This Row],[Age]]&lt;30,"20-29",IF(Table1[[#This Row],[Age]]&lt;40,"30-39",IF(Table1[[#This Row],[Age]]&lt;50,"40-49","50+")))</f>
        <v>50+</v>
      </c>
      <c r="AA2" t="str">
        <f>IF(Table1[[#This Row],[Salary]]&lt;20000000,"low",IF(Table1[[#This Row],[Salary]]&lt;40000000,"medium","high"))</f>
        <v>medium</v>
      </c>
      <c r="AB2">
        <f>YEAR(Table1[[#This Row],[Hire Date]])</f>
        <v>2018</v>
      </c>
      <c r="AC2" t="str">
        <f>TEXT(Table1[[#This Row],[Hire Date]],"mmmm")</f>
        <v>مارس</v>
      </c>
      <c r="AD2" t="str">
        <f>IF(Table1[[#This Row],[Resigned]]="yes","former","active")</f>
        <v>active</v>
      </c>
    </row>
    <row r="3" spans="1:30" x14ac:dyDescent="0.3">
      <c r="A3" t="s">
        <v>37</v>
      </c>
      <c r="B3" t="s">
        <v>38</v>
      </c>
      <c r="C3" t="s">
        <v>39</v>
      </c>
      <c r="D3">
        <v>22</v>
      </c>
      <c r="E3" t="s">
        <v>40</v>
      </c>
      <c r="F3" t="s">
        <v>41</v>
      </c>
      <c r="G3" t="s">
        <v>30</v>
      </c>
      <c r="H3" t="s">
        <v>42</v>
      </c>
      <c r="I3" t="s">
        <v>43</v>
      </c>
      <c r="J3" s="1">
        <v>45389</v>
      </c>
      <c r="K3">
        <v>2</v>
      </c>
      <c r="L3">
        <v>22587070</v>
      </c>
      <c r="M3">
        <v>3525077</v>
      </c>
      <c r="N3" t="s">
        <v>33</v>
      </c>
      <c r="O3">
        <v>3.19</v>
      </c>
      <c r="P3">
        <v>32</v>
      </c>
      <c r="Q3">
        <v>5</v>
      </c>
      <c r="R3">
        <v>4</v>
      </c>
      <c r="S3">
        <v>9</v>
      </c>
      <c r="T3" t="s">
        <v>34</v>
      </c>
      <c r="U3" t="s">
        <v>34</v>
      </c>
      <c r="V3" t="s">
        <v>44</v>
      </c>
      <c r="W3" t="s">
        <v>33</v>
      </c>
      <c r="X3" t="s">
        <v>45</v>
      </c>
      <c r="Z3" t="str">
        <f>IF(Table1[[#This Row],[Age]]&lt;30,"20-29",IF(Table1[[#This Row],[Age]]&lt;40,"30-39",IF(Table1[[#This Row],[Age]]&lt;50,"40-49","50+")))</f>
        <v>20-29</v>
      </c>
      <c r="AA3" t="str">
        <f>IF(Table1[[#This Row],[Salary]]&lt;20000000,"low",IF(Table1[[#This Row],[Salary]]&lt;40000000,"medium","high"))</f>
        <v>medium</v>
      </c>
      <c r="AB3">
        <f>YEAR(Table1[[#This Row],[Hire Date]])</f>
        <v>2024</v>
      </c>
      <c r="AC3" t="str">
        <f>TEXT(Table1[[#This Row],[Hire Date]],"mmmm")</f>
        <v>آوريل</v>
      </c>
      <c r="AD3" t="str">
        <f>IF(Table1[[#This Row],[Resigned]]="yes","former","active")</f>
        <v>active</v>
      </c>
    </row>
    <row r="4" spans="1:30" x14ac:dyDescent="0.3">
      <c r="A4" t="s">
        <v>46</v>
      </c>
      <c r="B4" t="s">
        <v>47</v>
      </c>
      <c r="C4" t="s">
        <v>27</v>
      </c>
      <c r="D4">
        <v>48</v>
      </c>
      <c r="E4" t="s">
        <v>40</v>
      </c>
      <c r="F4" t="s">
        <v>48</v>
      </c>
      <c r="G4" t="s">
        <v>49</v>
      </c>
      <c r="H4" t="s">
        <v>42</v>
      </c>
      <c r="I4" t="s">
        <v>50</v>
      </c>
      <c r="J4" s="1">
        <v>45567</v>
      </c>
      <c r="K4">
        <v>2</v>
      </c>
      <c r="L4">
        <v>32219463</v>
      </c>
      <c r="M4">
        <v>3591635</v>
      </c>
      <c r="N4" t="s">
        <v>33</v>
      </c>
      <c r="O4">
        <v>3.36</v>
      </c>
      <c r="P4">
        <v>32</v>
      </c>
      <c r="Q4">
        <v>5</v>
      </c>
      <c r="R4">
        <v>3</v>
      </c>
      <c r="S4">
        <v>20</v>
      </c>
      <c r="T4" t="s">
        <v>34</v>
      </c>
      <c r="U4" t="s">
        <v>33</v>
      </c>
      <c r="V4" t="s">
        <v>51</v>
      </c>
      <c r="W4" t="s">
        <v>33</v>
      </c>
      <c r="X4" t="s">
        <v>52</v>
      </c>
      <c r="Y4" t="s">
        <v>53</v>
      </c>
      <c r="Z4" t="str">
        <f>IF(Table1[[#This Row],[Age]]&lt;30,"20-29",IF(Table1[[#This Row],[Age]]&lt;40,"30-39",IF(Table1[[#This Row],[Age]]&lt;50,"40-49","50+")))</f>
        <v>40-49</v>
      </c>
      <c r="AA4" t="str">
        <f>IF(Table1[[#This Row],[Salary]]&lt;20000000,"low",IF(Table1[[#This Row],[Salary]]&lt;40000000,"medium","high"))</f>
        <v>medium</v>
      </c>
      <c r="AB4">
        <f>YEAR(Table1[[#This Row],[Hire Date]])</f>
        <v>2024</v>
      </c>
      <c r="AC4" t="str">
        <f>TEXT(Table1[[#This Row],[Hire Date]],"mmmm")</f>
        <v>اُكتبر</v>
      </c>
      <c r="AD4" t="str">
        <f>IF(Table1[[#This Row],[Resigned]]="yes","former","active")</f>
        <v>former</v>
      </c>
    </row>
    <row r="5" spans="1:30" x14ac:dyDescent="0.3">
      <c r="A5" t="s">
        <v>54</v>
      </c>
      <c r="B5" t="s">
        <v>55</v>
      </c>
      <c r="C5" t="s">
        <v>27</v>
      </c>
      <c r="D5">
        <v>50</v>
      </c>
      <c r="E5" t="s">
        <v>56</v>
      </c>
      <c r="F5" t="s">
        <v>57</v>
      </c>
      <c r="G5" t="s">
        <v>58</v>
      </c>
      <c r="H5" t="s">
        <v>31</v>
      </c>
      <c r="I5" t="s">
        <v>50</v>
      </c>
      <c r="J5" s="1">
        <v>43911</v>
      </c>
      <c r="K5">
        <v>6</v>
      </c>
      <c r="L5">
        <v>14491258</v>
      </c>
      <c r="M5">
        <v>9432685</v>
      </c>
      <c r="N5" t="s">
        <v>33</v>
      </c>
      <c r="O5">
        <v>3.69</v>
      </c>
      <c r="P5">
        <v>15</v>
      </c>
      <c r="Q5">
        <v>4</v>
      </c>
      <c r="R5">
        <v>4</v>
      </c>
      <c r="S5">
        <v>16</v>
      </c>
      <c r="T5" t="s">
        <v>34</v>
      </c>
      <c r="U5" t="s">
        <v>33</v>
      </c>
      <c r="V5" t="s">
        <v>59</v>
      </c>
      <c r="W5" t="s">
        <v>34</v>
      </c>
      <c r="X5" t="s">
        <v>52</v>
      </c>
      <c r="Y5" t="s">
        <v>60</v>
      </c>
      <c r="Z5" t="str">
        <f>IF(Table1[[#This Row],[Age]]&lt;30,"20-29",IF(Table1[[#This Row],[Age]]&lt;40,"30-39",IF(Table1[[#This Row],[Age]]&lt;50,"40-49","50+")))</f>
        <v>50+</v>
      </c>
      <c r="AA5" t="str">
        <f>IF(Table1[[#This Row],[Salary]]&lt;20000000,"low",IF(Table1[[#This Row],[Salary]]&lt;40000000,"medium","high"))</f>
        <v>low</v>
      </c>
      <c r="AB5">
        <f>YEAR(Table1[[#This Row],[Hire Date]])</f>
        <v>2020</v>
      </c>
      <c r="AC5" t="str">
        <f>TEXT(Table1[[#This Row],[Hire Date]],"mmmm")</f>
        <v>مارس</v>
      </c>
      <c r="AD5" t="str">
        <f>IF(Table1[[#This Row],[Resigned]]="yes","former","active")</f>
        <v>former</v>
      </c>
    </row>
    <row r="6" spans="1:30" x14ac:dyDescent="0.3">
      <c r="A6" t="s">
        <v>61</v>
      </c>
      <c r="B6" t="s">
        <v>62</v>
      </c>
      <c r="C6" t="s">
        <v>39</v>
      </c>
      <c r="D6">
        <v>42</v>
      </c>
      <c r="E6" t="s">
        <v>63</v>
      </c>
      <c r="F6" t="s">
        <v>64</v>
      </c>
      <c r="G6" t="s">
        <v>58</v>
      </c>
      <c r="H6" t="s">
        <v>42</v>
      </c>
      <c r="I6" t="s">
        <v>65</v>
      </c>
      <c r="J6" s="1">
        <v>42410</v>
      </c>
      <c r="K6">
        <v>10</v>
      </c>
      <c r="L6">
        <v>53825036</v>
      </c>
      <c r="M6">
        <v>8430895</v>
      </c>
      <c r="N6" t="s">
        <v>34</v>
      </c>
      <c r="O6">
        <v>3.61</v>
      </c>
      <c r="P6">
        <v>10</v>
      </c>
      <c r="Q6">
        <v>4</v>
      </c>
      <c r="R6">
        <v>1</v>
      </c>
      <c r="S6">
        <v>14</v>
      </c>
      <c r="T6" t="s">
        <v>34</v>
      </c>
      <c r="U6" t="s">
        <v>34</v>
      </c>
      <c r="V6" t="s">
        <v>44</v>
      </c>
      <c r="W6" t="s">
        <v>33</v>
      </c>
      <c r="X6" t="s">
        <v>45</v>
      </c>
      <c r="Z6" t="str">
        <f>IF(Table1[[#This Row],[Age]]&lt;30,"20-29",IF(Table1[[#This Row],[Age]]&lt;40,"30-39",IF(Table1[[#This Row],[Age]]&lt;50,"40-49","50+")))</f>
        <v>40-49</v>
      </c>
      <c r="AA6" t="str">
        <f>IF(Table1[[#This Row],[Salary]]&lt;20000000,"low",IF(Table1[[#This Row],[Salary]]&lt;40000000,"medium","high"))</f>
        <v>high</v>
      </c>
      <c r="AB6">
        <f>YEAR(Table1[[#This Row],[Hire Date]])</f>
        <v>2016</v>
      </c>
      <c r="AC6" t="str">
        <f>TEXT(Table1[[#This Row],[Hire Date]],"mmmm")</f>
        <v>فوريه</v>
      </c>
      <c r="AD6" t="str">
        <f>IF(Table1[[#This Row],[Resigned]]="yes","former","active")</f>
        <v>active</v>
      </c>
    </row>
    <row r="7" spans="1:30" x14ac:dyDescent="0.3">
      <c r="A7" t="s">
        <v>66</v>
      </c>
      <c r="B7" t="s">
        <v>67</v>
      </c>
      <c r="C7" t="s">
        <v>39</v>
      </c>
      <c r="D7">
        <v>24</v>
      </c>
      <c r="E7" t="s">
        <v>40</v>
      </c>
      <c r="F7" t="s">
        <v>48</v>
      </c>
      <c r="G7" t="s">
        <v>49</v>
      </c>
      <c r="H7" t="s">
        <v>42</v>
      </c>
      <c r="I7" t="s">
        <v>65</v>
      </c>
      <c r="J7" s="1">
        <v>43110</v>
      </c>
      <c r="K7">
        <v>8</v>
      </c>
      <c r="L7">
        <v>23548863</v>
      </c>
      <c r="M7">
        <v>1579426</v>
      </c>
      <c r="N7" t="s">
        <v>33</v>
      </c>
      <c r="O7">
        <v>4.63</v>
      </c>
      <c r="P7">
        <v>59</v>
      </c>
      <c r="Q7">
        <v>2</v>
      </c>
      <c r="R7">
        <v>2</v>
      </c>
      <c r="S7">
        <v>12</v>
      </c>
      <c r="T7" t="s">
        <v>33</v>
      </c>
      <c r="U7" t="s">
        <v>34</v>
      </c>
      <c r="V7" t="s">
        <v>44</v>
      </c>
      <c r="W7" t="s">
        <v>33</v>
      </c>
      <c r="X7" t="s">
        <v>36</v>
      </c>
      <c r="Z7" t="str">
        <f>IF(Table1[[#This Row],[Age]]&lt;30,"20-29",IF(Table1[[#This Row],[Age]]&lt;40,"30-39",IF(Table1[[#This Row],[Age]]&lt;50,"40-49","50+")))</f>
        <v>20-29</v>
      </c>
      <c r="AA7" t="str">
        <f>IF(Table1[[#This Row],[Salary]]&lt;20000000,"low",IF(Table1[[#This Row],[Salary]]&lt;40000000,"medium","high"))</f>
        <v>medium</v>
      </c>
      <c r="AB7">
        <f>YEAR(Table1[[#This Row],[Hire Date]])</f>
        <v>2018</v>
      </c>
      <c r="AC7" t="str">
        <f>TEXT(Table1[[#This Row],[Hire Date]],"mmmm")</f>
        <v>ژانويه</v>
      </c>
      <c r="AD7" t="str">
        <f>IF(Table1[[#This Row],[Resigned]]="yes","former","active")</f>
        <v>active</v>
      </c>
    </row>
    <row r="8" spans="1:30" x14ac:dyDescent="0.3">
      <c r="A8" t="s">
        <v>68</v>
      </c>
      <c r="B8" t="s">
        <v>69</v>
      </c>
      <c r="C8" t="s">
        <v>39</v>
      </c>
      <c r="D8">
        <v>32</v>
      </c>
      <c r="E8" t="s">
        <v>40</v>
      </c>
      <c r="F8" t="s">
        <v>48</v>
      </c>
      <c r="G8" t="s">
        <v>49</v>
      </c>
      <c r="H8" t="s">
        <v>42</v>
      </c>
      <c r="I8" t="s">
        <v>32</v>
      </c>
      <c r="J8" s="1">
        <v>43438</v>
      </c>
      <c r="K8">
        <v>8</v>
      </c>
      <c r="L8">
        <v>31528242</v>
      </c>
      <c r="M8">
        <v>1154953</v>
      </c>
      <c r="N8" t="s">
        <v>34</v>
      </c>
      <c r="O8">
        <v>4.16</v>
      </c>
      <c r="P8">
        <v>16</v>
      </c>
      <c r="Q8">
        <v>1</v>
      </c>
      <c r="R8">
        <v>1</v>
      </c>
      <c r="S8">
        <v>17</v>
      </c>
      <c r="T8" t="s">
        <v>33</v>
      </c>
      <c r="U8" t="s">
        <v>34</v>
      </c>
      <c r="V8" t="s">
        <v>70</v>
      </c>
      <c r="W8" t="s">
        <v>34</v>
      </c>
      <c r="X8" t="s">
        <v>52</v>
      </c>
      <c r="Z8" t="str">
        <f>IF(Table1[[#This Row],[Age]]&lt;30,"20-29",IF(Table1[[#This Row],[Age]]&lt;40,"30-39",IF(Table1[[#This Row],[Age]]&lt;50,"40-49","50+")))</f>
        <v>30-39</v>
      </c>
      <c r="AA8" t="str">
        <f>IF(Table1[[#This Row],[Salary]]&lt;20000000,"low",IF(Table1[[#This Row],[Salary]]&lt;40000000,"medium","high"))</f>
        <v>medium</v>
      </c>
      <c r="AB8">
        <f>YEAR(Table1[[#This Row],[Hire Date]])</f>
        <v>2018</v>
      </c>
      <c r="AC8" t="str">
        <f>TEXT(Table1[[#This Row],[Hire Date]],"mmmm")</f>
        <v>دسامبر</v>
      </c>
      <c r="AD8" t="str">
        <f>IF(Table1[[#This Row],[Resigned]]="yes","former","active")</f>
        <v>active</v>
      </c>
    </row>
    <row r="9" spans="1:30" x14ac:dyDescent="0.3">
      <c r="A9" t="s">
        <v>71</v>
      </c>
      <c r="B9" t="s">
        <v>72</v>
      </c>
      <c r="C9" t="s">
        <v>27</v>
      </c>
      <c r="D9">
        <v>45</v>
      </c>
      <c r="E9" t="s">
        <v>73</v>
      </c>
      <c r="F9" t="s">
        <v>74</v>
      </c>
      <c r="G9" t="s">
        <v>58</v>
      </c>
      <c r="H9" t="s">
        <v>42</v>
      </c>
      <c r="I9" t="s">
        <v>50</v>
      </c>
      <c r="J9" s="1">
        <v>44090</v>
      </c>
      <c r="K9">
        <v>6</v>
      </c>
      <c r="L9">
        <v>19321175</v>
      </c>
      <c r="M9">
        <v>62623</v>
      </c>
      <c r="N9" t="s">
        <v>34</v>
      </c>
      <c r="O9">
        <v>4.26</v>
      </c>
      <c r="P9">
        <v>80</v>
      </c>
      <c r="Q9">
        <v>1</v>
      </c>
      <c r="R9">
        <v>3</v>
      </c>
      <c r="S9">
        <v>12</v>
      </c>
      <c r="T9" t="s">
        <v>33</v>
      </c>
      <c r="U9" t="s">
        <v>33</v>
      </c>
      <c r="V9" t="s">
        <v>59</v>
      </c>
      <c r="W9" t="s">
        <v>33</v>
      </c>
      <c r="X9" t="s">
        <v>52</v>
      </c>
      <c r="Y9" t="s">
        <v>75</v>
      </c>
      <c r="Z9" t="str">
        <f>IF(Table1[[#This Row],[Age]]&lt;30,"20-29",IF(Table1[[#This Row],[Age]]&lt;40,"30-39",IF(Table1[[#This Row],[Age]]&lt;50,"40-49","50+")))</f>
        <v>40-49</v>
      </c>
      <c r="AA9" t="str">
        <f>IF(Table1[[#This Row],[Salary]]&lt;20000000,"low",IF(Table1[[#This Row],[Salary]]&lt;40000000,"medium","high"))</f>
        <v>low</v>
      </c>
      <c r="AB9">
        <f>YEAR(Table1[[#This Row],[Hire Date]])</f>
        <v>2020</v>
      </c>
      <c r="AC9" t="str">
        <f>TEXT(Table1[[#This Row],[Hire Date]],"mmmm")</f>
        <v>سپتامبر</v>
      </c>
      <c r="AD9" t="str">
        <f>IF(Table1[[#This Row],[Resigned]]="yes","former","active")</f>
        <v>former</v>
      </c>
    </row>
    <row r="10" spans="1:30" x14ac:dyDescent="0.3">
      <c r="A10" t="s">
        <v>76</v>
      </c>
      <c r="B10" t="s">
        <v>77</v>
      </c>
      <c r="C10" t="s">
        <v>27</v>
      </c>
      <c r="D10">
        <v>44</v>
      </c>
      <c r="E10" t="s">
        <v>40</v>
      </c>
      <c r="F10" t="s">
        <v>41</v>
      </c>
      <c r="G10" t="s">
        <v>30</v>
      </c>
      <c r="H10" t="s">
        <v>31</v>
      </c>
      <c r="I10" t="s">
        <v>50</v>
      </c>
      <c r="J10" s="1">
        <v>42484</v>
      </c>
      <c r="K10">
        <v>10</v>
      </c>
      <c r="L10">
        <v>19227642</v>
      </c>
      <c r="M10">
        <v>2272104</v>
      </c>
      <c r="N10" t="s">
        <v>33</v>
      </c>
      <c r="O10">
        <v>2.87</v>
      </c>
      <c r="P10">
        <v>5</v>
      </c>
      <c r="Q10">
        <v>4</v>
      </c>
      <c r="R10">
        <v>3</v>
      </c>
      <c r="S10">
        <v>2</v>
      </c>
      <c r="T10" t="s">
        <v>33</v>
      </c>
      <c r="U10" t="s">
        <v>33</v>
      </c>
      <c r="V10" t="s">
        <v>70</v>
      </c>
      <c r="W10" t="s">
        <v>33</v>
      </c>
      <c r="X10" t="s">
        <v>36</v>
      </c>
      <c r="Y10" t="s">
        <v>75</v>
      </c>
      <c r="Z10" t="str">
        <f>IF(Table1[[#This Row],[Age]]&lt;30,"20-29",IF(Table1[[#This Row],[Age]]&lt;40,"30-39",IF(Table1[[#This Row],[Age]]&lt;50,"40-49","50+")))</f>
        <v>40-49</v>
      </c>
      <c r="AA10" t="str">
        <f>IF(Table1[[#This Row],[Salary]]&lt;20000000,"low",IF(Table1[[#This Row],[Salary]]&lt;40000000,"medium","high"))</f>
        <v>low</v>
      </c>
      <c r="AB10">
        <f>YEAR(Table1[[#This Row],[Hire Date]])</f>
        <v>2016</v>
      </c>
      <c r="AC10" t="str">
        <f>TEXT(Table1[[#This Row],[Hire Date]],"mmmm")</f>
        <v>آوريل</v>
      </c>
      <c r="AD10" t="str">
        <f>IF(Table1[[#This Row],[Resigned]]="yes","former","active")</f>
        <v>former</v>
      </c>
    </row>
    <row r="11" spans="1:30" x14ac:dyDescent="0.3">
      <c r="A11" t="s">
        <v>78</v>
      </c>
      <c r="B11" t="s">
        <v>79</v>
      </c>
      <c r="C11" t="s">
        <v>39</v>
      </c>
      <c r="D11">
        <v>58</v>
      </c>
      <c r="E11" t="s">
        <v>28</v>
      </c>
      <c r="F11" t="s">
        <v>80</v>
      </c>
      <c r="G11" t="s">
        <v>49</v>
      </c>
      <c r="H11" t="s">
        <v>31</v>
      </c>
      <c r="I11" t="s">
        <v>81</v>
      </c>
      <c r="J11" s="1">
        <v>44147</v>
      </c>
      <c r="K11">
        <v>6</v>
      </c>
      <c r="L11">
        <v>23191398</v>
      </c>
      <c r="M11">
        <v>5707394</v>
      </c>
      <c r="N11" t="s">
        <v>33</v>
      </c>
      <c r="O11">
        <v>2.83</v>
      </c>
      <c r="P11">
        <v>60</v>
      </c>
      <c r="Q11">
        <v>3</v>
      </c>
      <c r="R11">
        <v>4</v>
      </c>
      <c r="S11">
        <v>15</v>
      </c>
      <c r="T11" t="s">
        <v>34</v>
      </c>
      <c r="U11" t="s">
        <v>34</v>
      </c>
      <c r="V11" t="s">
        <v>70</v>
      </c>
      <c r="W11" t="s">
        <v>34</v>
      </c>
      <c r="X11" t="s">
        <v>45</v>
      </c>
      <c r="Z11" t="str">
        <f>IF(Table1[[#This Row],[Age]]&lt;30,"20-29",IF(Table1[[#This Row],[Age]]&lt;40,"30-39",IF(Table1[[#This Row],[Age]]&lt;50,"40-49","50+")))</f>
        <v>50+</v>
      </c>
      <c r="AA11" t="str">
        <f>IF(Table1[[#This Row],[Salary]]&lt;20000000,"low",IF(Table1[[#This Row],[Salary]]&lt;40000000,"medium","high"))</f>
        <v>medium</v>
      </c>
      <c r="AB11">
        <f>YEAR(Table1[[#This Row],[Hire Date]])</f>
        <v>2020</v>
      </c>
      <c r="AC11" t="str">
        <f>TEXT(Table1[[#This Row],[Hire Date]],"mmmm")</f>
        <v>نوامبر</v>
      </c>
      <c r="AD11" t="str">
        <f>IF(Table1[[#This Row],[Resigned]]="yes","former","active")</f>
        <v>active</v>
      </c>
    </row>
    <row r="12" spans="1:30" x14ac:dyDescent="0.3">
      <c r="A12" t="s">
        <v>82</v>
      </c>
      <c r="B12" t="s">
        <v>83</v>
      </c>
      <c r="C12" t="s">
        <v>39</v>
      </c>
      <c r="D12">
        <v>57</v>
      </c>
      <c r="E12" t="s">
        <v>56</v>
      </c>
      <c r="F12" t="s">
        <v>84</v>
      </c>
      <c r="G12" t="s">
        <v>49</v>
      </c>
      <c r="H12" t="s">
        <v>31</v>
      </c>
      <c r="I12" t="s">
        <v>50</v>
      </c>
      <c r="J12" s="1">
        <v>43518</v>
      </c>
      <c r="K12">
        <v>7</v>
      </c>
      <c r="L12">
        <v>42637381</v>
      </c>
      <c r="M12">
        <v>5708797</v>
      </c>
      <c r="N12" t="s">
        <v>33</v>
      </c>
      <c r="O12">
        <v>4.72</v>
      </c>
      <c r="P12">
        <v>25</v>
      </c>
      <c r="Q12">
        <v>1</v>
      </c>
      <c r="R12">
        <v>1</v>
      </c>
      <c r="S12">
        <v>16</v>
      </c>
      <c r="T12" t="s">
        <v>33</v>
      </c>
      <c r="U12" t="s">
        <v>34</v>
      </c>
      <c r="V12" t="s">
        <v>51</v>
      </c>
      <c r="W12" t="s">
        <v>33</v>
      </c>
      <c r="X12" t="s">
        <v>36</v>
      </c>
      <c r="Z12" t="str">
        <f>IF(Table1[[#This Row],[Age]]&lt;30,"20-29",IF(Table1[[#This Row],[Age]]&lt;40,"30-39",IF(Table1[[#This Row],[Age]]&lt;50,"40-49","50+")))</f>
        <v>50+</v>
      </c>
      <c r="AA12" t="str">
        <f>IF(Table1[[#This Row],[Salary]]&lt;20000000,"low",IF(Table1[[#This Row],[Salary]]&lt;40000000,"medium","high"))</f>
        <v>high</v>
      </c>
      <c r="AB12">
        <f>YEAR(Table1[[#This Row],[Hire Date]])</f>
        <v>2019</v>
      </c>
      <c r="AC12" t="str">
        <f>TEXT(Table1[[#This Row],[Hire Date]],"mmmm")</f>
        <v>فوريه</v>
      </c>
      <c r="AD12" t="str">
        <f>IF(Table1[[#This Row],[Resigned]]="yes","former","active")</f>
        <v>active</v>
      </c>
    </row>
    <row r="13" spans="1:30" x14ac:dyDescent="0.3">
      <c r="A13" t="s">
        <v>85</v>
      </c>
      <c r="B13" t="s">
        <v>86</v>
      </c>
      <c r="C13" t="s">
        <v>27</v>
      </c>
      <c r="D13">
        <v>42</v>
      </c>
      <c r="E13" t="s">
        <v>56</v>
      </c>
      <c r="F13" t="s">
        <v>57</v>
      </c>
      <c r="G13" t="s">
        <v>49</v>
      </c>
      <c r="H13" t="s">
        <v>31</v>
      </c>
      <c r="I13" t="s">
        <v>65</v>
      </c>
      <c r="J13" s="1">
        <v>44323</v>
      </c>
      <c r="K13">
        <v>5</v>
      </c>
      <c r="L13">
        <v>21085193</v>
      </c>
      <c r="M13">
        <v>7890710</v>
      </c>
      <c r="N13" t="s">
        <v>33</v>
      </c>
      <c r="O13">
        <v>2.93</v>
      </c>
      <c r="P13">
        <v>52</v>
      </c>
      <c r="Q13">
        <v>3</v>
      </c>
      <c r="R13">
        <v>5</v>
      </c>
      <c r="S13">
        <v>20</v>
      </c>
      <c r="T13" t="s">
        <v>34</v>
      </c>
      <c r="U13" t="s">
        <v>34</v>
      </c>
      <c r="V13" t="s">
        <v>70</v>
      </c>
      <c r="W13" t="s">
        <v>33</v>
      </c>
      <c r="X13" t="s">
        <v>52</v>
      </c>
      <c r="Z13" t="str">
        <f>IF(Table1[[#This Row],[Age]]&lt;30,"20-29",IF(Table1[[#This Row],[Age]]&lt;40,"30-39",IF(Table1[[#This Row],[Age]]&lt;50,"40-49","50+")))</f>
        <v>40-49</v>
      </c>
      <c r="AA13" t="str">
        <f>IF(Table1[[#This Row],[Salary]]&lt;20000000,"low",IF(Table1[[#This Row],[Salary]]&lt;40000000,"medium","high"))</f>
        <v>medium</v>
      </c>
      <c r="AB13">
        <f>YEAR(Table1[[#This Row],[Hire Date]])</f>
        <v>2021</v>
      </c>
      <c r="AC13" t="str">
        <f>TEXT(Table1[[#This Row],[Hire Date]],"mmmm")</f>
        <v>مه</v>
      </c>
      <c r="AD13" t="str">
        <f>IF(Table1[[#This Row],[Resigned]]="yes","former","active")</f>
        <v>active</v>
      </c>
    </row>
    <row r="14" spans="1:30" x14ac:dyDescent="0.3">
      <c r="A14" t="s">
        <v>87</v>
      </c>
      <c r="B14" t="s">
        <v>88</v>
      </c>
      <c r="C14" t="s">
        <v>27</v>
      </c>
      <c r="D14">
        <v>22</v>
      </c>
      <c r="E14" t="s">
        <v>28</v>
      </c>
      <c r="F14" t="s">
        <v>29</v>
      </c>
      <c r="G14" t="s">
        <v>30</v>
      </c>
      <c r="H14" t="s">
        <v>31</v>
      </c>
      <c r="I14" t="s">
        <v>50</v>
      </c>
      <c r="J14" s="1">
        <v>43129</v>
      </c>
      <c r="K14">
        <v>8</v>
      </c>
      <c r="L14">
        <v>28472588</v>
      </c>
      <c r="M14">
        <v>1917037</v>
      </c>
      <c r="N14" t="s">
        <v>33</v>
      </c>
      <c r="O14">
        <v>3.79</v>
      </c>
      <c r="P14">
        <v>27</v>
      </c>
      <c r="Q14">
        <v>2</v>
      </c>
      <c r="R14">
        <v>5</v>
      </c>
      <c r="S14">
        <v>19</v>
      </c>
      <c r="T14" t="s">
        <v>33</v>
      </c>
      <c r="U14" t="s">
        <v>34</v>
      </c>
      <c r="V14" t="s">
        <v>44</v>
      </c>
      <c r="W14" t="s">
        <v>34</v>
      </c>
      <c r="X14" t="s">
        <v>52</v>
      </c>
      <c r="Z14" t="str">
        <f>IF(Table1[[#This Row],[Age]]&lt;30,"20-29",IF(Table1[[#This Row],[Age]]&lt;40,"30-39",IF(Table1[[#This Row],[Age]]&lt;50,"40-49","50+")))</f>
        <v>20-29</v>
      </c>
      <c r="AA14" t="str">
        <f>IF(Table1[[#This Row],[Salary]]&lt;20000000,"low",IF(Table1[[#This Row],[Salary]]&lt;40000000,"medium","high"))</f>
        <v>medium</v>
      </c>
      <c r="AB14">
        <f>YEAR(Table1[[#This Row],[Hire Date]])</f>
        <v>2018</v>
      </c>
      <c r="AC14" t="str">
        <f>TEXT(Table1[[#This Row],[Hire Date]],"mmmm")</f>
        <v>ژانويه</v>
      </c>
      <c r="AD14" t="str">
        <f>IF(Table1[[#This Row],[Resigned]]="yes","former","active")</f>
        <v>active</v>
      </c>
    </row>
    <row r="15" spans="1:30" x14ac:dyDescent="0.3">
      <c r="A15" t="s">
        <v>89</v>
      </c>
      <c r="B15" t="s">
        <v>90</v>
      </c>
      <c r="C15" t="s">
        <v>39</v>
      </c>
      <c r="D15">
        <v>39</v>
      </c>
      <c r="E15" t="s">
        <v>63</v>
      </c>
      <c r="F15" t="s">
        <v>64</v>
      </c>
      <c r="G15" t="s">
        <v>30</v>
      </c>
      <c r="H15" t="s">
        <v>42</v>
      </c>
      <c r="I15" t="s">
        <v>32</v>
      </c>
      <c r="J15" s="1">
        <v>44536</v>
      </c>
      <c r="K15">
        <v>5</v>
      </c>
      <c r="L15">
        <v>37591051</v>
      </c>
      <c r="M15">
        <v>4137431</v>
      </c>
      <c r="N15" t="s">
        <v>34</v>
      </c>
      <c r="O15">
        <v>2.9</v>
      </c>
      <c r="P15">
        <v>56</v>
      </c>
      <c r="Q15">
        <v>1</v>
      </c>
      <c r="R15">
        <v>2</v>
      </c>
      <c r="S15">
        <v>19</v>
      </c>
      <c r="T15" t="s">
        <v>33</v>
      </c>
      <c r="U15" t="s">
        <v>34</v>
      </c>
      <c r="V15" t="s">
        <v>35</v>
      </c>
      <c r="W15" t="s">
        <v>34</v>
      </c>
      <c r="X15" t="s">
        <v>45</v>
      </c>
      <c r="Z15" t="str">
        <f>IF(Table1[[#This Row],[Age]]&lt;30,"20-29",IF(Table1[[#This Row],[Age]]&lt;40,"30-39",IF(Table1[[#This Row],[Age]]&lt;50,"40-49","50+")))</f>
        <v>30-39</v>
      </c>
      <c r="AA15" t="str">
        <f>IF(Table1[[#This Row],[Salary]]&lt;20000000,"low",IF(Table1[[#This Row],[Salary]]&lt;40000000,"medium","high"))</f>
        <v>medium</v>
      </c>
      <c r="AB15">
        <f>YEAR(Table1[[#This Row],[Hire Date]])</f>
        <v>2021</v>
      </c>
      <c r="AC15" t="str">
        <f>TEXT(Table1[[#This Row],[Hire Date]],"mmmm")</f>
        <v>دسامبر</v>
      </c>
      <c r="AD15" t="str">
        <f>IF(Table1[[#This Row],[Resigned]]="yes","former","active")</f>
        <v>active</v>
      </c>
    </row>
    <row r="16" spans="1:30" x14ac:dyDescent="0.3">
      <c r="A16" t="s">
        <v>91</v>
      </c>
      <c r="B16" t="s">
        <v>92</v>
      </c>
      <c r="C16" t="s">
        <v>39</v>
      </c>
      <c r="D16">
        <v>57</v>
      </c>
      <c r="E16" t="s">
        <v>63</v>
      </c>
      <c r="F16" t="s">
        <v>93</v>
      </c>
      <c r="G16" t="s">
        <v>30</v>
      </c>
      <c r="H16" t="s">
        <v>42</v>
      </c>
      <c r="I16" t="s">
        <v>81</v>
      </c>
      <c r="J16" s="1">
        <v>44880</v>
      </c>
      <c r="K16">
        <v>4</v>
      </c>
      <c r="L16">
        <v>13788438</v>
      </c>
      <c r="M16">
        <v>6578022</v>
      </c>
      <c r="N16" t="s">
        <v>34</v>
      </c>
      <c r="O16">
        <v>3.18</v>
      </c>
      <c r="P16">
        <v>15</v>
      </c>
      <c r="Q16">
        <v>4</v>
      </c>
      <c r="R16">
        <v>1</v>
      </c>
      <c r="S16">
        <v>3</v>
      </c>
      <c r="T16" t="s">
        <v>34</v>
      </c>
      <c r="U16" t="s">
        <v>34</v>
      </c>
      <c r="V16" t="s">
        <v>51</v>
      </c>
      <c r="W16" t="s">
        <v>34</v>
      </c>
      <c r="X16" t="s">
        <v>45</v>
      </c>
      <c r="Z16" t="str">
        <f>IF(Table1[[#This Row],[Age]]&lt;30,"20-29",IF(Table1[[#This Row],[Age]]&lt;40,"30-39",IF(Table1[[#This Row],[Age]]&lt;50,"40-49","50+")))</f>
        <v>50+</v>
      </c>
      <c r="AA16" t="str">
        <f>IF(Table1[[#This Row],[Salary]]&lt;20000000,"low",IF(Table1[[#This Row],[Salary]]&lt;40000000,"medium","high"))</f>
        <v>low</v>
      </c>
      <c r="AB16">
        <f>YEAR(Table1[[#This Row],[Hire Date]])</f>
        <v>2022</v>
      </c>
      <c r="AC16" t="str">
        <f>TEXT(Table1[[#This Row],[Hire Date]],"mmmm")</f>
        <v>نوامبر</v>
      </c>
      <c r="AD16" t="str">
        <f>IF(Table1[[#This Row],[Resigned]]="yes","former","active")</f>
        <v>active</v>
      </c>
    </row>
    <row r="17" spans="1:30" x14ac:dyDescent="0.3">
      <c r="A17" t="s">
        <v>94</v>
      </c>
      <c r="B17" t="s">
        <v>95</v>
      </c>
      <c r="C17" t="s">
        <v>27</v>
      </c>
      <c r="D17">
        <v>55</v>
      </c>
      <c r="E17" t="s">
        <v>28</v>
      </c>
      <c r="F17" t="s">
        <v>29</v>
      </c>
      <c r="G17" t="s">
        <v>58</v>
      </c>
      <c r="H17" t="s">
        <v>42</v>
      </c>
      <c r="I17" t="s">
        <v>65</v>
      </c>
      <c r="J17" s="1">
        <v>44430</v>
      </c>
      <c r="K17">
        <v>5</v>
      </c>
      <c r="L17">
        <v>34620336</v>
      </c>
      <c r="M17">
        <v>6151236</v>
      </c>
      <c r="N17" t="s">
        <v>34</v>
      </c>
      <c r="O17">
        <v>3.55</v>
      </c>
      <c r="P17">
        <v>16</v>
      </c>
      <c r="Q17">
        <v>2</v>
      </c>
      <c r="R17">
        <v>3</v>
      </c>
      <c r="S17">
        <v>0</v>
      </c>
      <c r="T17" t="s">
        <v>33</v>
      </c>
      <c r="U17" t="s">
        <v>33</v>
      </c>
      <c r="V17" t="s">
        <v>59</v>
      </c>
      <c r="W17" t="s">
        <v>33</v>
      </c>
      <c r="X17" t="s">
        <v>45</v>
      </c>
      <c r="Y17" t="s">
        <v>75</v>
      </c>
      <c r="Z17" t="str">
        <f>IF(Table1[[#This Row],[Age]]&lt;30,"20-29",IF(Table1[[#This Row],[Age]]&lt;40,"30-39",IF(Table1[[#This Row],[Age]]&lt;50,"40-49","50+")))</f>
        <v>50+</v>
      </c>
      <c r="AA17" t="str">
        <f>IF(Table1[[#This Row],[Salary]]&lt;20000000,"low",IF(Table1[[#This Row],[Salary]]&lt;40000000,"medium","high"))</f>
        <v>medium</v>
      </c>
      <c r="AB17">
        <f>YEAR(Table1[[#This Row],[Hire Date]])</f>
        <v>2021</v>
      </c>
      <c r="AC17" t="str">
        <f>TEXT(Table1[[#This Row],[Hire Date]],"mmmm")</f>
        <v>اوت</v>
      </c>
      <c r="AD17" t="str">
        <f>IF(Table1[[#This Row],[Resigned]]="yes","former","active")</f>
        <v>former</v>
      </c>
    </row>
    <row r="18" spans="1:30" x14ac:dyDescent="0.3">
      <c r="A18" t="s">
        <v>96</v>
      </c>
      <c r="B18" t="s">
        <v>97</v>
      </c>
      <c r="C18" t="s">
        <v>27</v>
      </c>
      <c r="D18">
        <v>31</v>
      </c>
      <c r="E18" t="s">
        <v>40</v>
      </c>
      <c r="F18" t="s">
        <v>48</v>
      </c>
      <c r="G18" t="s">
        <v>49</v>
      </c>
      <c r="H18" t="s">
        <v>31</v>
      </c>
      <c r="I18" t="s">
        <v>43</v>
      </c>
      <c r="J18" s="1">
        <v>43381</v>
      </c>
      <c r="K18">
        <v>8</v>
      </c>
      <c r="L18">
        <v>38542176</v>
      </c>
      <c r="M18">
        <v>261866</v>
      </c>
      <c r="N18" t="s">
        <v>34</v>
      </c>
      <c r="O18">
        <v>4.84</v>
      </c>
      <c r="P18">
        <v>18</v>
      </c>
      <c r="Q18">
        <v>5</v>
      </c>
      <c r="R18">
        <v>5</v>
      </c>
      <c r="S18">
        <v>1</v>
      </c>
      <c r="T18" t="s">
        <v>34</v>
      </c>
      <c r="U18" t="s">
        <v>34</v>
      </c>
      <c r="V18" t="s">
        <v>35</v>
      </c>
      <c r="W18" t="s">
        <v>34</v>
      </c>
      <c r="X18" t="s">
        <v>52</v>
      </c>
      <c r="Z18" t="str">
        <f>IF(Table1[[#This Row],[Age]]&lt;30,"20-29",IF(Table1[[#This Row],[Age]]&lt;40,"30-39",IF(Table1[[#This Row],[Age]]&lt;50,"40-49","50+")))</f>
        <v>30-39</v>
      </c>
      <c r="AA18" t="str">
        <f>IF(Table1[[#This Row],[Salary]]&lt;20000000,"low",IF(Table1[[#This Row],[Salary]]&lt;40000000,"medium","high"))</f>
        <v>medium</v>
      </c>
      <c r="AB18">
        <f>YEAR(Table1[[#This Row],[Hire Date]])</f>
        <v>2018</v>
      </c>
      <c r="AC18" t="str">
        <f>TEXT(Table1[[#This Row],[Hire Date]],"mmmm")</f>
        <v>اُكتبر</v>
      </c>
      <c r="AD18" t="str">
        <f>IF(Table1[[#This Row],[Resigned]]="yes","former","active")</f>
        <v>active</v>
      </c>
    </row>
    <row r="19" spans="1:30" x14ac:dyDescent="0.3">
      <c r="A19" t="s">
        <v>98</v>
      </c>
      <c r="B19" t="s">
        <v>99</v>
      </c>
      <c r="C19" t="s">
        <v>39</v>
      </c>
      <c r="D19">
        <v>46</v>
      </c>
      <c r="E19" t="s">
        <v>28</v>
      </c>
      <c r="F19" t="s">
        <v>80</v>
      </c>
      <c r="G19" t="s">
        <v>49</v>
      </c>
      <c r="H19" t="s">
        <v>31</v>
      </c>
      <c r="I19" t="s">
        <v>65</v>
      </c>
      <c r="J19" s="1">
        <v>43116</v>
      </c>
      <c r="K19">
        <v>8</v>
      </c>
      <c r="L19">
        <v>58807014</v>
      </c>
      <c r="M19">
        <v>709491</v>
      </c>
      <c r="N19" t="s">
        <v>34</v>
      </c>
      <c r="O19">
        <v>2.66</v>
      </c>
      <c r="P19">
        <v>77</v>
      </c>
      <c r="Q19">
        <v>2</v>
      </c>
      <c r="R19">
        <v>4</v>
      </c>
      <c r="S19">
        <v>18</v>
      </c>
      <c r="T19" t="s">
        <v>33</v>
      </c>
      <c r="U19" t="s">
        <v>34</v>
      </c>
      <c r="V19" t="s">
        <v>35</v>
      </c>
      <c r="W19" t="s">
        <v>33</v>
      </c>
      <c r="X19" t="s">
        <v>45</v>
      </c>
      <c r="Z19" t="str">
        <f>IF(Table1[[#This Row],[Age]]&lt;30,"20-29",IF(Table1[[#This Row],[Age]]&lt;40,"30-39",IF(Table1[[#This Row],[Age]]&lt;50,"40-49","50+")))</f>
        <v>40-49</v>
      </c>
      <c r="AA19" t="str">
        <f>IF(Table1[[#This Row],[Salary]]&lt;20000000,"low",IF(Table1[[#This Row],[Salary]]&lt;40000000,"medium","high"))</f>
        <v>high</v>
      </c>
      <c r="AB19">
        <f>YEAR(Table1[[#This Row],[Hire Date]])</f>
        <v>2018</v>
      </c>
      <c r="AC19" t="str">
        <f>TEXT(Table1[[#This Row],[Hire Date]],"mmmm")</f>
        <v>ژانويه</v>
      </c>
      <c r="AD19" t="str">
        <f>IF(Table1[[#This Row],[Resigned]]="yes","former","active")</f>
        <v>active</v>
      </c>
    </row>
    <row r="20" spans="1:30" x14ac:dyDescent="0.3">
      <c r="A20" t="s">
        <v>100</v>
      </c>
      <c r="B20" t="s">
        <v>101</v>
      </c>
      <c r="C20" t="s">
        <v>27</v>
      </c>
      <c r="D20">
        <v>43</v>
      </c>
      <c r="E20" t="s">
        <v>28</v>
      </c>
      <c r="F20" t="s">
        <v>29</v>
      </c>
      <c r="G20" t="s">
        <v>30</v>
      </c>
      <c r="H20" t="s">
        <v>31</v>
      </c>
      <c r="I20" t="s">
        <v>65</v>
      </c>
      <c r="J20" s="1">
        <v>45311</v>
      </c>
      <c r="K20">
        <v>2</v>
      </c>
      <c r="L20">
        <v>40745799</v>
      </c>
      <c r="M20">
        <v>7387792</v>
      </c>
      <c r="N20" t="s">
        <v>33</v>
      </c>
      <c r="O20">
        <v>3.69</v>
      </c>
      <c r="P20">
        <v>62</v>
      </c>
      <c r="Q20">
        <v>4</v>
      </c>
      <c r="R20">
        <v>3</v>
      </c>
      <c r="S20">
        <v>10</v>
      </c>
      <c r="T20" t="s">
        <v>33</v>
      </c>
      <c r="U20" t="s">
        <v>34</v>
      </c>
      <c r="V20" t="s">
        <v>51</v>
      </c>
      <c r="W20" t="s">
        <v>33</v>
      </c>
      <c r="X20" t="s">
        <v>36</v>
      </c>
      <c r="Z20" t="str">
        <f>IF(Table1[[#This Row],[Age]]&lt;30,"20-29",IF(Table1[[#This Row],[Age]]&lt;40,"30-39",IF(Table1[[#This Row],[Age]]&lt;50,"40-49","50+")))</f>
        <v>40-49</v>
      </c>
      <c r="AA20" t="str">
        <f>IF(Table1[[#This Row],[Salary]]&lt;20000000,"low",IF(Table1[[#This Row],[Salary]]&lt;40000000,"medium","high"))</f>
        <v>high</v>
      </c>
      <c r="AB20">
        <f>YEAR(Table1[[#This Row],[Hire Date]])</f>
        <v>2024</v>
      </c>
      <c r="AC20" t="str">
        <f>TEXT(Table1[[#This Row],[Hire Date]],"mmmm")</f>
        <v>ژانويه</v>
      </c>
      <c r="AD20" t="str">
        <f>IF(Table1[[#This Row],[Resigned]]="yes","former","active")</f>
        <v>active</v>
      </c>
    </row>
    <row r="21" spans="1:30" x14ac:dyDescent="0.3">
      <c r="A21" t="s">
        <v>102</v>
      </c>
      <c r="B21" t="s">
        <v>103</v>
      </c>
      <c r="C21" t="s">
        <v>39</v>
      </c>
      <c r="D21">
        <v>46</v>
      </c>
      <c r="E21" t="s">
        <v>28</v>
      </c>
      <c r="F21" t="s">
        <v>29</v>
      </c>
      <c r="G21" t="s">
        <v>30</v>
      </c>
      <c r="H21" t="s">
        <v>31</v>
      </c>
      <c r="I21" t="s">
        <v>81</v>
      </c>
      <c r="J21" s="1">
        <v>43418</v>
      </c>
      <c r="K21">
        <v>8</v>
      </c>
      <c r="L21">
        <v>32313775</v>
      </c>
      <c r="M21">
        <v>5902153</v>
      </c>
      <c r="N21" t="s">
        <v>33</v>
      </c>
      <c r="O21">
        <v>4.7</v>
      </c>
      <c r="P21">
        <v>10</v>
      </c>
      <c r="Q21">
        <v>4</v>
      </c>
      <c r="R21">
        <v>5</v>
      </c>
      <c r="S21">
        <v>4</v>
      </c>
      <c r="T21" t="s">
        <v>33</v>
      </c>
      <c r="U21" t="s">
        <v>34</v>
      </c>
      <c r="V21" t="s">
        <v>59</v>
      </c>
      <c r="W21" t="s">
        <v>33</v>
      </c>
      <c r="X21" t="s">
        <v>52</v>
      </c>
      <c r="Z21" t="str">
        <f>IF(Table1[[#This Row],[Age]]&lt;30,"20-29",IF(Table1[[#This Row],[Age]]&lt;40,"30-39",IF(Table1[[#This Row],[Age]]&lt;50,"40-49","50+")))</f>
        <v>40-49</v>
      </c>
      <c r="AA21" t="str">
        <f>IF(Table1[[#This Row],[Salary]]&lt;20000000,"low",IF(Table1[[#This Row],[Salary]]&lt;40000000,"medium","high"))</f>
        <v>medium</v>
      </c>
      <c r="AB21">
        <f>YEAR(Table1[[#This Row],[Hire Date]])</f>
        <v>2018</v>
      </c>
      <c r="AC21" t="str">
        <f>TEXT(Table1[[#This Row],[Hire Date]],"mmmm")</f>
        <v>نوامبر</v>
      </c>
      <c r="AD21" t="str">
        <f>IF(Table1[[#This Row],[Resigned]]="yes","former","active")</f>
        <v>active</v>
      </c>
    </row>
    <row r="22" spans="1:30" x14ac:dyDescent="0.3">
      <c r="A22" t="s">
        <v>104</v>
      </c>
      <c r="B22" t="s">
        <v>105</v>
      </c>
      <c r="C22" t="s">
        <v>39</v>
      </c>
      <c r="D22">
        <v>23</v>
      </c>
      <c r="E22" t="s">
        <v>63</v>
      </c>
      <c r="F22" t="s">
        <v>93</v>
      </c>
      <c r="G22" t="s">
        <v>49</v>
      </c>
      <c r="H22" t="s">
        <v>42</v>
      </c>
      <c r="I22" t="s">
        <v>81</v>
      </c>
      <c r="J22" s="1">
        <v>44116</v>
      </c>
      <c r="K22">
        <v>6</v>
      </c>
      <c r="L22">
        <v>59415328</v>
      </c>
      <c r="M22">
        <v>7518665</v>
      </c>
      <c r="N22" t="s">
        <v>34</v>
      </c>
      <c r="O22">
        <v>2.74</v>
      </c>
      <c r="P22">
        <v>80</v>
      </c>
      <c r="Q22">
        <v>4</v>
      </c>
      <c r="R22">
        <v>1</v>
      </c>
      <c r="S22">
        <v>6</v>
      </c>
      <c r="T22" t="s">
        <v>33</v>
      </c>
      <c r="U22" t="s">
        <v>34</v>
      </c>
      <c r="V22" t="s">
        <v>44</v>
      </c>
      <c r="W22" t="s">
        <v>33</v>
      </c>
      <c r="X22" t="s">
        <v>36</v>
      </c>
      <c r="Z22" t="str">
        <f>IF(Table1[[#This Row],[Age]]&lt;30,"20-29",IF(Table1[[#This Row],[Age]]&lt;40,"30-39",IF(Table1[[#This Row],[Age]]&lt;50,"40-49","50+")))</f>
        <v>20-29</v>
      </c>
      <c r="AA22" t="str">
        <f>IF(Table1[[#This Row],[Salary]]&lt;20000000,"low",IF(Table1[[#This Row],[Salary]]&lt;40000000,"medium","high"))</f>
        <v>high</v>
      </c>
      <c r="AB22">
        <f>YEAR(Table1[[#This Row],[Hire Date]])</f>
        <v>2020</v>
      </c>
      <c r="AC22" t="str">
        <f>TEXT(Table1[[#This Row],[Hire Date]],"mmmm")</f>
        <v>اُكتبر</v>
      </c>
      <c r="AD22" t="str">
        <f>IF(Table1[[#This Row],[Resigned]]="yes","former","active")</f>
        <v>active</v>
      </c>
    </row>
    <row r="23" spans="1:30" x14ac:dyDescent="0.3">
      <c r="A23" t="s">
        <v>106</v>
      </c>
      <c r="B23" t="s">
        <v>107</v>
      </c>
      <c r="C23" t="s">
        <v>27</v>
      </c>
      <c r="D23">
        <v>57</v>
      </c>
      <c r="E23" t="s">
        <v>56</v>
      </c>
      <c r="F23" t="s">
        <v>57</v>
      </c>
      <c r="G23" t="s">
        <v>49</v>
      </c>
      <c r="H23" t="s">
        <v>42</v>
      </c>
      <c r="I23" t="s">
        <v>32</v>
      </c>
      <c r="J23" s="1">
        <v>44763</v>
      </c>
      <c r="K23">
        <v>4</v>
      </c>
      <c r="L23">
        <v>31232266</v>
      </c>
      <c r="M23">
        <v>6596578</v>
      </c>
      <c r="N23" t="s">
        <v>33</v>
      </c>
      <c r="O23">
        <v>4.99</v>
      </c>
      <c r="P23">
        <v>57</v>
      </c>
      <c r="Q23">
        <v>1</v>
      </c>
      <c r="R23">
        <v>3</v>
      </c>
      <c r="S23">
        <v>2</v>
      </c>
      <c r="T23" t="s">
        <v>34</v>
      </c>
      <c r="U23" t="s">
        <v>34</v>
      </c>
      <c r="V23" t="s">
        <v>59</v>
      </c>
      <c r="W23" t="s">
        <v>34</v>
      </c>
      <c r="X23" t="s">
        <v>36</v>
      </c>
      <c r="Z23" t="str">
        <f>IF(Table1[[#This Row],[Age]]&lt;30,"20-29",IF(Table1[[#This Row],[Age]]&lt;40,"30-39",IF(Table1[[#This Row],[Age]]&lt;50,"40-49","50+")))</f>
        <v>50+</v>
      </c>
      <c r="AA23" t="str">
        <f>IF(Table1[[#This Row],[Salary]]&lt;20000000,"low",IF(Table1[[#This Row],[Salary]]&lt;40000000,"medium","high"))</f>
        <v>medium</v>
      </c>
      <c r="AB23">
        <f>YEAR(Table1[[#This Row],[Hire Date]])</f>
        <v>2022</v>
      </c>
      <c r="AC23" t="str">
        <f>TEXT(Table1[[#This Row],[Hire Date]],"mmmm")</f>
        <v>ژوئيه</v>
      </c>
      <c r="AD23" t="str">
        <f>IF(Table1[[#This Row],[Resigned]]="yes","former","active")</f>
        <v>active</v>
      </c>
    </row>
    <row r="24" spans="1:30" x14ac:dyDescent="0.3">
      <c r="A24" t="s">
        <v>108</v>
      </c>
      <c r="B24" t="s">
        <v>109</v>
      </c>
      <c r="C24" t="s">
        <v>39</v>
      </c>
      <c r="D24">
        <v>58</v>
      </c>
      <c r="E24" t="s">
        <v>110</v>
      </c>
      <c r="F24" t="s">
        <v>111</v>
      </c>
      <c r="G24" t="s">
        <v>58</v>
      </c>
      <c r="H24" t="s">
        <v>42</v>
      </c>
      <c r="I24" t="s">
        <v>43</v>
      </c>
      <c r="J24" s="1">
        <v>45815</v>
      </c>
      <c r="K24">
        <v>1</v>
      </c>
      <c r="L24">
        <v>44945792</v>
      </c>
      <c r="M24">
        <v>49755</v>
      </c>
      <c r="N24" t="s">
        <v>34</v>
      </c>
      <c r="O24">
        <v>3.32</v>
      </c>
      <c r="P24">
        <v>61</v>
      </c>
      <c r="Q24">
        <v>1</v>
      </c>
      <c r="R24">
        <v>3</v>
      </c>
      <c r="S24">
        <v>10</v>
      </c>
      <c r="T24" t="s">
        <v>33</v>
      </c>
      <c r="U24" t="s">
        <v>34</v>
      </c>
      <c r="V24" t="s">
        <v>51</v>
      </c>
      <c r="W24" t="s">
        <v>34</v>
      </c>
      <c r="X24" t="s">
        <v>52</v>
      </c>
      <c r="Z24" t="str">
        <f>IF(Table1[[#This Row],[Age]]&lt;30,"20-29",IF(Table1[[#This Row],[Age]]&lt;40,"30-39",IF(Table1[[#This Row],[Age]]&lt;50,"40-49","50+")))</f>
        <v>50+</v>
      </c>
      <c r="AA24" t="str">
        <f>IF(Table1[[#This Row],[Salary]]&lt;20000000,"low",IF(Table1[[#This Row],[Salary]]&lt;40000000,"medium","high"))</f>
        <v>high</v>
      </c>
      <c r="AB24">
        <f>YEAR(Table1[[#This Row],[Hire Date]])</f>
        <v>2025</v>
      </c>
      <c r="AC24" t="str">
        <f>TEXT(Table1[[#This Row],[Hire Date]],"mmmm")</f>
        <v>ژوئن</v>
      </c>
      <c r="AD24" t="str">
        <f>IF(Table1[[#This Row],[Resigned]]="yes","former","active")</f>
        <v>active</v>
      </c>
    </row>
    <row r="25" spans="1:30" x14ac:dyDescent="0.3">
      <c r="A25" t="s">
        <v>112</v>
      </c>
      <c r="B25" t="s">
        <v>113</v>
      </c>
      <c r="C25" t="s">
        <v>39</v>
      </c>
      <c r="D25">
        <v>40</v>
      </c>
      <c r="E25" t="s">
        <v>28</v>
      </c>
      <c r="F25" t="s">
        <v>80</v>
      </c>
      <c r="G25" t="s">
        <v>58</v>
      </c>
      <c r="H25" t="s">
        <v>42</v>
      </c>
      <c r="I25" t="s">
        <v>43</v>
      </c>
      <c r="J25" s="1">
        <v>45142</v>
      </c>
      <c r="K25">
        <v>3</v>
      </c>
      <c r="L25">
        <v>31654801</v>
      </c>
      <c r="M25">
        <v>5586118</v>
      </c>
      <c r="N25" t="s">
        <v>34</v>
      </c>
      <c r="O25">
        <v>4.5599999999999996</v>
      </c>
      <c r="P25">
        <v>38</v>
      </c>
      <c r="Q25">
        <v>4</v>
      </c>
      <c r="R25">
        <v>5</v>
      </c>
      <c r="S25">
        <v>19</v>
      </c>
      <c r="T25" t="s">
        <v>33</v>
      </c>
      <c r="U25" t="s">
        <v>34</v>
      </c>
      <c r="V25" t="s">
        <v>44</v>
      </c>
      <c r="W25" t="s">
        <v>34</v>
      </c>
      <c r="X25" t="s">
        <v>36</v>
      </c>
      <c r="Z25" t="str">
        <f>IF(Table1[[#This Row],[Age]]&lt;30,"20-29",IF(Table1[[#This Row],[Age]]&lt;40,"30-39",IF(Table1[[#This Row],[Age]]&lt;50,"40-49","50+")))</f>
        <v>40-49</v>
      </c>
      <c r="AA25" t="str">
        <f>IF(Table1[[#This Row],[Salary]]&lt;20000000,"low",IF(Table1[[#This Row],[Salary]]&lt;40000000,"medium","high"))</f>
        <v>medium</v>
      </c>
      <c r="AB25">
        <f>YEAR(Table1[[#This Row],[Hire Date]])</f>
        <v>2023</v>
      </c>
      <c r="AC25" t="str">
        <f>TEXT(Table1[[#This Row],[Hire Date]],"mmmm")</f>
        <v>اوت</v>
      </c>
      <c r="AD25" t="str">
        <f>IF(Table1[[#This Row],[Resigned]]="yes","former","active")</f>
        <v>active</v>
      </c>
    </row>
    <row r="26" spans="1:30" x14ac:dyDescent="0.3">
      <c r="A26" t="s">
        <v>114</v>
      </c>
      <c r="B26" t="s">
        <v>115</v>
      </c>
      <c r="C26" t="s">
        <v>27</v>
      </c>
      <c r="D26">
        <v>40</v>
      </c>
      <c r="E26" t="s">
        <v>110</v>
      </c>
      <c r="F26" t="s">
        <v>111</v>
      </c>
      <c r="G26" t="s">
        <v>30</v>
      </c>
      <c r="H26" t="s">
        <v>42</v>
      </c>
      <c r="I26" t="s">
        <v>50</v>
      </c>
      <c r="J26" s="1">
        <v>43419</v>
      </c>
      <c r="K26">
        <v>8</v>
      </c>
      <c r="L26">
        <v>14991527</v>
      </c>
      <c r="M26">
        <v>2735039</v>
      </c>
      <c r="N26" t="s">
        <v>33</v>
      </c>
      <c r="O26">
        <v>3.94</v>
      </c>
      <c r="P26">
        <v>62</v>
      </c>
      <c r="Q26">
        <v>4</v>
      </c>
      <c r="R26">
        <v>2</v>
      </c>
      <c r="S26">
        <v>13</v>
      </c>
      <c r="T26" t="s">
        <v>33</v>
      </c>
      <c r="U26" t="s">
        <v>34</v>
      </c>
      <c r="V26" t="s">
        <v>59</v>
      </c>
      <c r="W26" t="s">
        <v>33</v>
      </c>
      <c r="X26" t="s">
        <v>52</v>
      </c>
      <c r="Z26" t="str">
        <f>IF(Table1[[#This Row],[Age]]&lt;30,"20-29",IF(Table1[[#This Row],[Age]]&lt;40,"30-39",IF(Table1[[#This Row],[Age]]&lt;50,"40-49","50+")))</f>
        <v>40-49</v>
      </c>
      <c r="AA26" t="str">
        <f>IF(Table1[[#This Row],[Salary]]&lt;20000000,"low",IF(Table1[[#This Row],[Salary]]&lt;40000000,"medium","high"))</f>
        <v>low</v>
      </c>
      <c r="AB26">
        <f>YEAR(Table1[[#This Row],[Hire Date]])</f>
        <v>2018</v>
      </c>
      <c r="AC26" t="str">
        <f>TEXT(Table1[[#This Row],[Hire Date]],"mmmm")</f>
        <v>نوامبر</v>
      </c>
      <c r="AD26" t="str">
        <f>IF(Table1[[#This Row],[Resigned]]="yes","former","active")</f>
        <v>active</v>
      </c>
    </row>
    <row r="27" spans="1:30" x14ac:dyDescent="0.3">
      <c r="A27" t="s">
        <v>116</v>
      </c>
      <c r="B27" t="s">
        <v>117</v>
      </c>
      <c r="C27" t="s">
        <v>39</v>
      </c>
      <c r="D27">
        <v>57</v>
      </c>
      <c r="E27" t="s">
        <v>110</v>
      </c>
      <c r="F27" t="s">
        <v>111</v>
      </c>
      <c r="G27" t="s">
        <v>49</v>
      </c>
      <c r="H27" t="s">
        <v>42</v>
      </c>
      <c r="I27" t="s">
        <v>32</v>
      </c>
      <c r="J27" s="1">
        <v>44741</v>
      </c>
      <c r="K27">
        <v>4</v>
      </c>
      <c r="L27">
        <v>29498925</v>
      </c>
      <c r="M27">
        <v>1788819</v>
      </c>
      <c r="N27" t="s">
        <v>33</v>
      </c>
      <c r="O27">
        <v>4.9800000000000004</v>
      </c>
      <c r="P27">
        <v>69</v>
      </c>
      <c r="Q27">
        <v>2</v>
      </c>
      <c r="R27">
        <v>4</v>
      </c>
      <c r="S27">
        <v>0</v>
      </c>
      <c r="T27" t="s">
        <v>34</v>
      </c>
      <c r="U27" t="s">
        <v>34</v>
      </c>
      <c r="V27" t="s">
        <v>35</v>
      </c>
      <c r="W27" t="s">
        <v>34</v>
      </c>
      <c r="X27" t="s">
        <v>52</v>
      </c>
      <c r="Z27" t="str">
        <f>IF(Table1[[#This Row],[Age]]&lt;30,"20-29",IF(Table1[[#This Row],[Age]]&lt;40,"30-39",IF(Table1[[#This Row],[Age]]&lt;50,"40-49","50+")))</f>
        <v>50+</v>
      </c>
      <c r="AA27" t="str">
        <f>IF(Table1[[#This Row],[Salary]]&lt;20000000,"low",IF(Table1[[#This Row],[Salary]]&lt;40000000,"medium","high"))</f>
        <v>medium</v>
      </c>
      <c r="AB27">
        <f>YEAR(Table1[[#This Row],[Hire Date]])</f>
        <v>2022</v>
      </c>
      <c r="AC27" t="str">
        <f>TEXT(Table1[[#This Row],[Hire Date]],"mmmm")</f>
        <v>ژوئن</v>
      </c>
      <c r="AD27" t="str">
        <f>IF(Table1[[#This Row],[Resigned]]="yes","former","active")</f>
        <v>active</v>
      </c>
    </row>
    <row r="28" spans="1:30" x14ac:dyDescent="0.3">
      <c r="A28" t="s">
        <v>118</v>
      </c>
      <c r="B28" t="s">
        <v>119</v>
      </c>
      <c r="C28" t="s">
        <v>27</v>
      </c>
      <c r="D28">
        <v>35</v>
      </c>
      <c r="E28" t="s">
        <v>110</v>
      </c>
      <c r="F28" t="s">
        <v>120</v>
      </c>
      <c r="G28" t="s">
        <v>58</v>
      </c>
      <c r="H28" t="s">
        <v>42</v>
      </c>
      <c r="I28" t="s">
        <v>50</v>
      </c>
      <c r="J28" s="1">
        <v>42376</v>
      </c>
      <c r="K28">
        <v>10</v>
      </c>
      <c r="L28">
        <v>26972996</v>
      </c>
      <c r="M28">
        <v>7681913</v>
      </c>
      <c r="N28" t="s">
        <v>33</v>
      </c>
      <c r="O28">
        <v>2.78</v>
      </c>
      <c r="P28">
        <v>10</v>
      </c>
      <c r="Q28">
        <v>3</v>
      </c>
      <c r="R28">
        <v>2</v>
      </c>
      <c r="S28">
        <v>13</v>
      </c>
      <c r="T28" t="s">
        <v>34</v>
      </c>
      <c r="U28" t="s">
        <v>34</v>
      </c>
      <c r="V28" t="s">
        <v>51</v>
      </c>
      <c r="W28" t="s">
        <v>33</v>
      </c>
      <c r="X28" t="s">
        <v>36</v>
      </c>
      <c r="Z28" t="str">
        <f>IF(Table1[[#This Row],[Age]]&lt;30,"20-29",IF(Table1[[#This Row],[Age]]&lt;40,"30-39",IF(Table1[[#This Row],[Age]]&lt;50,"40-49","50+")))</f>
        <v>30-39</v>
      </c>
      <c r="AA28" t="str">
        <f>IF(Table1[[#This Row],[Salary]]&lt;20000000,"low",IF(Table1[[#This Row],[Salary]]&lt;40000000,"medium","high"))</f>
        <v>medium</v>
      </c>
      <c r="AB28">
        <f>YEAR(Table1[[#This Row],[Hire Date]])</f>
        <v>2016</v>
      </c>
      <c r="AC28" t="str">
        <f>TEXT(Table1[[#This Row],[Hire Date]],"mmmm")</f>
        <v>ژانويه</v>
      </c>
      <c r="AD28" t="str">
        <f>IF(Table1[[#This Row],[Resigned]]="yes","former","active")</f>
        <v>active</v>
      </c>
    </row>
    <row r="29" spans="1:30" x14ac:dyDescent="0.3">
      <c r="A29" t="s">
        <v>121</v>
      </c>
      <c r="B29" t="s">
        <v>122</v>
      </c>
      <c r="C29" t="s">
        <v>27</v>
      </c>
      <c r="D29">
        <v>54</v>
      </c>
      <c r="E29" t="s">
        <v>110</v>
      </c>
      <c r="F29" t="s">
        <v>120</v>
      </c>
      <c r="G29" t="s">
        <v>49</v>
      </c>
      <c r="H29" t="s">
        <v>31</v>
      </c>
      <c r="I29" t="s">
        <v>65</v>
      </c>
      <c r="J29" s="1">
        <v>43511</v>
      </c>
      <c r="K29">
        <v>7</v>
      </c>
      <c r="L29">
        <v>52085065</v>
      </c>
      <c r="M29">
        <v>3495432</v>
      </c>
      <c r="N29" t="s">
        <v>34</v>
      </c>
      <c r="O29">
        <v>4.63</v>
      </c>
      <c r="P29">
        <v>31</v>
      </c>
      <c r="Q29">
        <v>5</v>
      </c>
      <c r="R29">
        <v>3</v>
      </c>
      <c r="S29">
        <v>12</v>
      </c>
      <c r="T29" t="s">
        <v>33</v>
      </c>
      <c r="U29" t="s">
        <v>34</v>
      </c>
      <c r="V29" t="s">
        <v>59</v>
      </c>
      <c r="W29" t="s">
        <v>34</v>
      </c>
      <c r="X29" t="s">
        <v>52</v>
      </c>
      <c r="Z29" t="str">
        <f>IF(Table1[[#This Row],[Age]]&lt;30,"20-29",IF(Table1[[#This Row],[Age]]&lt;40,"30-39",IF(Table1[[#This Row],[Age]]&lt;50,"40-49","50+")))</f>
        <v>50+</v>
      </c>
      <c r="AA29" t="str">
        <f>IF(Table1[[#This Row],[Salary]]&lt;20000000,"low",IF(Table1[[#This Row],[Salary]]&lt;40000000,"medium","high"))</f>
        <v>high</v>
      </c>
      <c r="AB29">
        <f>YEAR(Table1[[#This Row],[Hire Date]])</f>
        <v>2019</v>
      </c>
      <c r="AC29" t="str">
        <f>TEXT(Table1[[#This Row],[Hire Date]],"mmmm")</f>
        <v>فوريه</v>
      </c>
      <c r="AD29" t="str">
        <f>IF(Table1[[#This Row],[Resigned]]="yes","former","active")</f>
        <v>active</v>
      </c>
    </row>
    <row r="30" spans="1:30" x14ac:dyDescent="0.3">
      <c r="A30" t="s">
        <v>123</v>
      </c>
      <c r="B30" t="s">
        <v>124</v>
      </c>
      <c r="C30" t="s">
        <v>39</v>
      </c>
      <c r="D30">
        <v>37</v>
      </c>
      <c r="E30" t="s">
        <v>40</v>
      </c>
      <c r="F30" t="s">
        <v>41</v>
      </c>
      <c r="G30" t="s">
        <v>49</v>
      </c>
      <c r="H30" t="s">
        <v>42</v>
      </c>
      <c r="I30" t="s">
        <v>50</v>
      </c>
      <c r="J30" s="1">
        <v>42660</v>
      </c>
      <c r="K30">
        <v>10</v>
      </c>
      <c r="L30">
        <v>14517485</v>
      </c>
      <c r="M30">
        <v>2100083</v>
      </c>
      <c r="N30" t="s">
        <v>33</v>
      </c>
      <c r="O30">
        <v>3.74</v>
      </c>
      <c r="P30">
        <v>23</v>
      </c>
      <c r="Q30">
        <v>2</v>
      </c>
      <c r="R30">
        <v>3</v>
      </c>
      <c r="S30">
        <v>16</v>
      </c>
      <c r="T30" t="s">
        <v>33</v>
      </c>
      <c r="U30" t="s">
        <v>34</v>
      </c>
      <c r="V30" t="s">
        <v>35</v>
      </c>
      <c r="W30" t="s">
        <v>33</v>
      </c>
      <c r="X30" t="s">
        <v>45</v>
      </c>
      <c r="Z30" t="str">
        <f>IF(Table1[[#This Row],[Age]]&lt;30,"20-29",IF(Table1[[#This Row],[Age]]&lt;40,"30-39",IF(Table1[[#This Row],[Age]]&lt;50,"40-49","50+")))</f>
        <v>30-39</v>
      </c>
      <c r="AA30" t="str">
        <f>IF(Table1[[#This Row],[Salary]]&lt;20000000,"low",IF(Table1[[#This Row],[Salary]]&lt;40000000,"medium","high"))</f>
        <v>low</v>
      </c>
      <c r="AB30">
        <f>YEAR(Table1[[#This Row],[Hire Date]])</f>
        <v>2016</v>
      </c>
      <c r="AC30" t="str">
        <f>TEXT(Table1[[#This Row],[Hire Date]],"mmmm")</f>
        <v>اُكتبر</v>
      </c>
      <c r="AD30" t="str">
        <f>IF(Table1[[#This Row],[Resigned]]="yes","former","active")</f>
        <v>active</v>
      </c>
    </row>
    <row r="31" spans="1:30" x14ac:dyDescent="0.3">
      <c r="A31" t="s">
        <v>125</v>
      </c>
      <c r="B31" t="s">
        <v>126</v>
      </c>
      <c r="C31" t="s">
        <v>39</v>
      </c>
      <c r="D31">
        <v>29</v>
      </c>
      <c r="E31" t="s">
        <v>73</v>
      </c>
      <c r="F31" t="s">
        <v>127</v>
      </c>
      <c r="G31" t="s">
        <v>30</v>
      </c>
      <c r="H31" t="s">
        <v>31</v>
      </c>
      <c r="I31" t="s">
        <v>50</v>
      </c>
      <c r="J31" s="1">
        <v>44994</v>
      </c>
      <c r="K31">
        <v>3</v>
      </c>
      <c r="L31">
        <v>46712044</v>
      </c>
      <c r="M31">
        <v>3607176</v>
      </c>
      <c r="N31" t="s">
        <v>34</v>
      </c>
      <c r="O31">
        <v>3.47</v>
      </c>
      <c r="P31">
        <v>2</v>
      </c>
      <c r="Q31">
        <v>4</v>
      </c>
      <c r="R31">
        <v>4</v>
      </c>
      <c r="S31">
        <v>19</v>
      </c>
      <c r="T31" t="s">
        <v>34</v>
      </c>
      <c r="U31" t="s">
        <v>34</v>
      </c>
      <c r="V31" t="s">
        <v>35</v>
      </c>
      <c r="W31" t="s">
        <v>33</v>
      </c>
      <c r="X31" t="s">
        <v>36</v>
      </c>
      <c r="Z31" t="str">
        <f>IF(Table1[[#This Row],[Age]]&lt;30,"20-29",IF(Table1[[#This Row],[Age]]&lt;40,"30-39",IF(Table1[[#This Row],[Age]]&lt;50,"40-49","50+")))</f>
        <v>20-29</v>
      </c>
      <c r="AA31" t="str">
        <f>IF(Table1[[#This Row],[Salary]]&lt;20000000,"low",IF(Table1[[#This Row],[Salary]]&lt;40000000,"medium","high"))</f>
        <v>high</v>
      </c>
      <c r="AB31">
        <f>YEAR(Table1[[#This Row],[Hire Date]])</f>
        <v>2023</v>
      </c>
      <c r="AC31" t="str">
        <f>TEXT(Table1[[#This Row],[Hire Date]],"mmmm")</f>
        <v>مارس</v>
      </c>
      <c r="AD31" t="str">
        <f>IF(Table1[[#This Row],[Resigned]]="yes","former","active")</f>
        <v>active</v>
      </c>
    </row>
    <row r="32" spans="1:30" x14ac:dyDescent="0.3">
      <c r="A32" t="s">
        <v>128</v>
      </c>
      <c r="B32" t="s">
        <v>129</v>
      </c>
      <c r="C32" t="s">
        <v>39</v>
      </c>
      <c r="D32">
        <v>38</v>
      </c>
      <c r="E32" t="s">
        <v>28</v>
      </c>
      <c r="F32" t="s">
        <v>80</v>
      </c>
      <c r="G32" t="s">
        <v>58</v>
      </c>
      <c r="H32" t="s">
        <v>31</v>
      </c>
      <c r="I32" t="s">
        <v>81</v>
      </c>
      <c r="J32" s="1">
        <v>43187</v>
      </c>
      <c r="K32">
        <v>8</v>
      </c>
      <c r="L32">
        <v>37254248</v>
      </c>
      <c r="M32">
        <v>533778</v>
      </c>
      <c r="N32" t="s">
        <v>34</v>
      </c>
      <c r="O32">
        <v>2.81</v>
      </c>
      <c r="P32">
        <v>47</v>
      </c>
      <c r="Q32">
        <v>1</v>
      </c>
      <c r="R32">
        <v>1</v>
      </c>
      <c r="S32">
        <v>16</v>
      </c>
      <c r="T32" t="s">
        <v>33</v>
      </c>
      <c r="U32" t="s">
        <v>34</v>
      </c>
      <c r="V32" t="s">
        <v>59</v>
      </c>
      <c r="W32" t="s">
        <v>34</v>
      </c>
      <c r="X32" t="s">
        <v>36</v>
      </c>
      <c r="Z32" t="str">
        <f>IF(Table1[[#This Row],[Age]]&lt;30,"20-29",IF(Table1[[#This Row],[Age]]&lt;40,"30-39",IF(Table1[[#This Row],[Age]]&lt;50,"40-49","50+")))</f>
        <v>30-39</v>
      </c>
      <c r="AA32" t="str">
        <f>IF(Table1[[#This Row],[Salary]]&lt;20000000,"low",IF(Table1[[#This Row],[Salary]]&lt;40000000,"medium","high"))</f>
        <v>medium</v>
      </c>
      <c r="AB32">
        <f>YEAR(Table1[[#This Row],[Hire Date]])</f>
        <v>2018</v>
      </c>
      <c r="AC32" t="str">
        <f>TEXT(Table1[[#This Row],[Hire Date]],"mmmm")</f>
        <v>مارس</v>
      </c>
      <c r="AD32" t="str">
        <f>IF(Table1[[#This Row],[Resigned]]="yes","former","active")</f>
        <v>active</v>
      </c>
    </row>
    <row r="33" spans="1:30" x14ac:dyDescent="0.3">
      <c r="A33" t="s">
        <v>130</v>
      </c>
      <c r="B33" t="s">
        <v>131</v>
      </c>
      <c r="C33" t="s">
        <v>27</v>
      </c>
      <c r="D33">
        <v>32</v>
      </c>
      <c r="E33" t="s">
        <v>110</v>
      </c>
      <c r="F33" t="s">
        <v>120</v>
      </c>
      <c r="G33" t="s">
        <v>58</v>
      </c>
      <c r="H33" t="s">
        <v>42</v>
      </c>
      <c r="I33" t="s">
        <v>65</v>
      </c>
      <c r="J33" s="1">
        <v>43348</v>
      </c>
      <c r="K33">
        <v>8</v>
      </c>
      <c r="L33">
        <v>52731026</v>
      </c>
      <c r="M33">
        <v>7317297</v>
      </c>
      <c r="N33" t="s">
        <v>34</v>
      </c>
      <c r="O33">
        <v>2.94</v>
      </c>
      <c r="P33">
        <v>48</v>
      </c>
      <c r="Q33">
        <v>4</v>
      </c>
      <c r="R33">
        <v>4</v>
      </c>
      <c r="S33">
        <v>3</v>
      </c>
      <c r="T33" t="s">
        <v>34</v>
      </c>
      <c r="U33" t="s">
        <v>33</v>
      </c>
      <c r="V33" t="s">
        <v>70</v>
      </c>
      <c r="W33" t="s">
        <v>33</v>
      </c>
      <c r="X33" t="s">
        <v>52</v>
      </c>
      <c r="Y33" t="s">
        <v>60</v>
      </c>
      <c r="Z33" t="str">
        <f>IF(Table1[[#This Row],[Age]]&lt;30,"20-29",IF(Table1[[#This Row],[Age]]&lt;40,"30-39",IF(Table1[[#This Row],[Age]]&lt;50,"40-49","50+")))</f>
        <v>30-39</v>
      </c>
      <c r="AA33" t="str">
        <f>IF(Table1[[#This Row],[Salary]]&lt;20000000,"low",IF(Table1[[#This Row],[Salary]]&lt;40000000,"medium","high"))</f>
        <v>high</v>
      </c>
      <c r="AB33">
        <f>YEAR(Table1[[#This Row],[Hire Date]])</f>
        <v>2018</v>
      </c>
      <c r="AC33" t="str">
        <f>TEXT(Table1[[#This Row],[Hire Date]],"mmmm")</f>
        <v>سپتامبر</v>
      </c>
      <c r="AD33" t="str">
        <f>IF(Table1[[#This Row],[Resigned]]="yes","former","active")</f>
        <v>former</v>
      </c>
    </row>
    <row r="34" spans="1:30" x14ac:dyDescent="0.3">
      <c r="A34" t="s">
        <v>132</v>
      </c>
      <c r="B34" t="s">
        <v>133</v>
      </c>
      <c r="C34" t="s">
        <v>39</v>
      </c>
      <c r="D34">
        <v>40</v>
      </c>
      <c r="E34" t="s">
        <v>63</v>
      </c>
      <c r="F34" t="s">
        <v>64</v>
      </c>
      <c r="G34" t="s">
        <v>30</v>
      </c>
      <c r="H34" t="s">
        <v>42</v>
      </c>
      <c r="I34" t="s">
        <v>50</v>
      </c>
      <c r="J34" s="1">
        <v>42696</v>
      </c>
      <c r="K34">
        <v>10</v>
      </c>
      <c r="L34">
        <v>54761685</v>
      </c>
      <c r="M34">
        <v>2110777</v>
      </c>
      <c r="N34" t="s">
        <v>33</v>
      </c>
      <c r="O34">
        <v>4.1900000000000004</v>
      </c>
      <c r="P34">
        <v>12</v>
      </c>
      <c r="Q34">
        <v>2</v>
      </c>
      <c r="R34">
        <v>1</v>
      </c>
      <c r="S34">
        <v>19</v>
      </c>
      <c r="T34" t="s">
        <v>34</v>
      </c>
      <c r="U34" t="s">
        <v>34</v>
      </c>
      <c r="V34" t="s">
        <v>35</v>
      </c>
      <c r="W34" t="s">
        <v>33</v>
      </c>
      <c r="X34" t="s">
        <v>36</v>
      </c>
      <c r="Z34" t="str">
        <f>IF(Table1[[#This Row],[Age]]&lt;30,"20-29",IF(Table1[[#This Row],[Age]]&lt;40,"30-39",IF(Table1[[#This Row],[Age]]&lt;50,"40-49","50+")))</f>
        <v>40-49</v>
      </c>
      <c r="AA34" t="str">
        <f>IF(Table1[[#This Row],[Salary]]&lt;20000000,"low",IF(Table1[[#This Row],[Salary]]&lt;40000000,"medium","high"))</f>
        <v>high</v>
      </c>
      <c r="AB34">
        <f>YEAR(Table1[[#This Row],[Hire Date]])</f>
        <v>2016</v>
      </c>
      <c r="AC34" t="str">
        <f>TEXT(Table1[[#This Row],[Hire Date]],"mmmm")</f>
        <v>نوامبر</v>
      </c>
      <c r="AD34" t="str">
        <f>IF(Table1[[#This Row],[Resigned]]="yes","former","active")</f>
        <v>active</v>
      </c>
    </row>
    <row r="35" spans="1:30" x14ac:dyDescent="0.3">
      <c r="A35" t="s">
        <v>134</v>
      </c>
      <c r="B35" t="s">
        <v>135</v>
      </c>
      <c r="C35" t="s">
        <v>27</v>
      </c>
      <c r="D35">
        <v>45</v>
      </c>
      <c r="E35" t="s">
        <v>40</v>
      </c>
      <c r="F35" t="s">
        <v>48</v>
      </c>
      <c r="G35" t="s">
        <v>49</v>
      </c>
      <c r="H35" t="s">
        <v>42</v>
      </c>
      <c r="I35" t="s">
        <v>43</v>
      </c>
      <c r="J35" s="1">
        <v>43401</v>
      </c>
      <c r="K35">
        <v>8</v>
      </c>
      <c r="L35">
        <v>39163692</v>
      </c>
      <c r="M35">
        <v>4655152</v>
      </c>
      <c r="N35" t="s">
        <v>33</v>
      </c>
      <c r="O35">
        <v>3.82</v>
      </c>
      <c r="P35">
        <v>60</v>
      </c>
      <c r="Q35">
        <v>3</v>
      </c>
      <c r="R35">
        <v>1</v>
      </c>
      <c r="S35">
        <v>3</v>
      </c>
      <c r="T35" t="s">
        <v>34</v>
      </c>
      <c r="U35" t="s">
        <v>34</v>
      </c>
      <c r="V35" t="s">
        <v>35</v>
      </c>
      <c r="W35" t="s">
        <v>34</v>
      </c>
      <c r="X35" t="s">
        <v>45</v>
      </c>
      <c r="Z35" t="str">
        <f>IF(Table1[[#This Row],[Age]]&lt;30,"20-29",IF(Table1[[#This Row],[Age]]&lt;40,"30-39",IF(Table1[[#This Row],[Age]]&lt;50,"40-49","50+")))</f>
        <v>40-49</v>
      </c>
      <c r="AA35" t="str">
        <f>IF(Table1[[#This Row],[Salary]]&lt;20000000,"low",IF(Table1[[#This Row],[Salary]]&lt;40000000,"medium","high"))</f>
        <v>medium</v>
      </c>
      <c r="AB35">
        <f>YEAR(Table1[[#This Row],[Hire Date]])</f>
        <v>2018</v>
      </c>
      <c r="AC35" t="str">
        <f>TEXT(Table1[[#This Row],[Hire Date]],"mmmm")</f>
        <v>اُكتبر</v>
      </c>
      <c r="AD35" t="str">
        <f>IF(Table1[[#This Row],[Resigned]]="yes","former","active")</f>
        <v>active</v>
      </c>
    </row>
    <row r="36" spans="1:30" x14ac:dyDescent="0.3">
      <c r="A36" t="s">
        <v>136</v>
      </c>
      <c r="B36" t="s">
        <v>137</v>
      </c>
      <c r="C36" t="s">
        <v>27</v>
      </c>
      <c r="D36">
        <v>43</v>
      </c>
      <c r="E36" t="s">
        <v>28</v>
      </c>
      <c r="F36" t="s">
        <v>29</v>
      </c>
      <c r="G36" t="s">
        <v>30</v>
      </c>
      <c r="H36" t="s">
        <v>42</v>
      </c>
      <c r="I36" t="s">
        <v>32</v>
      </c>
      <c r="J36" s="1">
        <v>45684</v>
      </c>
      <c r="K36">
        <v>1</v>
      </c>
      <c r="L36">
        <v>22240665</v>
      </c>
      <c r="M36">
        <v>675238</v>
      </c>
      <c r="N36" t="s">
        <v>34</v>
      </c>
      <c r="O36">
        <v>4.04</v>
      </c>
      <c r="P36">
        <v>29</v>
      </c>
      <c r="Q36">
        <v>3</v>
      </c>
      <c r="R36">
        <v>1</v>
      </c>
      <c r="S36">
        <v>17</v>
      </c>
      <c r="T36" t="s">
        <v>34</v>
      </c>
      <c r="U36" t="s">
        <v>33</v>
      </c>
      <c r="V36" t="s">
        <v>51</v>
      </c>
      <c r="W36" t="s">
        <v>34</v>
      </c>
      <c r="X36" t="s">
        <v>36</v>
      </c>
      <c r="Y36" t="s">
        <v>75</v>
      </c>
      <c r="Z36" t="str">
        <f>IF(Table1[[#This Row],[Age]]&lt;30,"20-29",IF(Table1[[#This Row],[Age]]&lt;40,"30-39",IF(Table1[[#This Row],[Age]]&lt;50,"40-49","50+")))</f>
        <v>40-49</v>
      </c>
      <c r="AA36" t="str">
        <f>IF(Table1[[#This Row],[Salary]]&lt;20000000,"low",IF(Table1[[#This Row],[Salary]]&lt;40000000,"medium","high"))</f>
        <v>medium</v>
      </c>
      <c r="AB36">
        <f>YEAR(Table1[[#This Row],[Hire Date]])</f>
        <v>2025</v>
      </c>
      <c r="AC36" t="str">
        <f>TEXT(Table1[[#This Row],[Hire Date]],"mmmm")</f>
        <v>ژانويه</v>
      </c>
      <c r="AD36" t="str">
        <f>IF(Table1[[#This Row],[Resigned]]="yes","former","active")</f>
        <v>former</v>
      </c>
    </row>
    <row r="37" spans="1:30" x14ac:dyDescent="0.3">
      <c r="A37" t="s">
        <v>138</v>
      </c>
      <c r="B37" t="s">
        <v>139</v>
      </c>
      <c r="C37" t="s">
        <v>27</v>
      </c>
      <c r="D37">
        <v>24</v>
      </c>
      <c r="E37" t="s">
        <v>110</v>
      </c>
      <c r="F37" t="s">
        <v>120</v>
      </c>
      <c r="G37" t="s">
        <v>49</v>
      </c>
      <c r="H37" t="s">
        <v>42</v>
      </c>
      <c r="I37" t="s">
        <v>43</v>
      </c>
      <c r="J37" s="1">
        <v>44660</v>
      </c>
      <c r="K37">
        <v>4</v>
      </c>
      <c r="L37">
        <v>46420612</v>
      </c>
      <c r="M37">
        <v>4864876</v>
      </c>
      <c r="N37" t="s">
        <v>34</v>
      </c>
      <c r="O37">
        <v>4.33</v>
      </c>
      <c r="P37">
        <v>38</v>
      </c>
      <c r="Q37">
        <v>2</v>
      </c>
      <c r="R37">
        <v>4</v>
      </c>
      <c r="S37">
        <v>1</v>
      </c>
      <c r="T37" t="s">
        <v>34</v>
      </c>
      <c r="U37" t="s">
        <v>34</v>
      </c>
      <c r="V37" t="s">
        <v>35</v>
      </c>
      <c r="W37" t="s">
        <v>34</v>
      </c>
      <c r="X37" t="s">
        <v>36</v>
      </c>
      <c r="Z37" t="str">
        <f>IF(Table1[[#This Row],[Age]]&lt;30,"20-29",IF(Table1[[#This Row],[Age]]&lt;40,"30-39",IF(Table1[[#This Row],[Age]]&lt;50,"40-49","50+")))</f>
        <v>20-29</v>
      </c>
      <c r="AA37" t="str">
        <f>IF(Table1[[#This Row],[Salary]]&lt;20000000,"low",IF(Table1[[#This Row],[Salary]]&lt;40000000,"medium","high"))</f>
        <v>high</v>
      </c>
      <c r="AB37">
        <f>YEAR(Table1[[#This Row],[Hire Date]])</f>
        <v>2022</v>
      </c>
      <c r="AC37" t="str">
        <f>TEXT(Table1[[#This Row],[Hire Date]],"mmmm")</f>
        <v>آوريل</v>
      </c>
      <c r="AD37" t="str">
        <f>IF(Table1[[#This Row],[Resigned]]="yes","former","active")</f>
        <v>active</v>
      </c>
    </row>
    <row r="38" spans="1:30" x14ac:dyDescent="0.3">
      <c r="A38" t="s">
        <v>140</v>
      </c>
      <c r="B38" t="s">
        <v>141</v>
      </c>
      <c r="C38" t="s">
        <v>39</v>
      </c>
      <c r="D38">
        <v>55</v>
      </c>
      <c r="E38" t="s">
        <v>73</v>
      </c>
      <c r="F38" t="s">
        <v>127</v>
      </c>
      <c r="G38" t="s">
        <v>58</v>
      </c>
      <c r="H38" t="s">
        <v>31</v>
      </c>
      <c r="I38" t="s">
        <v>81</v>
      </c>
      <c r="J38" s="1">
        <v>44665</v>
      </c>
      <c r="K38">
        <v>4</v>
      </c>
      <c r="L38">
        <v>21153707</v>
      </c>
      <c r="M38">
        <v>9538587</v>
      </c>
      <c r="N38" t="s">
        <v>34</v>
      </c>
      <c r="O38">
        <v>4.9000000000000004</v>
      </c>
      <c r="P38">
        <v>26</v>
      </c>
      <c r="Q38">
        <v>3</v>
      </c>
      <c r="R38">
        <v>5</v>
      </c>
      <c r="S38">
        <v>10</v>
      </c>
      <c r="T38" t="s">
        <v>34</v>
      </c>
      <c r="U38" t="s">
        <v>34</v>
      </c>
      <c r="V38" t="s">
        <v>70</v>
      </c>
      <c r="W38" t="s">
        <v>33</v>
      </c>
      <c r="X38" t="s">
        <v>52</v>
      </c>
      <c r="Z38" t="str">
        <f>IF(Table1[[#This Row],[Age]]&lt;30,"20-29",IF(Table1[[#This Row],[Age]]&lt;40,"30-39",IF(Table1[[#This Row],[Age]]&lt;50,"40-49","50+")))</f>
        <v>50+</v>
      </c>
      <c r="AA38" t="str">
        <f>IF(Table1[[#This Row],[Salary]]&lt;20000000,"low",IF(Table1[[#This Row],[Salary]]&lt;40000000,"medium","high"))</f>
        <v>medium</v>
      </c>
      <c r="AB38">
        <f>YEAR(Table1[[#This Row],[Hire Date]])</f>
        <v>2022</v>
      </c>
      <c r="AC38" t="str">
        <f>TEXT(Table1[[#This Row],[Hire Date]],"mmmm")</f>
        <v>آوريل</v>
      </c>
      <c r="AD38" t="str">
        <f>IF(Table1[[#This Row],[Resigned]]="yes","former","active")</f>
        <v>active</v>
      </c>
    </row>
    <row r="39" spans="1:30" x14ac:dyDescent="0.3">
      <c r="A39" t="s">
        <v>142</v>
      </c>
      <c r="B39" t="s">
        <v>143</v>
      </c>
      <c r="C39" t="s">
        <v>39</v>
      </c>
      <c r="D39">
        <v>34</v>
      </c>
      <c r="E39" t="s">
        <v>28</v>
      </c>
      <c r="F39" t="s">
        <v>80</v>
      </c>
      <c r="G39" t="s">
        <v>49</v>
      </c>
      <c r="H39" t="s">
        <v>42</v>
      </c>
      <c r="I39" t="s">
        <v>43</v>
      </c>
      <c r="J39" s="1">
        <v>45604</v>
      </c>
      <c r="K39">
        <v>2</v>
      </c>
      <c r="L39">
        <v>46920979</v>
      </c>
      <c r="M39">
        <v>8247291</v>
      </c>
      <c r="N39" t="s">
        <v>34</v>
      </c>
      <c r="O39">
        <v>3.52</v>
      </c>
      <c r="P39">
        <v>54</v>
      </c>
      <c r="Q39">
        <v>3</v>
      </c>
      <c r="R39">
        <v>3</v>
      </c>
      <c r="S39">
        <v>7</v>
      </c>
      <c r="T39" t="s">
        <v>33</v>
      </c>
      <c r="U39" t="s">
        <v>34</v>
      </c>
      <c r="V39" t="s">
        <v>70</v>
      </c>
      <c r="W39" t="s">
        <v>34</v>
      </c>
      <c r="X39" t="s">
        <v>36</v>
      </c>
      <c r="Z39" t="str">
        <f>IF(Table1[[#This Row],[Age]]&lt;30,"20-29",IF(Table1[[#This Row],[Age]]&lt;40,"30-39",IF(Table1[[#This Row],[Age]]&lt;50,"40-49","50+")))</f>
        <v>30-39</v>
      </c>
      <c r="AA39" t="str">
        <f>IF(Table1[[#This Row],[Salary]]&lt;20000000,"low",IF(Table1[[#This Row],[Salary]]&lt;40000000,"medium","high"))</f>
        <v>high</v>
      </c>
      <c r="AB39">
        <f>YEAR(Table1[[#This Row],[Hire Date]])</f>
        <v>2024</v>
      </c>
      <c r="AC39" t="str">
        <f>TEXT(Table1[[#This Row],[Hire Date]],"mmmm")</f>
        <v>نوامبر</v>
      </c>
      <c r="AD39" t="str">
        <f>IF(Table1[[#This Row],[Resigned]]="yes","former","active")</f>
        <v>active</v>
      </c>
    </row>
    <row r="40" spans="1:30" x14ac:dyDescent="0.3">
      <c r="A40" t="s">
        <v>144</v>
      </c>
      <c r="B40" t="s">
        <v>145</v>
      </c>
      <c r="C40" t="s">
        <v>39</v>
      </c>
      <c r="D40">
        <v>52</v>
      </c>
      <c r="E40" t="s">
        <v>28</v>
      </c>
      <c r="F40" t="s">
        <v>80</v>
      </c>
      <c r="G40" t="s">
        <v>49</v>
      </c>
      <c r="H40" t="s">
        <v>42</v>
      </c>
      <c r="I40" t="s">
        <v>32</v>
      </c>
      <c r="J40" s="1">
        <v>44345</v>
      </c>
      <c r="K40">
        <v>5</v>
      </c>
      <c r="L40">
        <v>48621177</v>
      </c>
      <c r="M40">
        <v>2093117</v>
      </c>
      <c r="N40" t="s">
        <v>33</v>
      </c>
      <c r="O40">
        <v>4.6500000000000004</v>
      </c>
      <c r="P40">
        <v>33</v>
      </c>
      <c r="Q40">
        <v>5</v>
      </c>
      <c r="R40">
        <v>4</v>
      </c>
      <c r="S40">
        <v>14</v>
      </c>
      <c r="T40" t="s">
        <v>33</v>
      </c>
      <c r="U40" t="s">
        <v>34</v>
      </c>
      <c r="V40" t="s">
        <v>35</v>
      </c>
      <c r="W40" t="s">
        <v>34</v>
      </c>
      <c r="X40" t="s">
        <v>52</v>
      </c>
      <c r="Z40" t="str">
        <f>IF(Table1[[#This Row],[Age]]&lt;30,"20-29",IF(Table1[[#This Row],[Age]]&lt;40,"30-39",IF(Table1[[#This Row],[Age]]&lt;50,"40-49","50+")))</f>
        <v>50+</v>
      </c>
      <c r="AA40" t="str">
        <f>IF(Table1[[#This Row],[Salary]]&lt;20000000,"low",IF(Table1[[#This Row],[Salary]]&lt;40000000,"medium","high"))</f>
        <v>high</v>
      </c>
      <c r="AB40">
        <f>YEAR(Table1[[#This Row],[Hire Date]])</f>
        <v>2021</v>
      </c>
      <c r="AC40" t="str">
        <f>TEXT(Table1[[#This Row],[Hire Date]],"mmmm")</f>
        <v>مه</v>
      </c>
      <c r="AD40" t="str">
        <f>IF(Table1[[#This Row],[Resigned]]="yes","former","active")</f>
        <v>active</v>
      </c>
    </row>
    <row r="41" spans="1:30" x14ac:dyDescent="0.3">
      <c r="A41" t="s">
        <v>146</v>
      </c>
      <c r="B41" t="s">
        <v>147</v>
      </c>
      <c r="C41" t="s">
        <v>27</v>
      </c>
      <c r="D41">
        <v>45</v>
      </c>
      <c r="E41" t="s">
        <v>110</v>
      </c>
      <c r="F41" t="s">
        <v>111</v>
      </c>
      <c r="G41" t="s">
        <v>49</v>
      </c>
      <c r="H41" t="s">
        <v>31</v>
      </c>
      <c r="I41" t="s">
        <v>81</v>
      </c>
      <c r="J41" s="1">
        <v>43587</v>
      </c>
      <c r="K41">
        <v>7</v>
      </c>
      <c r="L41">
        <v>55039175</v>
      </c>
      <c r="M41">
        <v>8158348</v>
      </c>
      <c r="N41" t="s">
        <v>34</v>
      </c>
      <c r="O41">
        <v>4.1500000000000004</v>
      </c>
      <c r="P41">
        <v>16</v>
      </c>
      <c r="Q41">
        <v>2</v>
      </c>
      <c r="R41">
        <v>5</v>
      </c>
      <c r="S41">
        <v>6</v>
      </c>
      <c r="T41" t="s">
        <v>34</v>
      </c>
      <c r="U41" t="s">
        <v>34</v>
      </c>
      <c r="V41" t="s">
        <v>51</v>
      </c>
      <c r="W41" t="s">
        <v>34</v>
      </c>
      <c r="X41" t="s">
        <v>52</v>
      </c>
      <c r="Z41" t="str">
        <f>IF(Table1[[#This Row],[Age]]&lt;30,"20-29",IF(Table1[[#This Row],[Age]]&lt;40,"30-39",IF(Table1[[#This Row],[Age]]&lt;50,"40-49","50+")))</f>
        <v>40-49</v>
      </c>
      <c r="AA41" t="str">
        <f>IF(Table1[[#This Row],[Salary]]&lt;20000000,"low",IF(Table1[[#This Row],[Salary]]&lt;40000000,"medium","high"))</f>
        <v>high</v>
      </c>
      <c r="AB41">
        <f>YEAR(Table1[[#This Row],[Hire Date]])</f>
        <v>2019</v>
      </c>
      <c r="AC41" t="str">
        <f>TEXT(Table1[[#This Row],[Hire Date]],"mmmm")</f>
        <v>مه</v>
      </c>
      <c r="AD41" t="str">
        <f>IF(Table1[[#This Row],[Resigned]]="yes","former","active")</f>
        <v>active</v>
      </c>
    </row>
    <row r="42" spans="1:30" x14ac:dyDescent="0.3">
      <c r="A42" t="s">
        <v>148</v>
      </c>
      <c r="B42" t="s">
        <v>149</v>
      </c>
      <c r="C42" t="s">
        <v>39</v>
      </c>
      <c r="D42">
        <v>31</v>
      </c>
      <c r="E42" t="s">
        <v>40</v>
      </c>
      <c r="F42" t="s">
        <v>48</v>
      </c>
      <c r="G42" t="s">
        <v>49</v>
      </c>
      <c r="H42" t="s">
        <v>31</v>
      </c>
      <c r="I42" t="s">
        <v>50</v>
      </c>
      <c r="J42" s="1">
        <v>43630</v>
      </c>
      <c r="K42">
        <v>7</v>
      </c>
      <c r="L42">
        <v>34617291</v>
      </c>
      <c r="M42">
        <v>2217834</v>
      </c>
      <c r="N42" t="s">
        <v>34</v>
      </c>
      <c r="O42">
        <v>3.63</v>
      </c>
      <c r="P42">
        <v>76</v>
      </c>
      <c r="Q42">
        <v>1</v>
      </c>
      <c r="R42">
        <v>3</v>
      </c>
      <c r="S42">
        <v>3</v>
      </c>
      <c r="T42" t="s">
        <v>34</v>
      </c>
      <c r="U42" t="s">
        <v>34</v>
      </c>
      <c r="V42" t="s">
        <v>35</v>
      </c>
      <c r="W42" t="s">
        <v>33</v>
      </c>
      <c r="X42" t="s">
        <v>36</v>
      </c>
      <c r="Z42" t="str">
        <f>IF(Table1[[#This Row],[Age]]&lt;30,"20-29",IF(Table1[[#This Row],[Age]]&lt;40,"30-39",IF(Table1[[#This Row],[Age]]&lt;50,"40-49","50+")))</f>
        <v>30-39</v>
      </c>
      <c r="AA42" t="str">
        <f>IF(Table1[[#This Row],[Salary]]&lt;20000000,"low",IF(Table1[[#This Row],[Salary]]&lt;40000000,"medium","high"))</f>
        <v>medium</v>
      </c>
      <c r="AB42">
        <f>YEAR(Table1[[#This Row],[Hire Date]])</f>
        <v>2019</v>
      </c>
      <c r="AC42" t="str">
        <f>TEXT(Table1[[#This Row],[Hire Date]],"mmmm")</f>
        <v>ژوئن</v>
      </c>
      <c r="AD42" t="str">
        <f>IF(Table1[[#This Row],[Resigned]]="yes","former","active")</f>
        <v>active</v>
      </c>
    </row>
    <row r="43" spans="1:30" x14ac:dyDescent="0.3">
      <c r="A43" t="s">
        <v>150</v>
      </c>
      <c r="B43" t="s">
        <v>151</v>
      </c>
      <c r="C43" t="s">
        <v>39</v>
      </c>
      <c r="D43">
        <v>50</v>
      </c>
      <c r="E43" t="s">
        <v>56</v>
      </c>
      <c r="F43" t="s">
        <v>84</v>
      </c>
      <c r="G43" t="s">
        <v>49</v>
      </c>
      <c r="H43" t="s">
        <v>31</v>
      </c>
      <c r="I43" t="s">
        <v>43</v>
      </c>
      <c r="J43" s="1">
        <v>45084</v>
      </c>
      <c r="K43">
        <v>3</v>
      </c>
      <c r="L43">
        <v>36906576</v>
      </c>
      <c r="M43">
        <v>6914851</v>
      </c>
      <c r="N43" t="s">
        <v>34</v>
      </c>
      <c r="O43">
        <v>3.53</v>
      </c>
      <c r="P43">
        <v>6</v>
      </c>
      <c r="Q43">
        <v>4</v>
      </c>
      <c r="R43">
        <v>5</v>
      </c>
      <c r="S43">
        <v>12</v>
      </c>
      <c r="T43" t="s">
        <v>33</v>
      </c>
      <c r="U43" t="s">
        <v>33</v>
      </c>
      <c r="V43" t="s">
        <v>70</v>
      </c>
      <c r="W43" t="s">
        <v>34</v>
      </c>
      <c r="X43" t="s">
        <v>36</v>
      </c>
      <c r="Y43" t="s">
        <v>75</v>
      </c>
      <c r="Z43" t="str">
        <f>IF(Table1[[#This Row],[Age]]&lt;30,"20-29",IF(Table1[[#This Row],[Age]]&lt;40,"30-39",IF(Table1[[#This Row],[Age]]&lt;50,"40-49","50+")))</f>
        <v>50+</v>
      </c>
      <c r="AA43" t="str">
        <f>IF(Table1[[#This Row],[Salary]]&lt;20000000,"low",IF(Table1[[#This Row],[Salary]]&lt;40000000,"medium","high"))</f>
        <v>medium</v>
      </c>
      <c r="AB43">
        <f>YEAR(Table1[[#This Row],[Hire Date]])</f>
        <v>2023</v>
      </c>
      <c r="AC43" t="str">
        <f>TEXT(Table1[[#This Row],[Hire Date]],"mmmm")</f>
        <v>ژوئن</v>
      </c>
      <c r="AD43" t="str">
        <f>IF(Table1[[#This Row],[Resigned]]="yes","former","active")</f>
        <v>former</v>
      </c>
    </row>
    <row r="44" spans="1:30" x14ac:dyDescent="0.3">
      <c r="A44" t="s">
        <v>152</v>
      </c>
      <c r="B44" t="s">
        <v>153</v>
      </c>
      <c r="C44" t="s">
        <v>27</v>
      </c>
      <c r="D44">
        <v>56</v>
      </c>
      <c r="E44" t="s">
        <v>63</v>
      </c>
      <c r="F44" t="s">
        <v>93</v>
      </c>
      <c r="G44" t="s">
        <v>58</v>
      </c>
      <c r="H44" t="s">
        <v>42</v>
      </c>
      <c r="I44" t="s">
        <v>43</v>
      </c>
      <c r="J44" s="1">
        <v>44311</v>
      </c>
      <c r="K44">
        <v>5</v>
      </c>
      <c r="L44">
        <v>45144158</v>
      </c>
      <c r="M44">
        <v>3042747</v>
      </c>
      <c r="N44" t="s">
        <v>33</v>
      </c>
      <c r="O44">
        <v>4.0599999999999996</v>
      </c>
      <c r="P44">
        <v>35</v>
      </c>
      <c r="Q44">
        <v>5</v>
      </c>
      <c r="R44">
        <v>4</v>
      </c>
      <c r="S44">
        <v>9</v>
      </c>
      <c r="T44" t="s">
        <v>33</v>
      </c>
      <c r="U44" t="s">
        <v>34</v>
      </c>
      <c r="V44" t="s">
        <v>44</v>
      </c>
      <c r="W44" t="s">
        <v>33</v>
      </c>
      <c r="X44" t="s">
        <v>52</v>
      </c>
      <c r="Z44" t="str">
        <f>IF(Table1[[#This Row],[Age]]&lt;30,"20-29",IF(Table1[[#This Row],[Age]]&lt;40,"30-39",IF(Table1[[#This Row],[Age]]&lt;50,"40-49","50+")))</f>
        <v>50+</v>
      </c>
      <c r="AA44" t="str">
        <f>IF(Table1[[#This Row],[Salary]]&lt;20000000,"low",IF(Table1[[#This Row],[Salary]]&lt;40000000,"medium","high"))</f>
        <v>high</v>
      </c>
      <c r="AB44">
        <f>YEAR(Table1[[#This Row],[Hire Date]])</f>
        <v>2021</v>
      </c>
      <c r="AC44" t="str">
        <f>TEXT(Table1[[#This Row],[Hire Date]],"mmmm")</f>
        <v>آوريل</v>
      </c>
      <c r="AD44" t="str">
        <f>IF(Table1[[#This Row],[Resigned]]="yes","former","active")</f>
        <v>active</v>
      </c>
    </row>
    <row r="45" spans="1:30" x14ac:dyDescent="0.3">
      <c r="A45" t="s">
        <v>154</v>
      </c>
      <c r="B45" t="s">
        <v>155</v>
      </c>
      <c r="C45" t="s">
        <v>39</v>
      </c>
      <c r="D45">
        <v>29</v>
      </c>
      <c r="E45" t="s">
        <v>73</v>
      </c>
      <c r="F45" t="s">
        <v>74</v>
      </c>
      <c r="G45" t="s">
        <v>30</v>
      </c>
      <c r="H45" t="s">
        <v>31</v>
      </c>
      <c r="I45" t="s">
        <v>65</v>
      </c>
      <c r="J45" s="1">
        <v>42757</v>
      </c>
      <c r="K45">
        <v>9</v>
      </c>
      <c r="L45">
        <v>29527756</v>
      </c>
      <c r="M45">
        <v>7511191</v>
      </c>
      <c r="N45" t="s">
        <v>34</v>
      </c>
      <c r="O45">
        <v>2.62</v>
      </c>
      <c r="P45">
        <v>2</v>
      </c>
      <c r="Q45">
        <v>3</v>
      </c>
      <c r="R45">
        <v>4</v>
      </c>
      <c r="S45">
        <v>14</v>
      </c>
      <c r="T45" t="s">
        <v>33</v>
      </c>
      <c r="U45" t="s">
        <v>33</v>
      </c>
      <c r="V45" t="s">
        <v>35</v>
      </c>
      <c r="W45" t="s">
        <v>34</v>
      </c>
      <c r="X45" t="s">
        <v>52</v>
      </c>
      <c r="Y45" t="s">
        <v>53</v>
      </c>
      <c r="Z45" t="str">
        <f>IF(Table1[[#This Row],[Age]]&lt;30,"20-29",IF(Table1[[#This Row],[Age]]&lt;40,"30-39",IF(Table1[[#This Row],[Age]]&lt;50,"40-49","50+")))</f>
        <v>20-29</v>
      </c>
      <c r="AA45" t="str">
        <f>IF(Table1[[#This Row],[Salary]]&lt;20000000,"low",IF(Table1[[#This Row],[Salary]]&lt;40000000,"medium","high"))</f>
        <v>medium</v>
      </c>
      <c r="AB45">
        <f>YEAR(Table1[[#This Row],[Hire Date]])</f>
        <v>2017</v>
      </c>
      <c r="AC45" t="str">
        <f>TEXT(Table1[[#This Row],[Hire Date]],"mmmm")</f>
        <v>ژانويه</v>
      </c>
      <c r="AD45" t="str">
        <f>IF(Table1[[#This Row],[Resigned]]="yes","former","active")</f>
        <v>former</v>
      </c>
    </row>
    <row r="46" spans="1:30" x14ac:dyDescent="0.3">
      <c r="A46" t="s">
        <v>156</v>
      </c>
      <c r="B46" t="s">
        <v>157</v>
      </c>
      <c r="C46" t="s">
        <v>39</v>
      </c>
      <c r="D46">
        <v>40</v>
      </c>
      <c r="E46" t="s">
        <v>73</v>
      </c>
      <c r="F46" t="s">
        <v>74</v>
      </c>
      <c r="G46" t="s">
        <v>58</v>
      </c>
      <c r="H46" t="s">
        <v>31</v>
      </c>
      <c r="I46" t="s">
        <v>32</v>
      </c>
      <c r="J46" s="1">
        <v>45738</v>
      </c>
      <c r="K46">
        <v>1</v>
      </c>
      <c r="L46">
        <v>25545514</v>
      </c>
      <c r="M46">
        <v>3616473</v>
      </c>
      <c r="N46" t="s">
        <v>33</v>
      </c>
      <c r="O46">
        <v>4.1900000000000004</v>
      </c>
      <c r="P46">
        <v>80</v>
      </c>
      <c r="Q46">
        <v>4</v>
      </c>
      <c r="R46">
        <v>3</v>
      </c>
      <c r="S46">
        <v>18</v>
      </c>
      <c r="T46" t="s">
        <v>34</v>
      </c>
      <c r="U46" t="s">
        <v>34</v>
      </c>
      <c r="V46" t="s">
        <v>44</v>
      </c>
      <c r="W46" t="s">
        <v>34</v>
      </c>
      <c r="X46" t="s">
        <v>36</v>
      </c>
      <c r="Z46" t="str">
        <f>IF(Table1[[#This Row],[Age]]&lt;30,"20-29",IF(Table1[[#This Row],[Age]]&lt;40,"30-39",IF(Table1[[#This Row],[Age]]&lt;50,"40-49","50+")))</f>
        <v>40-49</v>
      </c>
      <c r="AA46" t="str">
        <f>IF(Table1[[#This Row],[Salary]]&lt;20000000,"low",IF(Table1[[#This Row],[Salary]]&lt;40000000,"medium","high"))</f>
        <v>medium</v>
      </c>
      <c r="AB46">
        <f>YEAR(Table1[[#This Row],[Hire Date]])</f>
        <v>2025</v>
      </c>
      <c r="AC46" t="str">
        <f>TEXT(Table1[[#This Row],[Hire Date]],"mmmm")</f>
        <v>مارس</v>
      </c>
      <c r="AD46" t="str">
        <f>IF(Table1[[#This Row],[Resigned]]="yes","former","active")</f>
        <v>active</v>
      </c>
    </row>
    <row r="47" spans="1:30" x14ac:dyDescent="0.3">
      <c r="A47" t="s">
        <v>158</v>
      </c>
      <c r="B47" t="s">
        <v>159</v>
      </c>
      <c r="C47" t="s">
        <v>39</v>
      </c>
      <c r="D47">
        <v>44</v>
      </c>
      <c r="E47" t="s">
        <v>40</v>
      </c>
      <c r="F47" t="s">
        <v>41</v>
      </c>
      <c r="G47" t="s">
        <v>58</v>
      </c>
      <c r="H47" t="s">
        <v>31</v>
      </c>
      <c r="I47" t="s">
        <v>50</v>
      </c>
      <c r="J47" s="1">
        <v>45722</v>
      </c>
      <c r="K47">
        <v>1</v>
      </c>
      <c r="L47">
        <v>21547467</v>
      </c>
      <c r="M47">
        <v>9033900</v>
      </c>
      <c r="N47" t="s">
        <v>33</v>
      </c>
      <c r="O47">
        <v>3.46</v>
      </c>
      <c r="P47">
        <v>71</v>
      </c>
      <c r="Q47">
        <v>1</v>
      </c>
      <c r="R47">
        <v>1</v>
      </c>
      <c r="S47">
        <v>0</v>
      </c>
      <c r="T47" t="s">
        <v>33</v>
      </c>
      <c r="U47" t="s">
        <v>34</v>
      </c>
      <c r="V47" t="s">
        <v>51</v>
      </c>
      <c r="W47" t="s">
        <v>33</v>
      </c>
      <c r="X47" t="s">
        <v>52</v>
      </c>
      <c r="Z47" t="str">
        <f>IF(Table1[[#This Row],[Age]]&lt;30,"20-29",IF(Table1[[#This Row],[Age]]&lt;40,"30-39",IF(Table1[[#This Row],[Age]]&lt;50,"40-49","50+")))</f>
        <v>40-49</v>
      </c>
      <c r="AA47" t="str">
        <f>IF(Table1[[#This Row],[Salary]]&lt;20000000,"low",IF(Table1[[#This Row],[Salary]]&lt;40000000,"medium","high"))</f>
        <v>medium</v>
      </c>
      <c r="AB47">
        <f>YEAR(Table1[[#This Row],[Hire Date]])</f>
        <v>2025</v>
      </c>
      <c r="AC47" t="str">
        <f>TEXT(Table1[[#This Row],[Hire Date]],"mmmm")</f>
        <v>مارس</v>
      </c>
      <c r="AD47" t="str">
        <f>IF(Table1[[#This Row],[Resigned]]="yes","former","active")</f>
        <v>active</v>
      </c>
    </row>
    <row r="48" spans="1:30" x14ac:dyDescent="0.3">
      <c r="A48" t="s">
        <v>160</v>
      </c>
      <c r="B48" t="s">
        <v>161</v>
      </c>
      <c r="C48" t="s">
        <v>27</v>
      </c>
      <c r="D48">
        <v>22</v>
      </c>
      <c r="E48" t="s">
        <v>73</v>
      </c>
      <c r="F48" t="s">
        <v>127</v>
      </c>
      <c r="G48" t="s">
        <v>30</v>
      </c>
      <c r="H48" t="s">
        <v>31</v>
      </c>
      <c r="I48" t="s">
        <v>81</v>
      </c>
      <c r="J48" s="1">
        <v>44111</v>
      </c>
      <c r="K48">
        <v>6</v>
      </c>
      <c r="L48">
        <v>45379345</v>
      </c>
      <c r="M48">
        <v>3266861</v>
      </c>
      <c r="N48" t="s">
        <v>33</v>
      </c>
      <c r="O48">
        <v>4.37</v>
      </c>
      <c r="P48">
        <v>52</v>
      </c>
      <c r="Q48">
        <v>5</v>
      </c>
      <c r="R48">
        <v>4</v>
      </c>
      <c r="S48">
        <v>17</v>
      </c>
      <c r="T48" t="s">
        <v>33</v>
      </c>
      <c r="U48" t="s">
        <v>33</v>
      </c>
      <c r="V48" t="s">
        <v>35</v>
      </c>
      <c r="W48" t="s">
        <v>33</v>
      </c>
      <c r="X48" t="s">
        <v>36</v>
      </c>
      <c r="Y48" t="s">
        <v>162</v>
      </c>
      <c r="Z48" t="str">
        <f>IF(Table1[[#This Row],[Age]]&lt;30,"20-29",IF(Table1[[#This Row],[Age]]&lt;40,"30-39",IF(Table1[[#This Row],[Age]]&lt;50,"40-49","50+")))</f>
        <v>20-29</v>
      </c>
      <c r="AA48" t="str">
        <f>IF(Table1[[#This Row],[Salary]]&lt;20000000,"low",IF(Table1[[#This Row],[Salary]]&lt;40000000,"medium","high"))</f>
        <v>high</v>
      </c>
      <c r="AB48">
        <f>YEAR(Table1[[#This Row],[Hire Date]])</f>
        <v>2020</v>
      </c>
      <c r="AC48" t="str">
        <f>TEXT(Table1[[#This Row],[Hire Date]],"mmmm")</f>
        <v>اُكتبر</v>
      </c>
      <c r="AD48" t="str">
        <f>IF(Table1[[#This Row],[Resigned]]="yes","former","active")</f>
        <v>former</v>
      </c>
    </row>
    <row r="49" spans="1:30" x14ac:dyDescent="0.3">
      <c r="A49" t="s">
        <v>163</v>
      </c>
      <c r="B49" t="s">
        <v>164</v>
      </c>
      <c r="C49" t="s">
        <v>27</v>
      </c>
      <c r="D49">
        <v>57</v>
      </c>
      <c r="E49" t="s">
        <v>73</v>
      </c>
      <c r="F49" t="s">
        <v>127</v>
      </c>
      <c r="G49" t="s">
        <v>49</v>
      </c>
      <c r="H49" t="s">
        <v>31</v>
      </c>
      <c r="I49" t="s">
        <v>65</v>
      </c>
      <c r="J49" s="1">
        <v>43684</v>
      </c>
      <c r="K49">
        <v>7</v>
      </c>
      <c r="L49">
        <v>16327903</v>
      </c>
      <c r="M49">
        <v>8240645</v>
      </c>
      <c r="N49" t="s">
        <v>33</v>
      </c>
      <c r="O49">
        <v>3.92</v>
      </c>
      <c r="P49">
        <v>14</v>
      </c>
      <c r="Q49">
        <v>3</v>
      </c>
      <c r="R49">
        <v>1</v>
      </c>
      <c r="S49">
        <v>13</v>
      </c>
      <c r="T49" t="s">
        <v>33</v>
      </c>
      <c r="U49" t="s">
        <v>33</v>
      </c>
      <c r="V49" t="s">
        <v>59</v>
      </c>
      <c r="W49" t="s">
        <v>34</v>
      </c>
      <c r="X49" t="s">
        <v>36</v>
      </c>
      <c r="Y49" t="s">
        <v>53</v>
      </c>
      <c r="Z49" t="str">
        <f>IF(Table1[[#This Row],[Age]]&lt;30,"20-29",IF(Table1[[#This Row],[Age]]&lt;40,"30-39",IF(Table1[[#This Row],[Age]]&lt;50,"40-49","50+")))</f>
        <v>50+</v>
      </c>
      <c r="AA49" t="str">
        <f>IF(Table1[[#This Row],[Salary]]&lt;20000000,"low",IF(Table1[[#This Row],[Salary]]&lt;40000000,"medium","high"))</f>
        <v>low</v>
      </c>
      <c r="AB49">
        <f>YEAR(Table1[[#This Row],[Hire Date]])</f>
        <v>2019</v>
      </c>
      <c r="AC49" t="str">
        <f>TEXT(Table1[[#This Row],[Hire Date]],"mmmm")</f>
        <v>اوت</v>
      </c>
      <c r="AD49" t="str">
        <f>IF(Table1[[#This Row],[Resigned]]="yes","former","active")</f>
        <v>former</v>
      </c>
    </row>
    <row r="50" spans="1:30" x14ac:dyDescent="0.3">
      <c r="A50" t="s">
        <v>165</v>
      </c>
      <c r="B50" t="s">
        <v>166</v>
      </c>
      <c r="C50" t="s">
        <v>27</v>
      </c>
      <c r="D50">
        <v>40</v>
      </c>
      <c r="E50" t="s">
        <v>63</v>
      </c>
      <c r="F50" t="s">
        <v>64</v>
      </c>
      <c r="G50" t="s">
        <v>58</v>
      </c>
      <c r="H50" t="s">
        <v>31</v>
      </c>
      <c r="I50" t="s">
        <v>65</v>
      </c>
      <c r="J50" s="1">
        <v>42589</v>
      </c>
      <c r="K50">
        <v>10</v>
      </c>
      <c r="L50">
        <v>39340508</v>
      </c>
      <c r="M50">
        <v>7730912</v>
      </c>
      <c r="N50" t="s">
        <v>33</v>
      </c>
      <c r="O50">
        <v>3.62</v>
      </c>
      <c r="P50">
        <v>1</v>
      </c>
      <c r="Q50">
        <v>5</v>
      </c>
      <c r="R50">
        <v>1</v>
      </c>
      <c r="S50">
        <v>20</v>
      </c>
      <c r="T50" t="s">
        <v>33</v>
      </c>
      <c r="U50" t="s">
        <v>34</v>
      </c>
      <c r="V50" t="s">
        <v>59</v>
      </c>
      <c r="W50" t="s">
        <v>34</v>
      </c>
      <c r="X50" t="s">
        <v>36</v>
      </c>
      <c r="Z50" t="str">
        <f>IF(Table1[[#This Row],[Age]]&lt;30,"20-29",IF(Table1[[#This Row],[Age]]&lt;40,"30-39",IF(Table1[[#This Row],[Age]]&lt;50,"40-49","50+")))</f>
        <v>40-49</v>
      </c>
      <c r="AA50" t="str">
        <f>IF(Table1[[#This Row],[Salary]]&lt;20000000,"low",IF(Table1[[#This Row],[Salary]]&lt;40000000,"medium","high"))</f>
        <v>medium</v>
      </c>
      <c r="AB50">
        <f>YEAR(Table1[[#This Row],[Hire Date]])</f>
        <v>2016</v>
      </c>
      <c r="AC50" t="str">
        <f>TEXT(Table1[[#This Row],[Hire Date]],"mmmm")</f>
        <v>اوت</v>
      </c>
      <c r="AD50" t="str">
        <f>IF(Table1[[#This Row],[Resigned]]="yes","former","active")</f>
        <v>active</v>
      </c>
    </row>
    <row r="51" spans="1:30" x14ac:dyDescent="0.3">
      <c r="A51" t="s">
        <v>167</v>
      </c>
      <c r="B51" t="s">
        <v>168</v>
      </c>
      <c r="C51" t="s">
        <v>27</v>
      </c>
      <c r="D51">
        <v>36</v>
      </c>
      <c r="E51" t="s">
        <v>56</v>
      </c>
      <c r="F51" t="s">
        <v>57</v>
      </c>
      <c r="G51" t="s">
        <v>58</v>
      </c>
      <c r="H51" t="s">
        <v>42</v>
      </c>
      <c r="I51" t="s">
        <v>65</v>
      </c>
      <c r="J51" s="1">
        <v>43612</v>
      </c>
      <c r="K51">
        <v>7</v>
      </c>
      <c r="L51">
        <v>20081229</v>
      </c>
      <c r="M51">
        <v>9195619</v>
      </c>
      <c r="N51" t="s">
        <v>33</v>
      </c>
      <c r="O51">
        <v>4.08</v>
      </c>
      <c r="P51">
        <v>8</v>
      </c>
      <c r="Q51">
        <v>5</v>
      </c>
      <c r="R51">
        <v>1</v>
      </c>
      <c r="S51">
        <v>19</v>
      </c>
      <c r="T51" t="s">
        <v>34</v>
      </c>
      <c r="U51" t="s">
        <v>34</v>
      </c>
      <c r="V51" t="s">
        <v>51</v>
      </c>
      <c r="W51" t="s">
        <v>34</v>
      </c>
      <c r="X51" t="s">
        <v>45</v>
      </c>
      <c r="Z51" t="str">
        <f>IF(Table1[[#This Row],[Age]]&lt;30,"20-29",IF(Table1[[#This Row],[Age]]&lt;40,"30-39",IF(Table1[[#This Row],[Age]]&lt;50,"40-49","50+")))</f>
        <v>30-39</v>
      </c>
      <c r="AA51" t="str">
        <f>IF(Table1[[#This Row],[Salary]]&lt;20000000,"low",IF(Table1[[#This Row],[Salary]]&lt;40000000,"medium","high"))</f>
        <v>medium</v>
      </c>
      <c r="AB51">
        <f>YEAR(Table1[[#This Row],[Hire Date]])</f>
        <v>2019</v>
      </c>
      <c r="AC51" t="str">
        <f>TEXT(Table1[[#This Row],[Hire Date]],"mmmm")</f>
        <v>مه</v>
      </c>
      <c r="AD51" t="str">
        <f>IF(Table1[[#This Row],[Resigned]]="yes","former","active")</f>
        <v>active</v>
      </c>
    </row>
    <row r="52" spans="1:30" x14ac:dyDescent="0.3">
      <c r="A52" t="s">
        <v>169</v>
      </c>
      <c r="B52" t="s">
        <v>170</v>
      </c>
      <c r="C52" t="s">
        <v>39</v>
      </c>
      <c r="D52">
        <v>58</v>
      </c>
      <c r="E52" t="s">
        <v>56</v>
      </c>
      <c r="F52" t="s">
        <v>84</v>
      </c>
      <c r="G52" t="s">
        <v>49</v>
      </c>
      <c r="H52" t="s">
        <v>31</v>
      </c>
      <c r="I52" t="s">
        <v>43</v>
      </c>
      <c r="J52" s="1">
        <v>45384</v>
      </c>
      <c r="K52">
        <v>2</v>
      </c>
      <c r="L52">
        <v>55796614</v>
      </c>
      <c r="M52">
        <v>7626847</v>
      </c>
      <c r="N52" t="s">
        <v>34</v>
      </c>
      <c r="O52">
        <v>3.03</v>
      </c>
      <c r="P52">
        <v>57</v>
      </c>
      <c r="Q52">
        <v>5</v>
      </c>
      <c r="R52">
        <v>4</v>
      </c>
      <c r="S52">
        <v>3</v>
      </c>
      <c r="T52" t="s">
        <v>34</v>
      </c>
      <c r="U52" t="s">
        <v>34</v>
      </c>
      <c r="V52" t="s">
        <v>70</v>
      </c>
      <c r="W52" t="s">
        <v>33</v>
      </c>
      <c r="X52" t="s">
        <v>36</v>
      </c>
      <c r="Z52" t="str">
        <f>IF(Table1[[#This Row],[Age]]&lt;30,"20-29",IF(Table1[[#This Row],[Age]]&lt;40,"30-39",IF(Table1[[#This Row],[Age]]&lt;50,"40-49","50+")))</f>
        <v>50+</v>
      </c>
      <c r="AA52" t="str">
        <f>IF(Table1[[#This Row],[Salary]]&lt;20000000,"low",IF(Table1[[#This Row],[Salary]]&lt;40000000,"medium","high"))</f>
        <v>high</v>
      </c>
      <c r="AB52">
        <f>YEAR(Table1[[#This Row],[Hire Date]])</f>
        <v>2024</v>
      </c>
      <c r="AC52" t="str">
        <f>TEXT(Table1[[#This Row],[Hire Date]],"mmmm")</f>
        <v>آوريل</v>
      </c>
      <c r="AD52" t="str">
        <f>IF(Table1[[#This Row],[Resigned]]="yes","former","active")</f>
        <v>active</v>
      </c>
    </row>
    <row r="53" spans="1:30" x14ac:dyDescent="0.3">
      <c r="A53" t="s">
        <v>171</v>
      </c>
      <c r="B53" t="s">
        <v>172</v>
      </c>
      <c r="C53" t="s">
        <v>27</v>
      </c>
      <c r="D53">
        <v>23</v>
      </c>
      <c r="E53" t="s">
        <v>63</v>
      </c>
      <c r="F53" t="s">
        <v>64</v>
      </c>
      <c r="G53" t="s">
        <v>58</v>
      </c>
      <c r="H53" t="s">
        <v>31</v>
      </c>
      <c r="I53" t="s">
        <v>50</v>
      </c>
      <c r="J53" s="1">
        <v>43207</v>
      </c>
      <c r="K53">
        <v>8</v>
      </c>
      <c r="L53">
        <v>47772033</v>
      </c>
      <c r="M53">
        <v>6826806</v>
      </c>
      <c r="N53" t="s">
        <v>34</v>
      </c>
      <c r="O53">
        <v>3.86</v>
      </c>
      <c r="P53">
        <v>8</v>
      </c>
      <c r="Q53">
        <v>3</v>
      </c>
      <c r="R53">
        <v>2</v>
      </c>
      <c r="S53">
        <v>15</v>
      </c>
      <c r="T53" t="s">
        <v>33</v>
      </c>
      <c r="U53" t="s">
        <v>33</v>
      </c>
      <c r="V53" t="s">
        <v>51</v>
      </c>
      <c r="W53" t="s">
        <v>33</v>
      </c>
      <c r="X53" t="s">
        <v>52</v>
      </c>
      <c r="Y53" t="s">
        <v>162</v>
      </c>
      <c r="Z53" t="str">
        <f>IF(Table1[[#This Row],[Age]]&lt;30,"20-29",IF(Table1[[#This Row],[Age]]&lt;40,"30-39",IF(Table1[[#This Row],[Age]]&lt;50,"40-49","50+")))</f>
        <v>20-29</v>
      </c>
      <c r="AA53" t="str">
        <f>IF(Table1[[#This Row],[Salary]]&lt;20000000,"low",IF(Table1[[#This Row],[Salary]]&lt;40000000,"medium","high"))</f>
        <v>high</v>
      </c>
      <c r="AB53">
        <f>YEAR(Table1[[#This Row],[Hire Date]])</f>
        <v>2018</v>
      </c>
      <c r="AC53" t="str">
        <f>TEXT(Table1[[#This Row],[Hire Date]],"mmmm")</f>
        <v>آوريل</v>
      </c>
      <c r="AD53" t="str">
        <f>IF(Table1[[#This Row],[Resigned]]="yes","former","active")</f>
        <v>former</v>
      </c>
    </row>
    <row r="54" spans="1:30" x14ac:dyDescent="0.3">
      <c r="A54" t="s">
        <v>173</v>
      </c>
      <c r="B54" t="s">
        <v>174</v>
      </c>
      <c r="C54" t="s">
        <v>39</v>
      </c>
      <c r="D54">
        <v>28</v>
      </c>
      <c r="E54" t="s">
        <v>63</v>
      </c>
      <c r="F54" t="s">
        <v>64</v>
      </c>
      <c r="G54" t="s">
        <v>49</v>
      </c>
      <c r="H54" t="s">
        <v>31</v>
      </c>
      <c r="I54" t="s">
        <v>81</v>
      </c>
      <c r="J54" s="1">
        <v>45162</v>
      </c>
      <c r="K54">
        <v>3</v>
      </c>
      <c r="L54">
        <v>51969876</v>
      </c>
      <c r="M54">
        <v>2339142</v>
      </c>
      <c r="N54" t="s">
        <v>34</v>
      </c>
      <c r="O54">
        <v>3.64</v>
      </c>
      <c r="P54">
        <v>17</v>
      </c>
      <c r="Q54">
        <v>1</v>
      </c>
      <c r="R54">
        <v>1</v>
      </c>
      <c r="S54">
        <v>18</v>
      </c>
      <c r="T54" t="s">
        <v>33</v>
      </c>
      <c r="U54" t="s">
        <v>34</v>
      </c>
      <c r="V54" t="s">
        <v>70</v>
      </c>
      <c r="W54" t="s">
        <v>34</v>
      </c>
      <c r="X54" t="s">
        <v>36</v>
      </c>
      <c r="Z54" t="str">
        <f>IF(Table1[[#This Row],[Age]]&lt;30,"20-29",IF(Table1[[#This Row],[Age]]&lt;40,"30-39",IF(Table1[[#This Row],[Age]]&lt;50,"40-49","50+")))</f>
        <v>20-29</v>
      </c>
      <c r="AA54" t="str">
        <f>IF(Table1[[#This Row],[Salary]]&lt;20000000,"low",IF(Table1[[#This Row],[Salary]]&lt;40000000,"medium","high"))</f>
        <v>high</v>
      </c>
      <c r="AB54">
        <f>YEAR(Table1[[#This Row],[Hire Date]])</f>
        <v>2023</v>
      </c>
      <c r="AC54" t="str">
        <f>TEXT(Table1[[#This Row],[Hire Date]],"mmmm")</f>
        <v>اوت</v>
      </c>
      <c r="AD54" t="str">
        <f>IF(Table1[[#This Row],[Resigned]]="yes","former","active")</f>
        <v>active</v>
      </c>
    </row>
    <row r="55" spans="1:30" x14ac:dyDescent="0.3">
      <c r="A55" t="s">
        <v>175</v>
      </c>
      <c r="B55" t="s">
        <v>176</v>
      </c>
      <c r="C55" t="s">
        <v>27</v>
      </c>
      <c r="D55">
        <v>31</v>
      </c>
      <c r="E55" t="s">
        <v>110</v>
      </c>
      <c r="F55" t="s">
        <v>111</v>
      </c>
      <c r="G55" t="s">
        <v>49</v>
      </c>
      <c r="H55" t="s">
        <v>42</v>
      </c>
      <c r="I55" t="s">
        <v>43</v>
      </c>
      <c r="J55" s="1">
        <v>42585</v>
      </c>
      <c r="K55">
        <v>10</v>
      </c>
      <c r="L55">
        <v>56305055</v>
      </c>
      <c r="M55">
        <v>5018843</v>
      </c>
      <c r="N55" t="s">
        <v>33</v>
      </c>
      <c r="O55">
        <v>3.93</v>
      </c>
      <c r="P55">
        <v>27</v>
      </c>
      <c r="Q55">
        <v>2</v>
      </c>
      <c r="R55">
        <v>1</v>
      </c>
      <c r="S55">
        <v>4</v>
      </c>
      <c r="T55" t="s">
        <v>34</v>
      </c>
      <c r="U55" t="s">
        <v>33</v>
      </c>
      <c r="V55" t="s">
        <v>59</v>
      </c>
      <c r="W55" t="s">
        <v>33</v>
      </c>
      <c r="X55" t="s">
        <v>36</v>
      </c>
      <c r="Y55" t="s">
        <v>53</v>
      </c>
      <c r="Z55" t="str">
        <f>IF(Table1[[#This Row],[Age]]&lt;30,"20-29",IF(Table1[[#This Row],[Age]]&lt;40,"30-39",IF(Table1[[#This Row],[Age]]&lt;50,"40-49","50+")))</f>
        <v>30-39</v>
      </c>
      <c r="AA55" t="str">
        <f>IF(Table1[[#This Row],[Salary]]&lt;20000000,"low",IF(Table1[[#This Row],[Salary]]&lt;40000000,"medium","high"))</f>
        <v>high</v>
      </c>
      <c r="AB55">
        <f>YEAR(Table1[[#This Row],[Hire Date]])</f>
        <v>2016</v>
      </c>
      <c r="AC55" t="str">
        <f>TEXT(Table1[[#This Row],[Hire Date]],"mmmm")</f>
        <v>اوت</v>
      </c>
      <c r="AD55" t="str">
        <f>IF(Table1[[#This Row],[Resigned]]="yes","former","active")</f>
        <v>former</v>
      </c>
    </row>
    <row r="56" spans="1:30" x14ac:dyDescent="0.3">
      <c r="A56" t="s">
        <v>177</v>
      </c>
      <c r="B56" t="s">
        <v>178</v>
      </c>
      <c r="C56" t="s">
        <v>27</v>
      </c>
      <c r="D56">
        <v>35</v>
      </c>
      <c r="E56" t="s">
        <v>110</v>
      </c>
      <c r="F56" t="s">
        <v>111</v>
      </c>
      <c r="G56" t="s">
        <v>49</v>
      </c>
      <c r="H56" t="s">
        <v>31</v>
      </c>
      <c r="I56" t="s">
        <v>81</v>
      </c>
      <c r="J56" s="1">
        <v>43962</v>
      </c>
      <c r="K56">
        <v>6</v>
      </c>
      <c r="L56">
        <v>18263031</v>
      </c>
      <c r="M56">
        <v>6333162</v>
      </c>
      <c r="N56" t="s">
        <v>34</v>
      </c>
      <c r="O56">
        <v>3.97</v>
      </c>
      <c r="P56">
        <v>29</v>
      </c>
      <c r="Q56">
        <v>4</v>
      </c>
      <c r="R56">
        <v>2</v>
      </c>
      <c r="S56">
        <v>12</v>
      </c>
      <c r="T56" t="s">
        <v>34</v>
      </c>
      <c r="U56" t="s">
        <v>34</v>
      </c>
      <c r="V56" t="s">
        <v>59</v>
      </c>
      <c r="W56" t="s">
        <v>33</v>
      </c>
      <c r="X56" t="s">
        <v>52</v>
      </c>
      <c r="Z56" t="str">
        <f>IF(Table1[[#This Row],[Age]]&lt;30,"20-29",IF(Table1[[#This Row],[Age]]&lt;40,"30-39",IF(Table1[[#This Row],[Age]]&lt;50,"40-49","50+")))</f>
        <v>30-39</v>
      </c>
      <c r="AA56" t="str">
        <f>IF(Table1[[#This Row],[Salary]]&lt;20000000,"low",IF(Table1[[#This Row],[Salary]]&lt;40000000,"medium","high"))</f>
        <v>low</v>
      </c>
      <c r="AB56">
        <f>YEAR(Table1[[#This Row],[Hire Date]])</f>
        <v>2020</v>
      </c>
      <c r="AC56" t="str">
        <f>TEXT(Table1[[#This Row],[Hire Date]],"mmmm")</f>
        <v>مه</v>
      </c>
      <c r="AD56" t="str">
        <f>IF(Table1[[#This Row],[Resigned]]="yes","former","active")</f>
        <v>active</v>
      </c>
    </row>
    <row r="57" spans="1:30" x14ac:dyDescent="0.3">
      <c r="A57" t="s">
        <v>179</v>
      </c>
      <c r="B57" t="s">
        <v>180</v>
      </c>
      <c r="C57" t="s">
        <v>27</v>
      </c>
      <c r="D57">
        <v>50</v>
      </c>
      <c r="E57" t="s">
        <v>110</v>
      </c>
      <c r="F57" t="s">
        <v>120</v>
      </c>
      <c r="G57" t="s">
        <v>58</v>
      </c>
      <c r="H57" t="s">
        <v>31</v>
      </c>
      <c r="I57" t="s">
        <v>32</v>
      </c>
      <c r="J57" s="1">
        <v>45859</v>
      </c>
      <c r="K57">
        <v>1</v>
      </c>
      <c r="L57">
        <v>21827476</v>
      </c>
      <c r="M57">
        <v>2192073</v>
      </c>
      <c r="N57" t="s">
        <v>33</v>
      </c>
      <c r="O57">
        <v>2.94</v>
      </c>
      <c r="P57">
        <v>34</v>
      </c>
      <c r="Q57">
        <v>2</v>
      </c>
      <c r="R57">
        <v>5</v>
      </c>
      <c r="S57">
        <v>14</v>
      </c>
      <c r="T57" t="s">
        <v>34</v>
      </c>
      <c r="U57" t="s">
        <v>34</v>
      </c>
      <c r="V57" t="s">
        <v>51</v>
      </c>
      <c r="W57" t="s">
        <v>33</v>
      </c>
      <c r="X57" t="s">
        <v>52</v>
      </c>
      <c r="Z57" t="str">
        <f>IF(Table1[[#This Row],[Age]]&lt;30,"20-29",IF(Table1[[#This Row],[Age]]&lt;40,"30-39",IF(Table1[[#This Row],[Age]]&lt;50,"40-49","50+")))</f>
        <v>50+</v>
      </c>
      <c r="AA57" t="str">
        <f>IF(Table1[[#This Row],[Salary]]&lt;20000000,"low",IF(Table1[[#This Row],[Salary]]&lt;40000000,"medium","high"))</f>
        <v>medium</v>
      </c>
      <c r="AB57">
        <f>YEAR(Table1[[#This Row],[Hire Date]])</f>
        <v>2025</v>
      </c>
      <c r="AC57" t="str">
        <f>TEXT(Table1[[#This Row],[Hire Date]],"mmmm")</f>
        <v>ژوئيه</v>
      </c>
      <c r="AD57" t="str">
        <f>IF(Table1[[#This Row],[Resigned]]="yes","former","active")</f>
        <v>active</v>
      </c>
    </row>
    <row r="58" spans="1:30" x14ac:dyDescent="0.3">
      <c r="A58" t="s">
        <v>181</v>
      </c>
      <c r="B58" t="s">
        <v>182</v>
      </c>
      <c r="C58" t="s">
        <v>39</v>
      </c>
      <c r="D58">
        <v>50</v>
      </c>
      <c r="E58" t="s">
        <v>73</v>
      </c>
      <c r="F58" t="s">
        <v>127</v>
      </c>
      <c r="G58" t="s">
        <v>49</v>
      </c>
      <c r="H58" t="s">
        <v>42</v>
      </c>
      <c r="I58" t="s">
        <v>43</v>
      </c>
      <c r="J58" s="1">
        <v>45838</v>
      </c>
      <c r="K58">
        <v>1</v>
      </c>
      <c r="L58">
        <v>37389421</v>
      </c>
      <c r="M58">
        <v>4212516</v>
      </c>
      <c r="N58" t="s">
        <v>34</v>
      </c>
      <c r="O58">
        <v>4.92</v>
      </c>
      <c r="P58">
        <v>69</v>
      </c>
      <c r="Q58">
        <v>5</v>
      </c>
      <c r="R58">
        <v>5</v>
      </c>
      <c r="S58">
        <v>18</v>
      </c>
      <c r="T58" t="s">
        <v>34</v>
      </c>
      <c r="U58" t="s">
        <v>34</v>
      </c>
      <c r="V58" t="s">
        <v>35</v>
      </c>
      <c r="W58" t="s">
        <v>33</v>
      </c>
      <c r="X58" t="s">
        <v>45</v>
      </c>
      <c r="Z58" t="str">
        <f>IF(Table1[[#This Row],[Age]]&lt;30,"20-29",IF(Table1[[#This Row],[Age]]&lt;40,"30-39",IF(Table1[[#This Row],[Age]]&lt;50,"40-49","50+")))</f>
        <v>50+</v>
      </c>
      <c r="AA58" t="str">
        <f>IF(Table1[[#This Row],[Salary]]&lt;20000000,"low",IF(Table1[[#This Row],[Salary]]&lt;40000000,"medium","high"))</f>
        <v>medium</v>
      </c>
      <c r="AB58">
        <f>YEAR(Table1[[#This Row],[Hire Date]])</f>
        <v>2025</v>
      </c>
      <c r="AC58" t="str">
        <f>TEXT(Table1[[#This Row],[Hire Date]],"mmmm")</f>
        <v>ژوئن</v>
      </c>
      <c r="AD58" t="str">
        <f>IF(Table1[[#This Row],[Resigned]]="yes","former","active")</f>
        <v>active</v>
      </c>
    </row>
    <row r="59" spans="1:30" x14ac:dyDescent="0.3">
      <c r="A59" t="s">
        <v>183</v>
      </c>
      <c r="B59" t="s">
        <v>184</v>
      </c>
      <c r="C59" t="s">
        <v>27</v>
      </c>
      <c r="D59">
        <v>50</v>
      </c>
      <c r="E59" t="s">
        <v>63</v>
      </c>
      <c r="F59" t="s">
        <v>93</v>
      </c>
      <c r="G59" t="s">
        <v>49</v>
      </c>
      <c r="H59" t="s">
        <v>42</v>
      </c>
      <c r="I59" t="s">
        <v>32</v>
      </c>
      <c r="J59" s="1">
        <v>44871</v>
      </c>
      <c r="K59">
        <v>4</v>
      </c>
      <c r="L59">
        <v>33016435</v>
      </c>
      <c r="M59">
        <v>903878</v>
      </c>
      <c r="N59" t="s">
        <v>33</v>
      </c>
      <c r="O59">
        <v>2.78</v>
      </c>
      <c r="P59">
        <v>36</v>
      </c>
      <c r="Q59">
        <v>5</v>
      </c>
      <c r="R59">
        <v>5</v>
      </c>
      <c r="S59">
        <v>16</v>
      </c>
      <c r="T59" t="s">
        <v>34</v>
      </c>
      <c r="U59" t="s">
        <v>33</v>
      </c>
      <c r="V59" t="s">
        <v>35</v>
      </c>
      <c r="W59" t="s">
        <v>34</v>
      </c>
      <c r="X59" t="s">
        <v>36</v>
      </c>
      <c r="Y59" t="s">
        <v>75</v>
      </c>
      <c r="Z59" t="str">
        <f>IF(Table1[[#This Row],[Age]]&lt;30,"20-29",IF(Table1[[#This Row],[Age]]&lt;40,"30-39",IF(Table1[[#This Row],[Age]]&lt;50,"40-49","50+")))</f>
        <v>50+</v>
      </c>
      <c r="AA59" t="str">
        <f>IF(Table1[[#This Row],[Salary]]&lt;20000000,"low",IF(Table1[[#This Row],[Salary]]&lt;40000000,"medium","high"))</f>
        <v>medium</v>
      </c>
      <c r="AB59">
        <f>YEAR(Table1[[#This Row],[Hire Date]])</f>
        <v>2022</v>
      </c>
      <c r="AC59" t="str">
        <f>TEXT(Table1[[#This Row],[Hire Date]],"mmmm")</f>
        <v>نوامبر</v>
      </c>
      <c r="AD59" t="str">
        <f>IF(Table1[[#This Row],[Resigned]]="yes","former","active")</f>
        <v>former</v>
      </c>
    </row>
    <row r="60" spans="1:30" x14ac:dyDescent="0.3">
      <c r="A60" t="s">
        <v>185</v>
      </c>
      <c r="B60" t="s">
        <v>186</v>
      </c>
      <c r="C60" t="s">
        <v>27</v>
      </c>
      <c r="D60">
        <v>45</v>
      </c>
      <c r="E60" t="s">
        <v>73</v>
      </c>
      <c r="F60" t="s">
        <v>127</v>
      </c>
      <c r="G60" t="s">
        <v>30</v>
      </c>
      <c r="H60" t="s">
        <v>42</v>
      </c>
      <c r="I60" t="s">
        <v>43</v>
      </c>
      <c r="J60" s="1">
        <v>43503</v>
      </c>
      <c r="K60">
        <v>7</v>
      </c>
      <c r="L60">
        <v>39750440</v>
      </c>
      <c r="M60">
        <v>5944156</v>
      </c>
      <c r="N60" t="s">
        <v>34</v>
      </c>
      <c r="O60">
        <v>3.61</v>
      </c>
      <c r="P60">
        <v>33</v>
      </c>
      <c r="Q60">
        <v>3</v>
      </c>
      <c r="R60">
        <v>3</v>
      </c>
      <c r="S60">
        <v>17</v>
      </c>
      <c r="T60" t="s">
        <v>33</v>
      </c>
      <c r="U60" t="s">
        <v>34</v>
      </c>
      <c r="V60" t="s">
        <v>59</v>
      </c>
      <c r="W60" t="s">
        <v>34</v>
      </c>
      <c r="X60" t="s">
        <v>52</v>
      </c>
      <c r="Z60" t="str">
        <f>IF(Table1[[#This Row],[Age]]&lt;30,"20-29",IF(Table1[[#This Row],[Age]]&lt;40,"30-39",IF(Table1[[#This Row],[Age]]&lt;50,"40-49","50+")))</f>
        <v>40-49</v>
      </c>
      <c r="AA60" t="str">
        <f>IF(Table1[[#This Row],[Salary]]&lt;20000000,"low",IF(Table1[[#This Row],[Salary]]&lt;40000000,"medium","high"))</f>
        <v>medium</v>
      </c>
      <c r="AB60">
        <f>YEAR(Table1[[#This Row],[Hire Date]])</f>
        <v>2019</v>
      </c>
      <c r="AC60" t="str">
        <f>TEXT(Table1[[#This Row],[Hire Date]],"mmmm")</f>
        <v>فوريه</v>
      </c>
      <c r="AD60" t="str">
        <f>IF(Table1[[#This Row],[Resigned]]="yes","former","active")</f>
        <v>active</v>
      </c>
    </row>
    <row r="61" spans="1:30" x14ac:dyDescent="0.3">
      <c r="A61" t="s">
        <v>187</v>
      </c>
      <c r="B61" t="s">
        <v>188</v>
      </c>
      <c r="C61" t="s">
        <v>39</v>
      </c>
      <c r="D61">
        <v>35</v>
      </c>
      <c r="E61" t="s">
        <v>28</v>
      </c>
      <c r="F61" t="s">
        <v>29</v>
      </c>
      <c r="G61" t="s">
        <v>49</v>
      </c>
      <c r="H61" t="s">
        <v>31</v>
      </c>
      <c r="I61" t="s">
        <v>50</v>
      </c>
      <c r="J61" s="1">
        <v>45721</v>
      </c>
      <c r="K61">
        <v>1</v>
      </c>
      <c r="L61">
        <v>22219519</v>
      </c>
      <c r="M61">
        <v>8024524</v>
      </c>
      <c r="N61" t="s">
        <v>33</v>
      </c>
      <c r="O61">
        <v>3.92</v>
      </c>
      <c r="P61">
        <v>71</v>
      </c>
      <c r="Q61">
        <v>3</v>
      </c>
      <c r="R61">
        <v>2</v>
      </c>
      <c r="S61">
        <v>6</v>
      </c>
      <c r="T61" t="s">
        <v>33</v>
      </c>
      <c r="U61" t="s">
        <v>34</v>
      </c>
      <c r="V61" t="s">
        <v>35</v>
      </c>
      <c r="W61" t="s">
        <v>33</v>
      </c>
      <c r="X61" t="s">
        <v>52</v>
      </c>
      <c r="Z61" t="str">
        <f>IF(Table1[[#This Row],[Age]]&lt;30,"20-29",IF(Table1[[#This Row],[Age]]&lt;40,"30-39",IF(Table1[[#This Row],[Age]]&lt;50,"40-49","50+")))</f>
        <v>30-39</v>
      </c>
      <c r="AA61" t="str">
        <f>IF(Table1[[#This Row],[Salary]]&lt;20000000,"low",IF(Table1[[#This Row],[Salary]]&lt;40000000,"medium","high"))</f>
        <v>medium</v>
      </c>
      <c r="AB61">
        <f>YEAR(Table1[[#This Row],[Hire Date]])</f>
        <v>2025</v>
      </c>
      <c r="AC61" t="str">
        <f>TEXT(Table1[[#This Row],[Hire Date]],"mmmm")</f>
        <v>مارس</v>
      </c>
      <c r="AD61" t="str">
        <f>IF(Table1[[#This Row],[Resigned]]="yes","former","active")</f>
        <v>active</v>
      </c>
    </row>
    <row r="62" spans="1:30" x14ac:dyDescent="0.3">
      <c r="A62" t="s">
        <v>189</v>
      </c>
      <c r="B62" t="s">
        <v>190</v>
      </c>
      <c r="C62" t="s">
        <v>39</v>
      </c>
      <c r="D62">
        <v>37</v>
      </c>
      <c r="E62" t="s">
        <v>28</v>
      </c>
      <c r="F62" t="s">
        <v>29</v>
      </c>
      <c r="G62" t="s">
        <v>49</v>
      </c>
      <c r="H62" t="s">
        <v>42</v>
      </c>
      <c r="I62" t="s">
        <v>32</v>
      </c>
      <c r="J62" s="1">
        <v>42712</v>
      </c>
      <c r="K62">
        <v>10</v>
      </c>
      <c r="L62">
        <v>22426534</v>
      </c>
      <c r="M62">
        <v>6222013</v>
      </c>
      <c r="N62" t="s">
        <v>33</v>
      </c>
      <c r="O62">
        <v>4.71</v>
      </c>
      <c r="P62">
        <v>46</v>
      </c>
      <c r="Q62">
        <v>2</v>
      </c>
      <c r="R62">
        <v>1</v>
      </c>
      <c r="S62">
        <v>20</v>
      </c>
      <c r="T62" t="s">
        <v>34</v>
      </c>
      <c r="U62" t="s">
        <v>34</v>
      </c>
      <c r="V62" t="s">
        <v>59</v>
      </c>
      <c r="W62" t="s">
        <v>34</v>
      </c>
      <c r="X62" t="s">
        <v>45</v>
      </c>
      <c r="Z62" t="str">
        <f>IF(Table1[[#This Row],[Age]]&lt;30,"20-29",IF(Table1[[#This Row],[Age]]&lt;40,"30-39",IF(Table1[[#This Row],[Age]]&lt;50,"40-49","50+")))</f>
        <v>30-39</v>
      </c>
      <c r="AA62" t="str">
        <f>IF(Table1[[#This Row],[Salary]]&lt;20000000,"low",IF(Table1[[#This Row],[Salary]]&lt;40000000,"medium","high"))</f>
        <v>medium</v>
      </c>
      <c r="AB62">
        <f>YEAR(Table1[[#This Row],[Hire Date]])</f>
        <v>2016</v>
      </c>
      <c r="AC62" t="str">
        <f>TEXT(Table1[[#This Row],[Hire Date]],"mmmm")</f>
        <v>دسامبر</v>
      </c>
      <c r="AD62" t="str">
        <f>IF(Table1[[#This Row],[Resigned]]="yes","former","active")</f>
        <v>active</v>
      </c>
    </row>
    <row r="63" spans="1:30" x14ac:dyDescent="0.3">
      <c r="A63" t="s">
        <v>191</v>
      </c>
      <c r="B63" t="s">
        <v>192</v>
      </c>
      <c r="C63" t="s">
        <v>39</v>
      </c>
      <c r="D63">
        <v>36</v>
      </c>
      <c r="E63" t="s">
        <v>63</v>
      </c>
      <c r="F63" t="s">
        <v>93</v>
      </c>
      <c r="G63" t="s">
        <v>58</v>
      </c>
      <c r="H63" t="s">
        <v>31</v>
      </c>
      <c r="I63" t="s">
        <v>81</v>
      </c>
      <c r="J63" s="1">
        <v>44162</v>
      </c>
      <c r="K63">
        <v>6</v>
      </c>
      <c r="L63">
        <v>51031579</v>
      </c>
      <c r="M63">
        <v>5738972</v>
      </c>
      <c r="N63" t="s">
        <v>34</v>
      </c>
      <c r="O63">
        <v>3.42</v>
      </c>
      <c r="P63">
        <v>71</v>
      </c>
      <c r="Q63">
        <v>3</v>
      </c>
      <c r="R63">
        <v>5</v>
      </c>
      <c r="S63">
        <v>17</v>
      </c>
      <c r="T63" t="s">
        <v>33</v>
      </c>
      <c r="U63" t="s">
        <v>33</v>
      </c>
      <c r="V63" t="s">
        <v>35</v>
      </c>
      <c r="W63" t="s">
        <v>34</v>
      </c>
      <c r="X63" t="s">
        <v>52</v>
      </c>
      <c r="Y63" t="s">
        <v>60</v>
      </c>
      <c r="Z63" t="str">
        <f>IF(Table1[[#This Row],[Age]]&lt;30,"20-29",IF(Table1[[#This Row],[Age]]&lt;40,"30-39",IF(Table1[[#This Row],[Age]]&lt;50,"40-49","50+")))</f>
        <v>30-39</v>
      </c>
      <c r="AA63" t="str">
        <f>IF(Table1[[#This Row],[Salary]]&lt;20000000,"low",IF(Table1[[#This Row],[Salary]]&lt;40000000,"medium","high"))</f>
        <v>high</v>
      </c>
      <c r="AB63">
        <f>YEAR(Table1[[#This Row],[Hire Date]])</f>
        <v>2020</v>
      </c>
      <c r="AC63" t="str">
        <f>TEXT(Table1[[#This Row],[Hire Date]],"mmmm")</f>
        <v>نوامبر</v>
      </c>
      <c r="AD63" t="str">
        <f>IF(Table1[[#This Row],[Resigned]]="yes","former","active")</f>
        <v>former</v>
      </c>
    </row>
    <row r="64" spans="1:30" x14ac:dyDescent="0.3">
      <c r="A64" t="s">
        <v>193</v>
      </c>
      <c r="B64" t="s">
        <v>194</v>
      </c>
      <c r="C64" t="s">
        <v>39</v>
      </c>
      <c r="D64">
        <v>52</v>
      </c>
      <c r="E64" t="s">
        <v>63</v>
      </c>
      <c r="F64" t="s">
        <v>93</v>
      </c>
      <c r="G64" t="s">
        <v>58</v>
      </c>
      <c r="H64" t="s">
        <v>31</v>
      </c>
      <c r="I64" t="s">
        <v>50</v>
      </c>
      <c r="J64" s="1">
        <v>45296</v>
      </c>
      <c r="K64">
        <v>2</v>
      </c>
      <c r="L64">
        <v>21246679</v>
      </c>
      <c r="M64">
        <v>291606</v>
      </c>
      <c r="N64" t="s">
        <v>33</v>
      </c>
      <c r="O64">
        <v>4.58</v>
      </c>
      <c r="P64">
        <v>56</v>
      </c>
      <c r="Q64">
        <v>2</v>
      </c>
      <c r="R64">
        <v>4</v>
      </c>
      <c r="S64">
        <v>11</v>
      </c>
      <c r="T64" t="s">
        <v>34</v>
      </c>
      <c r="U64" t="s">
        <v>34</v>
      </c>
      <c r="V64" t="s">
        <v>35</v>
      </c>
      <c r="W64" t="s">
        <v>34</v>
      </c>
      <c r="X64" t="s">
        <v>52</v>
      </c>
      <c r="Z64" t="str">
        <f>IF(Table1[[#This Row],[Age]]&lt;30,"20-29",IF(Table1[[#This Row],[Age]]&lt;40,"30-39",IF(Table1[[#This Row],[Age]]&lt;50,"40-49","50+")))</f>
        <v>50+</v>
      </c>
      <c r="AA64" t="str">
        <f>IF(Table1[[#This Row],[Salary]]&lt;20000000,"low",IF(Table1[[#This Row],[Salary]]&lt;40000000,"medium","high"))</f>
        <v>medium</v>
      </c>
      <c r="AB64">
        <f>YEAR(Table1[[#This Row],[Hire Date]])</f>
        <v>2024</v>
      </c>
      <c r="AC64" t="str">
        <f>TEXT(Table1[[#This Row],[Hire Date]],"mmmm")</f>
        <v>ژانويه</v>
      </c>
      <c r="AD64" t="str">
        <f>IF(Table1[[#This Row],[Resigned]]="yes","former","active")</f>
        <v>active</v>
      </c>
    </row>
    <row r="65" spans="1:30" x14ac:dyDescent="0.3">
      <c r="A65" t="s">
        <v>195</v>
      </c>
      <c r="B65" t="s">
        <v>196</v>
      </c>
      <c r="C65" t="s">
        <v>39</v>
      </c>
      <c r="D65">
        <v>33</v>
      </c>
      <c r="E65" t="s">
        <v>63</v>
      </c>
      <c r="F65" t="s">
        <v>93</v>
      </c>
      <c r="G65" t="s">
        <v>49</v>
      </c>
      <c r="H65" t="s">
        <v>31</v>
      </c>
      <c r="I65" t="s">
        <v>50</v>
      </c>
      <c r="J65" s="1">
        <v>42908</v>
      </c>
      <c r="K65">
        <v>9</v>
      </c>
      <c r="L65">
        <v>59849267</v>
      </c>
      <c r="M65">
        <v>2101574</v>
      </c>
      <c r="N65" t="s">
        <v>34</v>
      </c>
      <c r="O65">
        <v>3.59</v>
      </c>
      <c r="P65">
        <v>10</v>
      </c>
      <c r="Q65">
        <v>5</v>
      </c>
      <c r="R65">
        <v>5</v>
      </c>
      <c r="S65">
        <v>9</v>
      </c>
      <c r="T65" t="s">
        <v>33</v>
      </c>
      <c r="U65" t="s">
        <v>34</v>
      </c>
      <c r="V65" t="s">
        <v>35</v>
      </c>
      <c r="W65" t="s">
        <v>34</v>
      </c>
      <c r="X65" t="s">
        <v>36</v>
      </c>
      <c r="Z65" t="str">
        <f>IF(Table1[[#This Row],[Age]]&lt;30,"20-29",IF(Table1[[#This Row],[Age]]&lt;40,"30-39",IF(Table1[[#This Row],[Age]]&lt;50,"40-49","50+")))</f>
        <v>30-39</v>
      </c>
      <c r="AA65" t="str">
        <f>IF(Table1[[#This Row],[Salary]]&lt;20000000,"low",IF(Table1[[#This Row],[Salary]]&lt;40000000,"medium","high"))</f>
        <v>high</v>
      </c>
      <c r="AB65">
        <f>YEAR(Table1[[#This Row],[Hire Date]])</f>
        <v>2017</v>
      </c>
      <c r="AC65" t="str">
        <f>TEXT(Table1[[#This Row],[Hire Date]],"mmmm")</f>
        <v>ژوئن</v>
      </c>
      <c r="AD65" t="str">
        <f>IF(Table1[[#This Row],[Resigned]]="yes","former","active")</f>
        <v>active</v>
      </c>
    </row>
    <row r="66" spans="1:30" x14ac:dyDescent="0.3">
      <c r="A66" t="s">
        <v>197</v>
      </c>
      <c r="B66" t="s">
        <v>198</v>
      </c>
      <c r="C66" t="s">
        <v>27</v>
      </c>
      <c r="D66">
        <v>46</v>
      </c>
      <c r="E66" t="s">
        <v>56</v>
      </c>
      <c r="F66" t="s">
        <v>84</v>
      </c>
      <c r="G66" t="s">
        <v>49</v>
      </c>
      <c r="H66" t="s">
        <v>42</v>
      </c>
      <c r="I66" t="s">
        <v>32</v>
      </c>
      <c r="J66" s="1">
        <v>43822</v>
      </c>
      <c r="K66">
        <v>7</v>
      </c>
      <c r="L66">
        <v>47001828</v>
      </c>
      <c r="M66">
        <v>6212849</v>
      </c>
      <c r="N66" t="s">
        <v>33</v>
      </c>
      <c r="O66">
        <v>2.93</v>
      </c>
      <c r="P66">
        <v>45</v>
      </c>
      <c r="Q66">
        <v>4</v>
      </c>
      <c r="R66">
        <v>5</v>
      </c>
      <c r="S66">
        <v>7</v>
      </c>
      <c r="T66" t="s">
        <v>34</v>
      </c>
      <c r="U66" t="s">
        <v>34</v>
      </c>
      <c r="V66" t="s">
        <v>51</v>
      </c>
      <c r="W66" t="s">
        <v>34</v>
      </c>
      <c r="X66" t="s">
        <v>45</v>
      </c>
      <c r="Z66" t="str">
        <f>IF(Table1[[#This Row],[Age]]&lt;30,"20-29",IF(Table1[[#This Row],[Age]]&lt;40,"30-39",IF(Table1[[#This Row],[Age]]&lt;50,"40-49","50+")))</f>
        <v>40-49</v>
      </c>
      <c r="AA66" t="str">
        <f>IF(Table1[[#This Row],[Salary]]&lt;20000000,"low",IF(Table1[[#This Row],[Salary]]&lt;40000000,"medium","high"))</f>
        <v>high</v>
      </c>
      <c r="AB66">
        <f>YEAR(Table1[[#This Row],[Hire Date]])</f>
        <v>2019</v>
      </c>
      <c r="AC66" t="str">
        <f>TEXT(Table1[[#This Row],[Hire Date]],"mmmm")</f>
        <v>دسامبر</v>
      </c>
      <c r="AD66" t="str">
        <f>IF(Table1[[#This Row],[Resigned]]="yes","former","active")</f>
        <v>active</v>
      </c>
    </row>
    <row r="67" spans="1:30" x14ac:dyDescent="0.3">
      <c r="A67" t="s">
        <v>199</v>
      </c>
      <c r="B67" t="s">
        <v>200</v>
      </c>
      <c r="C67" t="s">
        <v>27</v>
      </c>
      <c r="D67">
        <v>53</v>
      </c>
      <c r="E67" t="s">
        <v>56</v>
      </c>
      <c r="F67" t="s">
        <v>84</v>
      </c>
      <c r="G67" t="s">
        <v>30</v>
      </c>
      <c r="H67" t="s">
        <v>31</v>
      </c>
      <c r="I67" t="s">
        <v>43</v>
      </c>
      <c r="J67" s="1">
        <v>44310</v>
      </c>
      <c r="K67">
        <v>5</v>
      </c>
      <c r="L67">
        <v>25194502</v>
      </c>
      <c r="M67">
        <v>1991100</v>
      </c>
      <c r="N67" t="s">
        <v>33</v>
      </c>
      <c r="O67">
        <v>4.2300000000000004</v>
      </c>
      <c r="P67">
        <v>74</v>
      </c>
      <c r="Q67">
        <v>5</v>
      </c>
      <c r="R67">
        <v>5</v>
      </c>
      <c r="S67">
        <v>11</v>
      </c>
      <c r="T67" t="s">
        <v>33</v>
      </c>
      <c r="U67" t="s">
        <v>34</v>
      </c>
      <c r="V67" t="s">
        <v>35</v>
      </c>
      <c r="W67" t="s">
        <v>34</v>
      </c>
      <c r="X67" t="s">
        <v>36</v>
      </c>
      <c r="Z67" t="str">
        <f>IF(Table1[[#This Row],[Age]]&lt;30,"20-29",IF(Table1[[#This Row],[Age]]&lt;40,"30-39",IF(Table1[[#This Row],[Age]]&lt;50,"40-49","50+")))</f>
        <v>50+</v>
      </c>
      <c r="AA67" t="str">
        <f>IF(Table1[[#This Row],[Salary]]&lt;20000000,"low",IF(Table1[[#This Row],[Salary]]&lt;40000000,"medium","high"))</f>
        <v>medium</v>
      </c>
      <c r="AB67">
        <f>YEAR(Table1[[#This Row],[Hire Date]])</f>
        <v>2021</v>
      </c>
      <c r="AC67" t="str">
        <f>TEXT(Table1[[#This Row],[Hire Date]],"mmmm")</f>
        <v>آوريل</v>
      </c>
      <c r="AD67" t="str">
        <f>IF(Table1[[#This Row],[Resigned]]="yes","former","active")</f>
        <v>active</v>
      </c>
    </row>
    <row r="68" spans="1:30" x14ac:dyDescent="0.3">
      <c r="A68" t="s">
        <v>201</v>
      </c>
      <c r="B68" t="s">
        <v>202</v>
      </c>
      <c r="C68" t="s">
        <v>39</v>
      </c>
      <c r="D68">
        <v>32</v>
      </c>
      <c r="E68" t="s">
        <v>56</v>
      </c>
      <c r="F68" t="s">
        <v>57</v>
      </c>
      <c r="G68" t="s">
        <v>30</v>
      </c>
      <c r="H68" t="s">
        <v>31</v>
      </c>
      <c r="I68" t="s">
        <v>65</v>
      </c>
      <c r="J68" s="1">
        <v>45846</v>
      </c>
      <c r="K68">
        <v>1</v>
      </c>
      <c r="L68">
        <v>43659406</v>
      </c>
      <c r="M68">
        <v>9265706</v>
      </c>
      <c r="N68" t="s">
        <v>33</v>
      </c>
      <c r="O68">
        <v>3.47</v>
      </c>
      <c r="P68">
        <v>15</v>
      </c>
      <c r="Q68">
        <v>2</v>
      </c>
      <c r="R68">
        <v>1</v>
      </c>
      <c r="S68">
        <v>1</v>
      </c>
      <c r="T68" t="s">
        <v>33</v>
      </c>
      <c r="U68" t="s">
        <v>34</v>
      </c>
      <c r="V68" t="s">
        <v>59</v>
      </c>
      <c r="W68" t="s">
        <v>34</v>
      </c>
      <c r="X68" t="s">
        <v>52</v>
      </c>
      <c r="Z68" t="str">
        <f>IF(Table1[[#This Row],[Age]]&lt;30,"20-29",IF(Table1[[#This Row],[Age]]&lt;40,"30-39",IF(Table1[[#This Row],[Age]]&lt;50,"40-49","50+")))</f>
        <v>30-39</v>
      </c>
      <c r="AA68" t="str">
        <f>IF(Table1[[#This Row],[Salary]]&lt;20000000,"low",IF(Table1[[#This Row],[Salary]]&lt;40000000,"medium","high"))</f>
        <v>high</v>
      </c>
      <c r="AB68">
        <f>YEAR(Table1[[#This Row],[Hire Date]])</f>
        <v>2025</v>
      </c>
      <c r="AC68" t="str">
        <f>TEXT(Table1[[#This Row],[Hire Date]],"mmmm")</f>
        <v>ژوئيه</v>
      </c>
      <c r="AD68" t="str">
        <f>IF(Table1[[#This Row],[Resigned]]="yes","former","active")</f>
        <v>active</v>
      </c>
    </row>
    <row r="69" spans="1:30" x14ac:dyDescent="0.3">
      <c r="A69" t="s">
        <v>203</v>
      </c>
      <c r="B69" t="s">
        <v>204</v>
      </c>
      <c r="C69" t="s">
        <v>27</v>
      </c>
      <c r="D69">
        <v>50</v>
      </c>
      <c r="E69" t="s">
        <v>56</v>
      </c>
      <c r="F69" t="s">
        <v>84</v>
      </c>
      <c r="G69" t="s">
        <v>58</v>
      </c>
      <c r="H69" t="s">
        <v>42</v>
      </c>
      <c r="I69" t="s">
        <v>65</v>
      </c>
      <c r="J69" s="1">
        <v>44849</v>
      </c>
      <c r="K69">
        <v>4</v>
      </c>
      <c r="L69">
        <v>25485591</v>
      </c>
      <c r="M69">
        <v>4576492</v>
      </c>
      <c r="N69" t="s">
        <v>33</v>
      </c>
      <c r="O69">
        <v>4.4000000000000004</v>
      </c>
      <c r="P69">
        <v>70</v>
      </c>
      <c r="Q69">
        <v>3</v>
      </c>
      <c r="R69">
        <v>1</v>
      </c>
      <c r="S69">
        <v>13</v>
      </c>
      <c r="T69" t="s">
        <v>34</v>
      </c>
      <c r="U69" t="s">
        <v>34</v>
      </c>
      <c r="V69" t="s">
        <v>70</v>
      </c>
      <c r="W69" t="s">
        <v>34</v>
      </c>
      <c r="X69" t="s">
        <v>52</v>
      </c>
      <c r="Z69" t="str">
        <f>IF(Table1[[#This Row],[Age]]&lt;30,"20-29",IF(Table1[[#This Row],[Age]]&lt;40,"30-39",IF(Table1[[#This Row],[Age]]&lt;50,"40-49","50+")))</f>
        <v>50+</v>
      </c>
      <c r="AA69" t="str">
        <f>IF(Table1[[#This Row],[Salary]]&lt;20000000,"low",IF(Table1[[#This Row],[Salary]]&lt;40000000,"medium","high"))</f>
        <v>medium</v>
      </c>
      <c r="AB69">
        <f>YEAR(Table1[[#This Row],[Hire Date]])</f>
        <v>2022</v>
      </c>
      <c r="AC69" t="str">
        <f>TEXT(Table1[[#This Row],[Hire Date]],"mmmm")</f>
        <v>اُكتبر</v>
      </c>
      <c r="AD69" t="str">
        <f>IF(Table1[[#This Row],[Resigned]]="yes","former","active")</f>
        <v>active</v>
      </c>
    </row>
    <row r="70" spans="1:30" x14ac:dyDescent="0.3">
      <c r="A70" t="s">
        <v>205</v>
      </c>
      <c r="B70" t="s">
        <v>206</v>
      </c>
      <c r="C70" t="s">
        <v>39</v>
      </c>
      <c r="D70">
        <v>27</v>
      </c>
      <c r="E70" t="s">
        <v>110</v>
      </c>
      <c r="F70" t="s">
        <v>120</v>
      </c>
      <c r="G70" t="s">
        <v>30</v>
      </c>
      <c r="H70" t="s">
        <v>31</v>
      </c>
      <c r="I70" t="s">
        <v>32</v>
      </c>
      <c r="J70" s="1">
        <v>44114</v>
      </c>
      <c r="K70">
        <v>6</v>
      </c>
      <c r="L70">
        <v>36470512</v>
      </c>
      <c r="M70">
        <v>5919562</v>
      </c>
      <c r="N70" t="s">
        <v>33</v>
      </c>
      <c r="O70">
        <v>4.2300000000000004</v>
      </c>
      <c r="P70">
        <v>76</v>
      </c>
      <c r="Q70">
        <v>1</v>
      </c>
      <c r="R70">
        <v>5</v>
      </c>
      <c r="S70">
        <v>7</v>
      </c>
      <c r="T70" t="s">
        <v>33</v>
      </c>
      <c r="U70" t="s">
        <v>33</v>
      </c>
      <c r="V70" t="s">
        <v>44</v>
      </c>
      <c r="W70" t="s">
        <v>33</v>
      </c>
      <c r="X70" t="s">
        <v>36</v>
      </c>
      <c r="Y70" t="s">
        <v>75</v>
      </c>
      <c r="Z70" t="str">
        <f>IF(Table1[[#This Row],[Age]]&lt;30,"20-29",IF(Table1[[#This Row],[Age]]&lt;40,"30-39",IF(Table1[[#This Row],[Age]]&lt;50,"40-49","50+")))</f>
        <v>20-29</v>
      </c>
      <c r="AA70" t="str">
        <f>IF(Table1[[#This Row],[Salary]]&lt;20000000,"low",IF(Table1[[#This Row],[Salary]]&lt;40000000,"medium","high"))</f>
        <v>medium</v>
      </c>
      <c r="AB70">
        <f>YEAR(Table1[[#This Row],[Hire Date]])</f>
        <v>2020</v>
      </c>
      <c r="AC70" t="str">
        <f>TEXT(Table1[[#This Row],[Hire Date]],"mmmm")</f>
        <v>اُكتبر</v>
      </c>
      <c r="AD70" t="str">
        <f>IF(Table1[[#This Row],[Resigned]]="yes","former","active")</f>
        <v>former</v>
      </c>
    </row>
    <row r="71" spans="1:30" x14ac:dyDescent="0.3">
      <c r="A71" t="s">
        <v>207</v>
      </c>
      <c r="B71" t="s">
        <v>208</v>
      </c>
      <c r="C71" t="s">
        <v>27</v>
      </c>
      <c r="D71">
        <v>39</v>
      </c>
      <c r="E71" t="s">
        <v>73</v>
      </c>
      <c r="F71" t="s">
        <v>127</v>
      </c>
      <c r="G71" t="s">
        <v>49</v>
      </c>
      <c r="H71" t="s">
        <v>31</v>
      </c>
      <c r="I71" t="s">
        <v>81</v>
      </c>
      <c r="J71" s="1">
        <v>44725</v>
      </c>
      <c r="K71">
        <v>4</v>
      </c>
      <c r="L71">
        <v>43723117</v>
      </c>
      <c r="M71">
        <v>9753937</v>
      </c>
      <c r="N71" t="s">
        <v>33</v>
      </c>
      <c r="O71">
        <v>3.1</v>
      </c>
      <c r="P71">
        <v>63</v>
      </c>
      <c r="Q71">
        <v>4</v>
      </c>
      <c r="R71">
        <v>1</v>
      </c>
      <c r="S71">
        <v>16</v>
      </c>
      <c r="T71" t="s">
        <v>33</v>
      </c>
      <c r="U71" t="s">
        <v>34</v>
      </c>
      <c r="V71" t="s">
        <v>70</v>
      </c>
      <c r="W71" t="s">
        <v>34</v>
      </c>
      <c r="X71" t="s">
        <v>52</v>
      </c>
      <c r="Z71" t="str">
        <f>IF(Table1[[#This Row],[Age]]&lt;30,"20-29",IF(Table1[[#This Row],[Age]]&lt;40,"30-39",IF(Table1[[#This Row],[Age]]&lt;50,"40-49","50+")))</f>
        <v>30-39</v>
      </c>
      <c r="AA71" t="str">
        <f>IF(Table1[[#This Row],[Salary]]&lt;20000000,"low",IF(Table1[[#This Row],[Salary]]&lt;40000000,"medium","high"))</f>
        <v>high</v>
      </c>
      <c r="AB71">
        <f>YEAR(Table1[[#This Row],[Hire Date]])</f>
        <v>2022</v>
      </c>
      <c r="AC71" t="str">
        <f>TEXT(Table1[[#This Row],[Hire Date]],"mmmm")</f>
        <v>ژوئن</v>
      </c>
      <c r="AD71" t="str">
        <f>IF(Table1[[#This Row],[Resigned]]="yes","former","active")</f>
        <v>active</v>
      </c>
    </row>
    <row r="72" spans="1:30" x14ac:dyDescent="0.3">
      <c r="A72" t="s">
        <v>209</v>
      </c>
      <c r="B72" t="s">
        <v>210</v>
      </c>
      <c r="C72" t="s">
        <v>39</v>
      </c>
      <c r="D72">
        <v>29</v>
      </c>
      <c r="E72" t="s">
        <v>28</v>
      </c>
      <c r="F72" t="s">
        <v>80</v>
      </c>
      <c r="G72" t="s">
        <v>49</v>
      </c>
      <c r="H72" t="s">
        <v>31</v>
      </c>
      <c r="I72" t="s">
        <v>81</v>
      </c>
      <c r="J72" s="1">
        <v>45364</v>
      </c>
      <c r="K72">
        <v>2</v>
      </c>
      <c r="L72">
        <v>30177821</v>
      </c>
      <c r="M72">
        <v>7647098</v>
      </c>
      <c r="N72" t="s">
        <v>33</v>
      </c>
      <c r="O72">
        <v>4.78</v>
      </c>
      <c r="P72">
        <v>17</v>
      </c>
      <c r="Q72">
        <v>2</v>
      </c>
      <c r="R72">
        <v>3</v>
      </c>
      <c r="S72">
        <v>5</v>
      </c>
      <c r="T72" t="s">
        <v>34</v>
      </c>
      <c r="U72" t="s">
        <v>33</v>
      </c>
      <c r="V72" t="s">
        <v>59</v>
      </c>
      <c r="W72" t="s">
        <v>33</v>
      </c>
      <c r="X72" t="s">
        <v>52</v>
      </c>
      <c r="Y72" t="s">
        <v>53</v>
      </c>
      <c r="Z72" t="str">
        <f>IF(Table1[[#This Row],[Age]]&lt;30,"20-29",IF(Table1[[#This Row],[Age]]&lt;40,"30-39",IF(Table1[[#This Row],[Age]]&lt;50,"40-49","50+")))</f>
        <v>20-29</v>
      </c>
      <c r="AA72" t="str">
        <f>IF(Table1[[#This Row],[Salary]]&lt;20000000,"low",IF(Table1[[#This Row],[Salary]]&lt;40000000,"medium","high"))</f>
        <v>medium</v>
      </c>
      <c r="AB72">
        <f>YEAR(Table1[[#This Row],[Hire Date]])</f>
        <v>2024</v>
      </c>
      <c r="AC72" t="str">
        <f>TEXT(Table1[[#This Row],[Hire Date]],"mmmm")</f>
        <v>مارس</v>
      </c>
      <c r="AD72" t="str">
        <f>IF(Table1[[#This Row],[Resigned]]="yes","former","active")</f>
        <v>former</v>
      </c>
    </row>
    <row r="73" spans="1:30" x14ac:dyDescent="0.3">
      <c r="A73" t="s">
        <v>211</v>
      </c>
      <c r="B73" t="s">
        <v>212</v>
      </c>
      <c r="C73" t="s">
        <v>39</v>
      </c>
      <c r="D73">
        <v>22</v>
      </c>
      <c r="E73" t="s">
        <v>40</v>
      </c>
      <c r="F73" t="s">
        <v>41</v>
      </c>
      <c r="G73" t="s">
        <v>58</v>
      </c>
      <c r="H73" t="s">
        <v>42</v>
      </c>
      <c r="I73" t="s">
        <v>32</v>
      </c>
      <c r="J73" s="1">
        <v>45864</v>
      </c>
      <c r="K73">
        <v>1</v>
      </c>
      <c r="L73">
        <v>23370008</v>
      </c>
      <c r="M73">
        <v>3997377</v>
      </c>
      <c r="N73" t="s">
        <v>34</v>
      </c>
      <c r="O73">
        <v>3.86</v>
      </c>
      <c r="P73">
        <v>80</v>
      </c>
      <c r="Q73">
        <v>5</v>
      </c>
      <c r="R73">
        <v>4</v>
      </c>
      <c r="S73">
        <v>3</v>
      </c>
      <c r="T73" t="s">
        <v>33</v>
      </c>
      <c r="U73" t="s">
        <v>34</v>
      </c>
      <c r="V73" t="s">
        <v>44</v>
      </c>
      <c r="W73" t="s">
        <v>33</v>
      </c>
      <c r="X73" t="s">
        <v>36</v>
      </c>
      <c r="Z73" t="str">
        <f>IF(Table1[[#This Row],[Age]]&lt;30,"20-29",IF(Table1[[#This Row],[Age]]&lt;40,"30-39",IF(Table1[[#This Row],[Age]]&lt;50,"40-49","50+")))</f>
        <v>20-29</v>
      </c>
      <c r="AA73" t="str">
        <f>IF(Table1[[#This Row],[Salary]]&lt;20000000,"low",IF(Table1[[#This Row],[Salary]]&lt;40000000,"medium","high"))</f>
        <v>medium</v>
      </c>
      <c r="AB73">
        <f>YEAR(Table1[[#This Row],[Hire Date]])</f>
        <v>2025</v>
      </c>
      <c r="AC73" t="str">
        <f>TEXT(Table1[[#This Row],[Hire Date]],"mmmm")</f>
        <v>ژوئيه</v>
      </c>
      <c r="AD73" t="str">
        <f>IF(Table1[[#This Row],[Resigned]]="yes","former","active")</f>
        <v>active</v>
      </c>
    </row>
    <row r="74" spans="1:30" x14ac:dyDescent="0.3">
      <c r="A74" t="s">
        <v>213</v>
      </c>
      <c r="B74" t="s">
        <v>214</v>
      </c>
      <c r="C74" t="s">
        <v>27</v>
      </c>
      <c r="D74">
        <v>46</v>
      </c>
      <c r="E74" t="s">
        <v>28</v>
      </c>
      <c r="F74" t="s">
        <v>29</v>
      </c>
      <c r="G74" t="s">
        <v>58</v>
      </c>
      <c r="H74" t="s">
        <v>31</v>
      </c>
      <c r="I74" t="s">
        <v>43</v>
      </c>
      <c r="J74" s="1">
        <v>44835</v>
      </c>
      <c r="K74">
        <v>4</v>
      </c>
      <c r="L74">
        <v>27700420</v>
      </c>
      <c r="M74">
        <v>4725866</v>
      </c>
      <c r="N74" t="s">
        <v>34</v>
      </c>
      <c r="O74">
        <v>4.9800000000000004</v>
      </c>
      <c r="P74">
        <v>12</v>
      </c>
      <c r="Q74">
        <v>4</v>
      </c>
      <c r="R74">
        <v>2</v>
      </c>
      <c r="S74">
        <v>6</v>
      </c>
      <c r="T74" t="s">
        <v>33</v>
      </c>
      <c r="U74" t="s">
        <v>34</v>
      </c>
      <c r="V74" t="s">
        <v>35</v>
      </c>
      <c r="W74" t="s">
        <v>33</v>
      </c>
      <c r="X74" t="s">
        <v>45</v>
      </c>
      <c r="Z74" t="str">
        <f>IF(Table1[[#This Row],[Age]]&lt;30,"20-29",IF(Table1[[#This Row],[Age]]&lt;40,"30-39",IF(Table1[[#This Row],[Age]]&lt;50,"40-49","50+")))</f>
        <v>40-49</v>
      </c>
      <c r="AA74" t="str">
        <f>IF(Table1[[#This Row],[Salary]]&lt;20000000,"low",IF(Table1[[#This Row],[Salary]]&lt;40000000,"medium","high"))</f>
        <v>medium</v>
      </c>
      <c r="AB74">
        <f>YEAR(Table1[[#This Row],[Hire Date]])</f>
        <v>2022</v>
      </c>
      <c r="AC74" t="str">
        <f>TEXT(Table1[[#This Row],[Hire Date]],"mmmm")</f>
        <v>اُكتبر</v>
      </c>
      <c r="AD74" t="str">
        <f>IF(Table1[[#This Row],[Resigned]]="yes","former","active")</f>
        <v>active</v>
      </c>
    </row>
    <row r="75" spans="1:30" x14ac:dyDescent="0.3">
      <c r="A75" t="s">
        <v>215</v>
      </c>
      <c r="B75" t="s">
        <v>216</v>
      </c>
      <c r="C75" t="s">
        <v>39</v>
      </c>
      <c r="D75">
        <v>57</v>
      </c>
      <c r="E75" t="s">
        <v>110</v>
      </c>
      <c r="F75" t="s">
        <v>120</v>
      </c>
      <c r="G75" t="s">
        <v>49</v>
      </c>
      <c r="H75" t="s">
        <v>42</v>
      </c>
      <c r="I75" t="s">
        <v>50</v>
      </c>
      <c r="J75" s="1">
        <v>43823</v>
      </c>
      <c r="K75">
        <v>7</v>
      </c>
      <c r="L75">
        <v>44607835</v>
      </c>
      <c r="M75">
        <v>1085482</v>
      </c>
      <c r="N75" t="s">
        <v>34</v>
      </c>
      <c r="O75">
        <v>4.0599999999999996</v>
      </c>
      <c r="P75">
        <v>34</v>
      </c>
      <c r="Q75">
        <v>4</v>
      </c>
      <c r="R75">
        <v>3</v>
      </c>
      <c r="S75">
        <v>1</v>
      </c>
      <c r="T75" t="s">
        <v>34</v>
      </c>
      <c r="U75" t="s">
        <v>33</v>
      </c>
      <c r="V75" t="s">
        <v>44</v>
      </c>
      <c r="W75" t="s">
        <v>33</v>
      </c>
      <c r="X75" t="s">
        <v>52</v>
      </c>
      <c r="Y75" t="s">
        <v>60</v>
      </c>
      <c r="Z75" t="str">
        <f>IF(Table1[[#This Row],[Age]]&lt;30,"20-29",IF(Table1[[#This Row],[Age]]&lt;40,"30-39",IF(Table1[[#This Row],[Age]]&lt;50,"40-49","50+")))</f>
        <v>50+</v>
      </c>
      <c r="AA75" t="str">
        <f>IF(Table1[[#This Row],[Salary]]&lt;20000000,"low",IF(Table1[[#This Row],[Salary]]&lt;40000000,"medium","high"))</f>
        <v>high</v>
      </c>
      <c r="AB75">
        <f>YEAR(Table1[[#This Row],[Hire Date]])</f>
        <v>2019</v>
      </c>
      <c r="AC75" t="str">
        <f>TEXT(Table1[[#This Row],[Hire Date]],"mmmm")</f>
        <v>دسامبر</v>
      </c>
      <c r="AD75" t="str">
        <f>IF(Table1[[#This Row],[Resigned]]="yes","former","active")</f>
        <v>former</v>
      </c>
    </row>
    <row r="76" spans="1:30" x14ac:dyDescent="0.3">
      <c r="A76" t="s">
        <v>217</v>
      </c>
      <c r="B76" t="s">
        <v>218</v>
      </c>
      <c r="C76" t="s">
        <v>39</v>
      </c>
      <c r="D76">
        <v>38</v>
      </c>
      <c r="E76" t="s">
        <v>110</v>
      </c>
      <c r="F76" t="s">
        <v>111</v>
      </c>
      <c r="G76" t="s">
        <v>49</v>
      </c>
      <c r="H76" t="s">
        <v>31</v>
      </c>
      <c r="I76" t="s">
        <v>43</v>
      </c>
      <c r="J76" s="1">
        <v>42832</v>
      </c>
      <c r="K76">
        <v>9</v>
      </c>
      <c r="L76">
        <v>31241350</v>
      </c>
      <c r="M76">
        <v>9691960</v>
      </c>
      <c r="N76" t="s">
        <v>33</v>
      </c>
      <c r="O76">
        <v>3.65</v>
      </c>
      <c r="P76">
        <v>64</v>
      </c>
      <c r="Q76">
        <v>2</v>
      </c>
      <c r="R76">
        <v>3</v>
      </c>
      <c r="S76">
        <v>2</v>
      </c>
      <c r="T76" t="s">
        <v>34</v>
      </c>
      <c r="U76" t="s">
        <v>34</v>
      </c>
      <c r="V76" t="s">
        <v>51</v>
      </c>
      <c r="W76" t="s">
        <v>34</v>
      </c>
      <c r="X76" t="s">
        <v>45</v>
      </c>
      <c r="Z76" t="str">
        <f>IF(Table1[[#This Row],[Age]]&lt;30,"20-29",IF(Table1[[#This Row],[Age]]&lt;40,"30-39",IF(Table1[[#This Row],[Age]]&lt;50,"40-49","50+")))</f>
        <v>30-39</v>
      </c>
      <c r="AA76" t="str">
        <f>IF(Table1[[#This Row],[Salary]]&lt;20000000,"low",IF(Table1[[#This Row],[Salary]]&lt;40000000,"medium","high"))</f>
        <v>medium</v>
      </c>
      <c r="AB76">
        <f>YEAR(Table1[[#This Row],[Hire Date]])</f>
        <v>2017</v>
      </c>
      <c r="AC76" t="str">
        <f>TEXT(Table1[[#This Row],[Hire Date]],"mmmm")</f>
        <v>آوريل</v>
      </c>
      <c r="AD76" t="str">
        <f>IF(Table1[[#This Row],[Resigned]]="yes","former","active")</f>
        <v>active</v>
      </c>
    </row>
    <row r="77" spans="1:30" x14ac:dyDescent="0.3">
      <c r="A77" t="s">
        <v>219</v>
      </c>
      <c r="B77" t="s">
        <v>220</v>
      </c>
      <c r="C77" t="s">
        <v>27</v>
      </c>
      <c r="D77">
        <v>53</v>
      </c>
      <c r="E77" t="s">
        <v>28</v>
      </c>
      <c r="F77" t="s">
        <v>80</v>
      </c>
      <c r="G77" t="s">
        <v>30</v>
      </c>
      <c r="H77" t="s">
        <v>42</v>
      </c>
      <c r="I77" t="s">
        <v>43</v>
      </c>
      <c r="J77" s="1">
        <v>43739</v>
      </c>
      <c r="K77">
        <v>7</v>
      </c>
      <c r="L77">
        <v>12999212</v>
      </c>
      <c r="M77">
        <v>1320969</v>
      </c>
      <c r="N77" t="s">
        <v>33</v>
      </c>
      <c r="O77">
        <v>4.8499999999999996</v>
      </c>
      <c r="P77">
        <v>58</v>
      </c>
      <c r="Q77">
        <v>2</v>
      </c>
      <c r="R77">
        <v>5</v>
      </c>
      <c r="S77">
        <v>14</v>
      </c>
      <c r="T77" t="s">
        <v>34</v>
      </c>
      <c r="U77" t="s">
        <v>34</v>
      </c>
      <c r="V77" t="s">
        <v>51</v>
      </c>
      <c r="W77" t="s">
        <v>34</v>
      </c>
      <c r="X77" t="s">
        <v>52</v>
      </c>
      <c r="Z77" t="str">
        <f>IF(Table1[[#This Row],[Age]]&lt;30,"20-29",IF(Table1[[#This Row],[Age]]&lt;40,"30-39",IF(Table1[[#This Row],[Age]]&lt;50,"40-49","50+")))</f>
        <v>50+</v>
      </c>
      <c r="AA77" t="str">
        <f>IF(Table1[[#This Row],[Salary]]&lt;20000000,"low",IF(Table1[[#This Row],[Salary]]&lt;40000000,"medium","high"))</f>
        <v>low</v>
      </c>
      <c r="AB77">
        <f>YEAR(Table1[[#This Row],[Hire Date]])</f>
        <v>2019</v>
      </c>
      <c r="AC77" t="str">
        <f>TEXT(Table1[[#This Row],[Hire Date]],"mmmm")</f>
        <v>اُكتبر</v>
      </c>
      <c r="AD77" t="str">
        <f>IF(Table1[[#This Row],[Resigned]]="yes","former","active")</f>
        <v>active</v>
      </c>
    </row>
    <row r="78" spans="1:30" x14ac:dyDescent="0.3">
      <c r="A78" t="s">
        <v>221</v>
      </c>
      <c r="B78" t="s">
        <v>222</v>
      </c>
      <c r="C78" t="s">
        <v>27</v>
      </c>
      <c r="D78">
        <v>56</v>
      </c>
      <c r="E78" t="s">
        <v>63</v>
      </c>
      <c r="F78" t="s">
        <v>64</v>
      </c>
      <c r="G78" t="s">
        <v>49</v>
      </c>
      <c r="H78" t="s">
        <v>31</v>
      </c>
      <c r="I78" t="s">
        <v>43</v>
      </c>
      <c r="J78" s="1">
        <v>43385</v>
      </c>
      <c r="K78">
        <v>8</v>
      </c>
      <c r="L78">
        <v>43805175</v>
      </c>
      <c r="M78">
        <v>3079004</v>
      </c>
      <c r="N78" t="s">
        <v>34</v>
      </c>
      <c r="O78">
        <v>3.16</v>
      </c>
      <c r="P78">
        <v>61</v>
      </c>
      <c r="Q78">
        <v>3</v>
      </c>
      <c r="R78">
        <v>2</v>
      </c>
      <c r="S78">
        <v>12</v>
      </c>
      <c r="T78" t="s">
        <v>33</v>
      </c>
      <c r="U78" t="s">
        <v>34</v>
      </c>
      <c r="V78" t="s">
        <v>35</v>
      </c>
      <c r="W78" t="s">
        <v>34</v>
      </c>
      <c r="X78" t="s">
        <v>36</v>
      </c>
      <c r="Z78" t="str">
        <f>IF(Table1[[#This Row],[Age]]&lt;30,"20-29",IF(Table1[[#This Row],[Age]]&lt;40,"30-39",IF(Table1[[#This Row],[Age]]&lt;50,"40-49","50+")))</f>
        <v>50+</v>
      </c>
      <c r="AA78" t="str">
        <f>IF(Table1[[#This Row],[Salary]]&lt;20000000,"low",IF(Table1[[#This Row],[Salary]]&lt;40000000,"medium","high"))</f>
        <v>high</v>
      </c>
      <c r="AB78">
        <f>YEAR(Table1[[#This Row],[Hire Date]])</f>
        <v>2018</v>
      </c>
      <c r="AC78" t="str">
        <f>TEXT(Table1[[#This Row],[Hire Date]],"mmmm")</f>
        <v>اُكتبر</v>
      </c>
      <c r="AD78" t="str">
        <f>IF(Table1[[#This Row],[Resigned]]="yes","former","active")</f>
        <v>active</v>
      </c>
    </row>
    <row r="79" spans="1:30" x14ac:dyDescent="0.3">
      <c r="A79" t="s">
        <v>223</v>
      </c>
      <c r="B79" t="s">
        <v>224</v>
      </c>
      <c r="C79" t="s">
        <v>39</v>
      </c>
      <c r="D79">
        <v>55</v>
      </c>
      <c r="E79" t="s">
        <v>63</v>
      </c>
      <c r="F79" t="s">
        <v>64</v>
      </c>
      <c r="G79" t="s">
        <v>30</v>
      </c>
      <c r="H79" t="s">
        <v>42</v>
      </c>
      <c r="I79" t="s">
        <v>32</v>
      </c>
      <c r="J79" s="1">
        <v>44623</v>
      </c>
      <c r="K79">
        <v>4</v>
      </c>
      <c r="L79">
        <v>50934422</v>
      </c>
      <c r="M79">
        <v>3802062</v>
      </c>
      <c r="N79" t="s">
        <v>33</v>
      </c>
      <c r="O79">
        <v>4.9400000000000004</v>
      </c>
      <c r="P79">
        <v>5</v>
      </c>
      <c r="Q79">
        <v>1</v>
      </c>
      <c r="R79">
        <v>4</v>
      </c>
      <c r="S79">
        <v>1</v>
      </c>
      <c r="T79" t="s">
        <v>34</v>
      </c>
      <c r="U79" t="s">
        <v>34</v>
      </c>
      <c r="V79" t="s">
        <v>35</v>
      </c>
      <c r="W79" t="s">
        <v>33</v>
      </c>
      <c r="X79" t="s">
        <v>45</v>
      </c>
      <c r="Z79" t="str">
        <f>IF(Table1[[#This Row],[Age]]&lt;30,"20-29",IF(Table1[[#This Row],[Age]]&lt;40,"30-39",IF(Table1[[#This Row],[Age]]&lt;50,"40-49","50+")))</f>
        <v>50+</v>
      </c>
      <c r="AA79" t="str">
        <f>IF(Table1[[#This Row],[Salary]]&lt;20000000,"low",IF(Table1[[#This Row],[Salary]]&lt;40000000,"medium","high"))</f>
        <v>high</v>
      </c>
      <c r="AB79">
        <f>YEAR(Table1[[#This Row],[Hire Date]])</f>
        <v>2022</v>
      </c>
      <c r="AC79" t="str">
        <f>TEXT(Table1[[#This Row],[Hire Date]],"mmmm")</f>
        <v>مارس</v>
      </c>
      <c r="AD79" t="str">
        <f>IF(Table1[[#This Row],[Resigned]]="yes","former","active")</f>
        <v>active</v>
      </c>
    </row>
    <row r="80" spans="1:30" x14ac:dyDescent="0.3">
      <c r="A80" t="s">
        <v>225</v>
      </c>
      <c r="B80" t="s">
        <v>226</v>
      </c>
      <c r="C80" t="s">
        <v>27</v>
      </c>
      <c r="D80">
        <v>27</v>
      </c>
      <c r="E80" t="s">
        <v>56</v>
      </c>
      <c r="F80" t="s">
        <v>84</v>
      </c>
      <c r="G80" t="s">
        <v>30</v>
      </c>
      <c r="H80" t="s">
        <v>31</v>
      </c>
      <c r="I80" t="s">
        <v>81</v>
      </c>
      <c r="J80" s="1">
        <v>42717</v>
      </c>
      <c r="K80">
        <v>10</v>
      </c>
      <c r="L80">
        <v>21803248</v>
      </c>
      <c r="M80">
        <v>7409211</v>
      </c>
      <c r="N80" t="s">
        <v>34</v>
      </c>
      <c r="O80">
        <v>2.91</v>
      </c>
      <c r="P80">
        <v>5</v>
      </c>
      <c r="Q80">
        <v>5</v>
      </c>
      <c r="R80">
        <v>2</v>
      </c>
      <c r="S80">
        <v>6</v>
      </c>
      <c r="T80" t="s">
        <v>33</v>
      </c>
      <c r="U80" t="s">
        <v>34</v>
      </c>
      <c r="V80" t="s">
        <v>59</v>
      </c>
      <c r="W80" t="s">
        <v>33</v>
      </c>
      <c r="X80" t="s">
        <v>52</v>
      </c>
      <c r="Z80" t="str">
        <f>IF(Table1[[#This Row],[Age]]&lt;30,"20-29",IF(Table1[[#This Row],[Age]]&lt;40,"30-39",IF(Table1[[#This Row],[Age]]&lt;50,"40-49","50+")))</f>
        <v>20-29</v>
      </c>
      <c r="AA80" t="str">
        <f>IF(Table1[[#This Row],[Salary]]&lt;20000000,"low",IF(Table1[[#This Row],[Salary]]&lt;40000000,"medium","high"))</f>
        <v>medium</v>
      </c>
      <c r="AB80">
        <f>YEAR(Table1[[#This Row],[Hire Date]])</f>
        <v>2016</v>
      </c>
      <c r="AC80" t="str">
        <f>TEXT(Table1[[#This Row],[Hire Date]],"mmmm")</f>
        <v>دسامبر</v>
      </c>
      <c r="AD80" t="str">
        <f>IF(Table1[[#This Row],[Resigned]]="yes","former","active")</f>
        <v>active</v>
      </c>
    </row>
    <row r="81" spans="1:30" x14ac:dyDescent="0.3">
      <c r="A81" t="s">
        <v>227</v>
      </c>
      <c r="B81" t="s">
        <v>228</v>
      </c>
      <c r="C81" t="s">
        <v>27</v>
      </c>
      <c r="D81">
        <v>39</v>
      </c>
      <c r="E81" t="s">
        <v>110</v>
      </c>
      <c r="F81" t="s">
        <v>111</v>
      </c>
      <c r="G81" t="s">
        <v>58</v>
      </c>
      <c r="H81" t="s">
        <v>31</v>
      </c>
      <c r="I81" t="s">
        <v>43</v>
      </c>
      <c r="J81" s="1">
        <v>43387</v>
      </c>
      <c r="K81">
        <v>8</v>
      </c>
      <c r="L81">
        <v>35824431</v>
      </c>
      <c r="M81">
        <v>5653337</v>
      </c>
      <c r="N81" t="s">
        <v>34</v>
      </c>
      <c r="O81">
        <v>4.3499999999999996</v>
      </c>
      <c r="P81">
        <v>31</v>
      </c>
      <c r="Q81">
        <v>4</v>
      </c>
      <c r="R81">
        <v>2</v>
      </c>
      <c r="S81">
        <v>19</v>
      </c>
      <c r="T81" t="s">
        <v>34</v>
      </c>
      <c r="U81" t="s">
        <v>34</v>
      </c>
      <c r="V81" t="s">
        <v>59</v>
      </c>
      <c r="W81" t="s">
        <v>33</v>
      </c>
      <c r="X81" t="s">
        <v>36</v>
      </c>
      <c r="Z81" t="str">
        <f>IF(Table1[[#This Row],[Age]]&lt;30,"20-29",IF(Table1[[#This Row],[Age]]&lt;40,"30-39",IF(Table1[[#This Row],[Age]]&lt;50,"40-49","50+")))</f>
        <v>30-39</v>
      </c>
      <c r="AA81" t="str">
        <f>IF(Table1[[#This Row],[Salary]]&lt;20000000,"low",IF(Table1[[#This Row],[Salary]]&lt;40000000,"medium","high"))</f>
        <v>medium</v>
      </c>
      <c r="AB81">
        <f>YEAR(Table1[[#This Row],[Hire Date]])</f>
        <v>2018</v>
      </c>
      <c r="AC81" t="str">
        <f>TEXT(Table1[[#This Row],[Hire Date]],"mmmm")</f>
        <v>اُكتبر</v>
      </c>
      <c r="AD81" t="str">
        <f>IF(Table1[[#This Row],[Resigned]]="yes","former","active")</f>
        <v>active</v>
      </c>
    </row>
    <row r="82" spans="1:30" x14ac:dyDescent="0.3">
      <c r="A82" t="s">
        <v>229</v>
      </c>
      <c r="B82" t="s">
        <v>230</v>
      </c>
      <c r="C82" t="s">
        <v>39</v>
      </c>
      <c r="D82">
        <v>52</v>
      </c>
      <c r="E82" t="s">
        <v>73</v>
      </c>
      <c r="F82" t="s">
        <v>74</v>
      </c>
      <c r="G82" t="s">
        <v>58</v>
      </c>
      <c r="H82" t="s">
        <v>31</v>
      </c>
      <c r="I82" t="s">
        <v>65</v>
      </c>
      <c r="J82" s="1">
        <v>43612</v>
      </c>
      <c r="K82">
        <v>7</v>
      </c>
      <c r="L82">
        <v>28350509</v>
      </c>
      <c r="M82">
        <v>6128449</v>
      </c>
      <c r="N82" t="s">
        <v>34</v>
      </c>
      <c r="O82">
        <v>2.9</v>
      </c>
      <c r="P82">
        <v>6</v>
      </c>
      <c r="Q82">
        <v>2</v>
      </c>
      <c r="R82">
        <v>1</v>
      </c>
      <c r="S82">
        <v>11</v>
      </c>
      <c r="T82" t="s">
        <v>33</v>
      </c>
      <c r="U82" t="s">
        <v>34</v>
      </c>
      <c r="V82" t="s">
        <v>35</v>
      </c>
      <c r="W82" t="s">
        <v>33</v>
      </c>
      <c r="X82" t="s">
        <v>36</v>
      </c>
      <c r="Z82" t="str">
        <f>IF(Table1[[#This Row],[Age]]&lt;30,"20-29",IF(Table1[[#This Row],[Age]]&lt;40,"30-39",IF(Table1[[#This Row],[Age]]&lt;50,"40-49","50+")))</f>
        <v>50+</v>
      </c>
      <c r="AA82" t="str">
        <f>IF(Table1[[#This Row],[Salary]]&lt;20000000,"low",IF(Table1[[#This Row],[Salary]]&lt;40000000,"medium","high"))</f>
        <v>medium</v>
      </c>
      <c r="AB82">
        <f>YEAR(Table1[[#This Row],[Hire Date]])</f>
        <v>2019</v>
      </c>
      <c r="AC82" t="str">
        <f>TEXT(Table1[[#This Row],[Hire Date]],"mmmm")</f>
        <v>مه</v>
      </c>
      <c r="AD82" t="str">
        <f>IF(Table1[[#This Row],[Resigned]]="yes","former","active")</f>
        <v>active</v>
      </c>
    </row>
    <row r="83" spans="1:30" x14ac:dyDescent="0.3">
      <c r="A83" t="s">
        <v>231</v>
      </c>
      <c r="B83" t="s">
        <v>232</v>
      </c>
      <c r="C83" t="s">
        <v>27</v>
      </c>
      <c r="D83">
        <v>26</v>
      </c>
      <c r="E83" t="s">
        <v>56</v>
      </c>
      <c r="F83" t="s">
        <v>57</v>
      </c>
      <c r="G83" t="s">
        <v>49</v>
      </c>
      <c r="H83" t="s">
        <v>31</v>
      </c>
      <c r="I83" t="s">
        <v>50</v>
      </c>
      <c r="J83" s="1">
        <v>43982</v>
      </c>
      <c r="K83">
        <v>6</v>
      </c>
      <c r="L83">
        <v>43106807</v>
      </c>
      <c r="M83">
        <v>7239611</v>
      </c>
      <c r="N83" t="s">
        <v>33</v>
      </c>
      <c r="O83">
        <v>3</v>
      </c>
      <c r="P83">
        <v>55</v>
      </c>
      <c r="Q83">
        <v>4</v>
      </c>
      <c r="R83">
        <v>1</v>
      </c>
      <c r="S83">
        <v>2</v>
      </c>
      <c r="T83" t="s">
        <v>34</v>
      </c>
      <c r="U83" t="s">
        <v>34</v>
      </c>
      <c r="V83" t="s">
        <v>51</v>
      </c>
      <c r="W83" t="s">
        <v>34</v>
      </c>
      <c r="X83" t="s">
        <v>45</v>
      </c>
      <c r="Z83" t="str">
        <f>IF(Table1[[#This Row],[Age]]&lt;30,"20-29",IF(Table1[[#This Row],[Age]]&lt;40,"30-39",IF(Table1[[#This Row],[Age]]&lt;50,"40-49","50+")))</f>
        <v>20-29</v>
      </c>
      <c r="AA83" t="str">
        <f>IF(Table1[[#This Row],[Salary]]&lt;20000000,"low",IF(Table1[[#This Row],[Salary]]&lt;40000000,"medium","high"))</f>
        <v>high</v>
      </c>
      <c r="AB83">
        <f>YEAR(Table1[[#This Row],[Hire Date]])</f>
        <v>2020</v>
      </c>
      <c r="AC83" t="str">
        <f>TEXT(Table1[[#This Row],[Hire Date]],"mmmm")</f>
        <v>مه</v>
      </c>
      <c r="AD83" t="str">
        <f>IF(Table1[[#This Row],[Resigned]]="yes","former","active")</f>
        <v>active</v>
      </c>
    </row>
    <row r="84" spans="1:30" x14ac:dyDescent="0.3">
      <c r="A84" t="s">
        <v>233</v>
      </c>
      <c r="B84" t="s">
        <v>234</v>
      </c>
      <c r="C84" t="s">
        <v>27</v>
      </c>
      <c r="D84">
        <v>56</v>
      </c>
      <c r="E84" t="s">
        <v>28</v>
      </c>
      <c r="F84" t="s">
        <v>29</v>
      </c>
      <c r="G84" t="s">
        <v>49</v>
      </c>
      <c r="H84" t="s">
        <v>31</v>
      </c>
      <c r="I84" t="s">
        <v>32</v>
      </c>
      <c r="J84" s="1">
        <v>42406</v>
      </c>
      <c r="K84">
        <v>10</v>
      </c>
      <c r="L84">
        <v>13716563</v>
      </c>
      <c r="M84">
        <v>5564715</v>
      </c>
      <c r="N84" t="s">
        <v>34</v>
      </c>
      <c r="O84">
        <v>4.33</v>
      </c>
      <c r="P84">
        <v>2</v>
      </c>
      <c r="Q84">
        <v>1</v>
      </c>
      <c r="R84">
        <v>5</v>
      </c>
      <c r="S84">
        <v>15</v>
      </c>
      <c r="T84" t="s">
        <v>33</v>
      </c>
      <c r="U84" t="s">
        <v>34</v>
      </c>
      <c r="V84" t="s">
        <v>35</v>
      </c>
      <c r="W84" t="s">
        <v>34</v>
      </c>
      <c r="X84" t="s">
        <v>36</v>
      </c>
      <c r="Z84" t="str">
        <f>IF(Table1[[#This Row],[Age]]&lt;30,"20-29",IF(Table1[[#This Row],[Age]]&lt;40,"30-39",IF(Table1[[#This Row],[Age]]&lt;50,"40-49","50+")))</f>
        <v>50+</v>
      </c>
      <c r="AA84" t="str">
        <f>IF(Table1[[#This Row],[Salary]]&lt;20000000,"low",IF(Table1[[#This Row],[Salary]]&lt;40000000,"medium","high"))</f>
        <v>low</v>
      </c>
      <c r="AB84">
        <f>YEAR(Table1[[#This Row],[Hire Date]])</f>
        <v>2016</v>
      </c>
      <c r="AC84" t="str">
        <f>TEXT(Table1[[#This Row],[Hire Date]],"mmmm")</f>
        <v>فوريه</v>
      </c>
      <c r="AD84" t="str">
        <f>IF(Table1[[#This Row],[Resigned]]="yes","former","active")</f>
        <v>active</v>
      </c>
    </row>
    <row r="85" spans="1:30" x14ac:dyDescent="0.3">
      <c r="A85" t="s">
        <v>235</v>
      </c>
      <c r="B85" t="s">
        <v>236</v>
      </c>
      <c r="C85" t="s">
        <v>39</v>
      </c>
      <c r="D85">
        <v>53</v>
      </c>
      <c r="E85" t="s">
        <v>56</v>
      </c>
      <c r="F85" t="s">
        <v>84</v>
      </c>
      <c r="G85" t="s">
        <v>49</v>
      </c>
      <c r="H85" t="s">
        <v>31</v>
      </c>
      <c r="I85" t="s">
        <v>81</v>
      </c>
      <c r="J85" s="1">
        <v>44360</v>
      </c>
      <c r="K85">
        <v>5</v>
      </c>
      <c r="L85">
        <v>49434905</v>
      </c>
      <c r="M85">
        <v>7773691</v>
      </c>
      <c r="N85" t="s">
        <v>34</v>
      </c>
      <c r="O85">
        <v>2.73</v>
      </c>
      <c r="P85">
        <v>49</v>
      </c>
      <c r="Q85">
        <v>1</v>
      </c>
      <c r="R85">
        <v>4</v>
      </c>
      <c r="S85">
        <v>0</v>
      </c>
      <c r="T85" t="s">
        <v>34</v>
      </c>
      <c r="U85" t="s">
        <v>34</v>
      </c>
      <c r="V85" t="s">
        <v>70</v>
      </c>
      <c r="W85" t="s">
        <v>33</v>
      </c>
      <c r="X85" t="s">
        <v>45</v>
      </c>
      <c r="Z85" t="str">
        <f>IF(Table1[[#This Row],[Age]]&lt;30,"20-29",IF(Table1[[#This Row],[Age]]&lt;40,"30-39",IF(Table1[[#This Row],[Age]]&lt;50,"40-49","50+")))</f>
        <v>50+</v>
      </c>
      <c r="AA85" t="str">
        <f>IF(Table1[[#This Row],[Salary]]&lt;20000000,"low",IF(Table1[[#This Row],[Salary]]&lt;40000000,"medium","high"))</f>
        <v>high</v>
      </c>
      <c r="AB85">
        <f>YEAR(Table1[[#This Row],[Hire Date]])</f>
        <v>2021</v>
      </c>
      <c r="AC85" t="str">
        <f>TEXT(Table1[[#This Row],[Hire Date]],"mmmm")</f>
        <v>ژوئن</v>
      </c>
      <c r="AD85" t="str">
        <f>IF(Table1[[#This Row],[Resigned]]="yes","former","active")</f>
        <v>active</v>
      </c>
    </row>
    <row r="86" spans="1:30" x14ac:dyDescent="0.3">
      <c r="A86" t="s">
        <v>237</v>
      </c>
      <c r="B86" t="s">
        <v>238</v>
      </c>
      <c r="C86" t="s">
        <v>39</v>
      </c>
      <c r="D86">
        <v>34</v>
      </c>
      <c r="E86" t="s">
        <v>40</v>
      </c>
      <c r="F86" t="s">
        <v>48</v>
      </c>
      <c r="G86" t="s">
        <v>30</v>
      </c>
      <c r="H86" t="s">
        <v>42</v>
      </c>
      <c r="I86" t="s">
        <v>81</v>
      </c>
      <c r="J86" s="1">
        <v>45584</v>
      </c>
      <c r="K86">
        <v>2</v>
      </c>
      <c r="L86">
        <v>26038941</v>
      </c>
      <c r="M86">
        <v>8666973</v>
      </c>
      <c r="N86" t="s">
        <v>33</v>
      </c>
      <c r="O86">
        <v>2.57</v>
      </c>
      <c r="P86">
        <v>61</v>
      </c>
      <c r="Q86">
        <v>4</v>
      </c>
      <c r="R86">
        <v>2</v>
      </c>
      <c r="S86">
        <v>9</v>
      </c>
      <c r="T86" t="s">
        <v>33</v>
      </c>
      <c r="U86" t="s">
        <v>34</v>
      </c>
      <c r="V86" t="s">
        <v>70</v>
      </c>
      <c r="W86" t="s">
        <v>33</v>
      </c>
      <c r="X86" t="s">
        <v>52</v>
      </c>
      <c r="Z86" t="str">
        <f>IF(Table1[[#This Row],[Age]]&lt;30,"20-29",IF(Table1[[#This Row],[Age]]&lt;40,"30-39",IF(Table1[[#This Row],[Age]]&lt;50,"40-49","50+")))</f>
        <v>30-39</v>
      </c>
      <c r="AA86" t="str">
        <f>IF(Table1[[#This Row],[Salary]]&lt;20000000,"low",IF(Table1[[#This Row],[Salary]]&lt;40000000,"medium","high"))</f>
        <v>medium</v>
      </c>
      <c r="AB86">
        <f>YEAR(Table1[[#This Row],[Hire Date]])</f>
        <v>2024</v>
      </c>
      <c r="AC86" t="str">
        <f>TEXT(Table1[[#This Row],[Hire Date]],"mmmm")</f>
        <v>اُكتبر</v>
      </c>
      <c r="AD86" t="str">
        <f>IF(Table1[[#This Row],[Resigned]]="yes","former","active")</f>
        <v>active</v>
      </c>
    </row>
    <row r="87" spans="1:30" x14ac:dyDescent="0.3">
      <c r="A87" t="s">
        <v>239</v>
      </c>
      <c r="B87" t="s">
        <v>240</v>
      </c>
      <c r="C87" t="s">
        <v>39</v>
      </c>
      <c r="D87">
        <v>44</v>
      </c>
      <c r="E87" t="s">
        <v>63</v>
      </c>
      <c r="F87" t="s">
        <v>64</v>
      </c>
      <c r="G87" t="s">
        <v>49</v>
      </c>
      <c r="H87" t="s">
        <v>42</v>
      </c>
      <c r="I87" t="s">
        <v>50</v>
      </c>
      <c r="J87" s="1">
        <v>45477</v>
      </c>
      <c r="K87">
        <v>2</v>
      </c>
      <c r="L87">
        <v>16768981</v>
      </c>
      <c r="M87">
        <v>8281841</v>
      </c>
      <c r="N87" t="s">
        <v>33</v>
      </c>
      <c r="O87">
        <v>4.54</v>
      </c>
      <c r="P87">
        <v>25</v>
      </c>
      <c r="Q87">
        <v>4</v>
      </c>
      <c r="R87">
        <v>3</v>
      </c>
      <c r="S87">
        <v>11</v>
      </c>
      <c r="T87" t="s">
        <v>34</v>
      </c>
      <c r="U87" t="s">
        <v>34</v>
      </c>
      <c r="V87" t="s">
        <v>59</v>
      </c>
      <c r="W87" t="s">
        <v>34</v>
      </c>
      <c r="X87" t="s">
        <v>52</v>
      </c>
      <c r="Z87" t="str">
        <f>IF(Table1[[#This Row],[Age]]&lt;30,"20-29",IF(Table1[[#This Row],[Age]]&lt;40,"30-39",IF(Table1[[#This Row],[Age]]&lt;50,"40-49","50+")))</f>
        <v>40-49</v>
      </c>
      <c r="AA87" t="str">
        <f>IF(Table1[[#This Row],[Salary]]&lt;20000000,"low",IF(Table1[[#This Row],[Salary]]&lt;40000000,"medium","high"))</f>
        <v>low</v>
      </c>
      <c r="AB87">
        <f>YEAR(Table1[[#This Row],[Hire Date]])</f>
        <v>2024</v>
      </c>
      <c r="AC87" t="str">
        <f>TEXT(Table1[[#This Row],[Hire Date]],"mmmm")</f>
        <v>ژوئيه</v>
      </c>
      <c r="AD87" t="str">
        <f>IF(Table1[[#This Row],[Resigned]]="yes","former","active")</f>
        <v>active</v>
      </c>
    </row>
    <row r="88" spans="1:30" x14ac:dyDescent="0.3">
      <c r="A88" t="s">
        <v>241</v>
      </c>
      <c r="B88" t="s">
        <v>242</v>
      </c>
      <c r="C88" t="s">
        <v>39</v>
      </c>
      <c r="D88">
        <v>52</v>
      </c>
      <c r="E88" t="s">
        <v>40</v>
      </c>
      <c r="F88" t="s">
        <v>41</v>
      </c>
      <c r="G88" t="s">
        <v>30</v>
      </c>
      <c r="H88" t="s">
        <v>31</v>
      </c>
      <c r="I88" t="s">
        <v>50</v>
      </c>
      <c r="J88" s="1">
        <v>44398</v>
      </c>
      <c r="K88">
        <v>5</v>
      </c>
      <c r="L88">
        <v>44120553</v>
      </c>
      <c r="M88">
        <v>3095131</v>
      </c>
      <c r="N88" t="s">
        <v>34</v>
      </c>
      <c r="O88">
        <v>2.91</v>
      </c>
      <c r="P88">
        <v>53</v>
      </c>
      <c r="Q88">
        <v>2</v>
      </c>
      <c r="R88">
        <v>3</v>
      </c>
      <c r="S88">
        <v>8</v>
      </c>
      <c r="T88" t="s">
        <v>33</v>
      </c>
      <c r="U88" t="s">
        <v>34</v>
      </c>
      <c r="V88" t="s">
        <v>35</v>
      </c>
      <c r="W88" t="s">
        <v>33</v>
      </c>
      <c r="X88" t="s">
        <v>52</v>
      </c>
      <c r="Z88" t="str">
        <f>IF(Table1[[#This Row],[Age]]&lt;30,"20-29",IF(Table1[[#This Row],[Age]]&lt;40,"30-39",IF(Table1[[#This Row],[Age]]&lt;50,"40-49","50+")))</f>
        <v>50+</v>
      </c>
      <c r="AA88" t="str">
        <f>IF(Table1[[#This Row],[Salary]]&lt;20000000,"low",IF(Table1[[#This Row],[Salary]]&lt;40000000,"medium","high"))</f>
        <v>high</v>
      </c>
      <c r="AB88">
        <f>YEAR(Table1[[#This Row],[Hire Date]])</f>
        <v>2021</v>
      </c>
      <c r="AC88" t="str">
        <f>TEXT(Table1[[#This Row],[Hire Date]],"mmmm")</f>
        <v>ژوئيه</v>
      </c>
      <c r="AD88" t="str">
        <f>IF(Table1[[#This Row],[Resigned]]="yes","former","active")</f>
        <v>active</v>
      </c>
    </row>
    <row r="89" spans="1:30" x14ac:dyDescent="0.3">
      <c r="A89" t="s">
        <v>243</v>
      </c>
      <c r="B89" t="s">
        <v>244</v>
      </c>
      <c r="C89" t="s">
        <v>27</v>
      </c>
      <c r="D89">
        <v>47</v>
      </c>
      <c r="E89" t="s">
        <v>56</v>
      </c>
      <c r="F89" t="s">
        <v>57</v>
      </c>
      <c r="G89" t="s">
        <v>58</v>
      </c>
      <c r="H89" t="s">
        <v>42</v>
      </c>
      <c r="I89" t="s">
        <v>43</v>
      </c>
      <c r="J89" s="1">
        <v>43592</v>
      </c>
      <c r="K89">
        <v>7</v>
      </c>
      <c r="L89">
        <v>46290738</v>
      </c>
      <c r="M89">
        <v>1155687</v>
      </c>
      <c r="N89" t="s">
        <v>33</v>
      </c>
      <c r="O89">
        <v>4.18</v>
      </c>
      <c r="P89">
        <v>14</v>
      </c>
      <c r="Q89">
        <v>3</v>
      </c>
      <c r="R89">
        <v>1</v>
      </c>
      <c r="S89">
        <v>6</v>
      </c>
      <c r="T89" t="s">
        <v>33</v>
      </c>
      <c r="U89" t="s">
        <v>34</v>
      </c>
      <c r="V89" t="s">
        <v>44</v>
      </c>
      <c r="W89" t="s">
        <v>34</v>
      </c>
      <c r="X89" t="s">
        <v>36</v>
      </c>
      <c r="Z89" t="str">
        <f>IF(Table1[[#This Row],[Age]]&lt;30,"20-29",IF(Table1[[#This Row],[Age]]&lt;40,"30-39",IF(Table1[[#This Row],[Age]]&lt;50,"40-49","50+")))</f>
        <v>40-49</v>
      </c>
      <c r="AA89" t="str">
        <f>IF(Table1[[#This Row],[Salary]]&lt;20000000,"low",IF(Table1[[#This Row],[Salary]]&lt;40000000,"medium","high"))</f>
        <v>high</v>
      </c>
      <c r="AB89">
        <f>YEAR(Table1[[#This Row],[Hire Date]])</f>
        <v>2019</v>
      </c>
      <c r="AC89" t="str">
        <f>TEXT(Table1[[#This Row],[Hire Date]],"mmmm")</f>
        <v>مه</v>
      </c>
      <c r="AD89" t="str">
        <f>IF(Table1[[#This Row],[Resigned]]="yes","former","active")</f>
        <v>active</v>
      </c>
    </row>
    <row r="90" spans="1:30" x14ac:dyDescent="0.3">
      <c r="A90" t="s">
        <v>245</v>
      </c>
      <c r="B90" t="s">
        <v>246</v>
      </c>
      <c r="C90" t="s">
        <v>39</v>
      </c>
      <c r="D90">
        <v>52</v>
      </c>
      <c r="E90" t="s">
        <v>40</v>
      </c>
      <c r="F90" t="s">
        <v>41</v>
      </c>
      <c r="G90" t="s">
        <v>58</v>
      </c>
      <c r="H90" t="s">
        <v>31</v>
      </c>
      <c r="I90" t="s">
        <v>50</v>
      </c>
      <c r="J90" s="1">
        <v>43762</v>
      </c>
      <c r="K90">
        <v>7</v>
      </c>
      <c r="L90">
        <v>13628444</v>
      </c>
      <c r="M90">
        <v>674550</v>
      </c>
      <c r="N90" t="s">
        <v>33</v>
      </c>
      <c r="O90">
        <v>4.82</v>
      </c>
      <c r="P90">
        <v>10</v>
      </c>
      <c r="Q90">
        <v>2</v>
      </c>
      <c r="R90">
        <v>2</v>
      </c>
      <c r="S90">
        <v>8</v>
      </c>
      <c r="T90" t="s">
        <v>34</v>
      </c>
      <c r="U90" t="s">
        <v>34</v>
      </c>
      <c r="V90" t="s">
        <v>44</v>
      </c>
      <c r="W90" t="s">
        <v>33</v>
      </c>
      <c r="X90" t="s">
        <v>45</v>
      </c>
      <c r="Z90" t="str">
        <f>IF(Table1[[#This Row],[Age]]&lt;30,"20-29",IF(Table1[[#This Row],[Age]]&lt;40,"30-39",IF(Table1[[#This Row],[Age]]&lt;50,"40-49","50+")))</f>
        <v>50+</v>
      </c>
      <c r="AA90" t="str">
        <f>IF(Table1[[#This Row],[Salary]]&lt;20000000,"low",IF(Table1[[#This Row],[Salary]]&lt;40000000,"medium","high"))</f>
        <v>low</v>
      </c>
      <c r="AB90">
        <f>YEAR(Table1[[#This Row],[Hire Date]])</f>
        <v>2019</v>
      </c>
      <c r="AC90" t="str">
        <f>TEXT(Table1[[#This Row],[Hire Date]],"mmmm")</f>
        <v>اُكتبر</v>
      </c>
      <c r="AD90" t="str">
        <f>IF(Table1[[#This Row],[Resigned]]="yes","former","active")</f>
        <v>active</v>
      </c>
    </row>
    <row r="91" spans="1:30" x14ac:dyDescent="0.3">
      <c r="A91" t="s">
        <v>247</v>
      </c>
      <c r="B91" t="s">
        <v>248</v>
      </c>
      <c r="C91" t="s">
        <v>27</v>
      </c>
      <c r="D91">
        <v>28</v>
      </c>
      <c r="E91" t="s">
        <v>73</v>
      </c>
      <c r="F91" t="s">
        <v>127</v>
      </c>
      <c r="G91" t="s">
        <v>58</v>
      </c>
      <c r="H91" t="s">
        <v>42</v>
      </c>
      <c r="I91" t="s">
        <v>65</v>
      </c>
      <c r="J91" s="1">
        <v>42979</v>
      </c>
      <c r="K91">
        <v>9</v>
      </c>
      <c r="L91">
        <v>50277402</v>
      </c>
      <c r="M91">
        <v>4809280</v>
      </c>
      <c r="N91" t="s">
        <v>33</v>
      </c>
      <c r="O91">
        <v>3.85</v>
      </c>
      <c r="P91">
        <v>52</v>
      </c>
      <c r="Q91">
        <v>1</v>
      </c>
      <c r="R91">
        <v>3</v>
      </c>
      <c r="S91">
        <v>14</v>
      </c>
      <c r="T91" t="s">
        <v>33</v>
      </c>
      <c r="U91" t="s">
        <v>34</v>
      </c>
      <c r="V91" t="s">
        <v>35</v>
      </c>
      <c r="W91" t="s">
        <v>34</v>
      </c>
      <c r="X91" t="s">
        <v>45</v>
      </c>
      <c r="Z91" t="str">
        <f>IF(Table1[[#This Row],[Age]]&lt;30,"20-29",IF(Table1[[#This Row],[Age]]&lt;40,"30-39",IF(Table1[[#This Row],[Age]]&lt;50,"40-49","50+")))</f>
        <v>20-29</v>
      </c>
      <c r="AA91" t="str">
        <f>IF(Table1[[#This Row],[Salary]]&lt;20000000,"low",IF(Table1[[#This Row],[Salary]]&lt;40000000,"medium","high"))</f>
        <v>high</v>
      </c>
      <c r="AB91">
        <f>YEAR(Table1[[#This Row],[Hire Date]])</f>
        <v>2017</v>
      </c>
      <c r="AC91" t="str">
        <f>TEXT(Table1[[#This Row],[Hire Date]],"mmmm")</f>
        <v>سپتامبر</v>
      </c>
      <c r="AD91" t="str">
        <f>IF(Table1[[#This Row],[Resigned]]="yes","former","active")</f>
        <v>active</v>
      </c>
    </row>
    <row r="92" spans="1:30" x14ac:dyDescent="0.3">
      <c r="A92" t="s">
        <v>249</v>
      </c>
      <c r="B92" t="s">
        <v>250</v>
      </c>
      <c r="C92" t="s">
        <v>27</v>
      </c>
      <c r="D92">
        <v>55</v>
      </c>
      <c r="E92" t="s">
        <v>63</v>
      </c>
      <c r="F92" t="s">
        <v>64</v>
      </c>
      <c r="G92" t="s">
        <v>30</v>
      </c>
      <c r="H92" t="s">
        <v>31</v>
      </c>
      <c r="I92" t="s">
        <v>32</v>
      </c>
      <c r="J92" s="1">
        <v>44932</v>
      </c>
      <c r="K92">
        <v>3</v>
      </c>
      <c r="L92">
        <v>40296500</v>
      </c>
      <c r="M92">
        <v>2913274</v>
      </c>
      <c r="N92" t="s">
        <v>33</v>
      </c>
      <c r="O92">
        <v>4.78</v>
      </c>
      <c r="P92">
        <v>30</v>
      </c>
      <c r="Q92">
        <v>4</v>
      </c>
      <c r="R92">
        <v>1</v>
      </c>
      <c r="S92">
        <v>18</v>
      </c>
      <c r="T92" t="s">
        <v>33</v>
      </c>
      <c r="U92" t="s">
        <v>34</v>
      </c>
      <c r="V92" t="s">
        <v>51</v>
      </c>
      <c r="W92" t="s">
        <v>33</v>
      </c>
      <c r="X92" t="s">
        <v>36</v>
      </c>
      <c r="Z92" t="str">
        <f>IF(Table1[[#This Row],[Age]]&lt;30,"20-29",IF(Table1[[#This Row],[Age]]&lt;40,"30-39",IF(Table1[[#This Row],[Age]]&lt;50,"40-49","50+")))</f>
        <v>50+</v>
      </c>
      <c r="AA92" t="str">
        <f>IF(Table1[[#This Row],[Salary]]&lt;20000000,"low",IF(Table1[[#This Row],[Salary]]&lt;40000000,"medium","high"))</f>
        <v>high</v>
      </c>
      <c r="AB92">
        <f>YEAR(Table1[[#This Row],[Hire Date]])</f>
        <v>2023</v>
      </c>
      <c r="AC92" t="str">
        <f>TEXT(Table1[[#This Row],[Hire Date]],"mmmm")</f>
        <v>ژانويه</v>
      </c>
      <c r="AD92" t="str">
        <f>IF(Table1[[#This Row],[Resigned]]="yes","former","active")</f>
        <v>active</v>
      </c>
    </row>
    <row r="93" spans="1:30" x14ac:dyDescent="0.3">
      <c r="A93" t="s">
        <v>251</v>
      </c>
      <c r="B93" t="s">
        <v>252</v>
      </c>
      <c r="C93" t="s">
        <v>27</v>
      </c>
      <c r="D93">
        <v>54</v>
      </c>
      <c r="E93" t="s">
        <v>28</v>
      </c>
      <c r="F93" t="s">
        <v>80</v>
      </c>
      <c r="G93" t="s">
        <v>30</v>
      </c>
      <c r="H93" t="s">
        <v>42</v>
      </c>
      <c r="I93" t="s">
        <v>81</v>
      </c>
      <c r="J93" s="1">
        <v>42468</v>
      </c>
      <c r="K93">
        <v>10</v>
      </c>
      <c r="L93">
        <v>19761720</v>
      </c>
      <c r="M93">
        <v>1486848</v>
      </c>
      <c r="N93" t="s">
        <v>33</v>
      </c>
      <c r="O93">
        <v>4.04</v>
      </c>
      <c r="P93">
        <v>34</v>
      </c>
      <c r="Q93">
        <v>3</v>
      </c>
      <c r="R93">
        <v>5</v>
      </c>
      <c r="S93">
        <v>5</v>
      </c>
      <c r="T93" t="s">
        <v>34</v>
      </c>
      <c r="U93" t="s">
        <v>34</v>
      </c>
      <c r="V93" t="s">
        <v>51</v>
      </c>
      <c r="W93" t="s">
        <v>34</v>
      </c>
      <c r="X93" t="s">
        <v>52</v>
      </c>
      <c r="Z93" t="str">
        <f>IF(Table1[[#This Row],[Age]]&lt;30,"20-29",IF(Table1[[#This Row],[Age]]&lt;40,"30-39",IF(Table1[[#This Row],[Age]]&lt;50,"40-49","50+")))</f>
        <v>50+</v>
      </c>
      <c r="AA93" t="str">
        <f>IF(Table1[[#This Row],[Salary]]&lt;20000000,"low",IF(Table1[[#This Row],[Salary]]&lt;40000000,"medium","high"))</f>
        <v>low</v>
      </c>
      <c r="AB93">
        <f>YEAR(Table1[[#This Row],[Hire Date]])</f>
        <v>2016</v>
      </c>
      <c r="AC93" t="str">
        <f>TEXT(Table1[[#This Row],[Hire Date]],"mmmm")</f>
        <v>آوريل</v>
      </c>
      <c r="AD93" t="str">
        <f>IF(Table1[[#This Row],[Resigned]]="yes","former","active")</f>
        <v>active</v>
      </c>
    </row>
    <row r="94" spans="1:30" x14ac:dyDescent="0.3">
      <c r="A94" t="s">
        <v>253</v>
      </c>
      <c r="B94" t="s">
        <v>254</v>
      </c>
      <c r="C94" t="s">
        <v>39</v>
      </c>
      <c r="D94">
        <v>47</v>
      </c>
      <c r="E94" t="s">
        <v>63</v>
      </c>
      <c r="F94" t="s">
        <v>93</v>
      </c>
      <c r="G94" t="s">
        <v>58</v>
      </c>
      <c r="H94" t="s">
        <v>42</v>
      </c>
      <c r="I94" t="s">
        <v>65</v>
      </c>
      <c r="J94" s="1">
        <v>44950</v>
      </c>
      <c r="K94">
        <v>3</v>
      </c>
      <c r="L94">
        <v>56091129</v>
      </c>
      <c r="M94">
        <v>2200237</v>
      </c>
      <c r="N94" t="s">
        <v>33</v>
      </c>
      <c r="O94">
        <v>4.2300000000000004</v>
      </c>
      <c r="P94">
        <v>13</v>
      </c>
      <c r="Q94">
        <v>1</v>
      </c>
      <c r="R94">
        <v>4</v>
      </c>
      <c r="S94">
        <v>18</v>
      </c>
      <c r="T94" t="s">
        <v>34</v>
      </c>
      <c r="U94" t="s">
        <v>34</v>
      </c>
      <c r="V94" t="s">
        <v>51</v>
      </c>
      <c r="W94" t="s">
        <v>33</v>
      </c>
      <c r="X94" t="s">
        <v>52</v>
      </c>
      <c r="Z94" t="str">
        <f>IF(Table1[[#This Row],[Age]]&lt;30,"20-29",IF(Table1[[#This Row],[Age]]&lt;40,"30-39",IF(Table1[[#This Row],[Age]]&lt;50,"40-49","50+")))</f>
        <v>40-49</v>
      </c>
      <c r="AA94" t="str">
        <f>IF(Table1[[#This Row],[Salary]]&lt;20000000,"low",IF(Table1[[#This Row],[Salary]]&lt;40000000,"medium","high"))</f>
        <v>high</v>
      </c>
      <c r="AB94">
        <f>YEAR(Table1[[#This Row],[Hire Date]])</f>
        <v>2023</v>
      </c>
      <c r="AC94" t="str">
        <f>TEXT(Table1[[#This Row],[Hire Date]],"mmmm")</f>
        <v>ژانويه</v>
      </c>
      <c r="AD94" t="str">
        <f>IF(Table1[[#This Row],[Resigned]]="yes","former","active")</f>
        <v>active</v>
      </c>
    </row>
    <row r="95" spans="1:30" x14ac:dyDescent="0.3">
      <c r="A95" t="s">
        <v>255</v>
      </c>
      <c r="B95" t="s">
        <v>256</v>
      </c>
      <c r="C95" t="s">
        <v>27</v>
      </c>
      <c r="D95">
        <v>41</v>
      </c>
      <c r="E95" t="s">
        <v>56</v>
      </c>
      <c r="F95" t="s">
        <v>57</v>
      </c>
      <c r="G95" t="s">
        <v>49</v>
      </c>
      <c r="H95" t="s">
        <v>31</v>
      </c>
      <c r="I95" t="s">
        <v>65</v>
      </c>
      <c r="J95" s="1">
        <v>43047</v>
      </c>
      <c r="K95">
        <v>9</v>
      </c>
      <c r="L95">
        <v>41800121</v>
      </c>
      <c r="M95">
        <v>4900439</v>
      </c>
      <c r="N95" t="s">
        <v>34</v>
      </c>
      <c r="O95">
        <v>4.03</v>
      </c>
      <c r="P95">
        <v>60</v>
      </c>
      <c r="Q95">
        <v>1</v>
      </c>
      <c r="R95">
        <v>2</v>
      </c>
      <c r="S95">
        <v>8</v>
      </c>
      <c r="T95" t="s">
        <v>34</v>
      </c>
      <c r="U95" t="s">
        <v>34</v>
      </c>
      <c r="V95" t="s">
        <v>59</v>
      </c>
      <c r="W95" t="s">
        <v>33</v>
      </c>
      <c r="X95" t="s">
        <v>45</v>
      </c>
      <c r="Z95" t="str">
        <f>IF(Table1[[#This Row],[Age]]&lt;30,"20-29",IF(Table1[[#This Row],[Age]]&lt;40,"30-39",IF(Table1[[#This Row],[Age]]&lt;50,"40-49","50+")))</f>
        <v>40-49</v>
      </c>
      <c r="AA95" t="str">
        <f>IF(Table1[[#This Row],[Salary]]&lt;20000000,"low",IF(Table1[[#This Row],[Salary]]&lt;40000000,"medium","high"))</f>
        <v>high</v>
      </c>
      <c r="AB95">
        <f>YEAR(Table1[[#This Row],[Hire Date]])</f>
        <v>2017</v>
      </c>
      <c r="AC95" t="str">
        <f>TEXT(Table1[[#This Row],[Hire Date]],"mmmm")</f>
        <v>نوامبر</v>
      </c>
      <c r="AD95" t="str">
        <f>IF(Table1[[#This Row],[Resigned]]="yes","former","active")</f>
        <v>active</v>
      </c>
    </row>
    <row r="96" spans="1:30" x14ac:dyDescent="0.3">
      <c r="A96" t="s">
        <v>257</v>
      </c>
      <c r="B96" t="s">
        <v>258</v>
      </c>
      <c r="C96" t="s">
        <v>39</v>
      </c>
      <c r="D96">
        <v>30</v>
      </c>
      <c r="E96" t="s">
        <v>56</v>
      </c>
      <c r="F96" t="s">
        <v>84</v>
      </c>
      <c r="G96" t="s">
        <v>30</v>
      </c>
      <c r="H96" t="s">
        <v>42</v>
      </c>
      <c r="I96" t="s">
        <v>43</v>
      </c>
      <c r="J96" s="1">
        <v>45031</v>
      </c>
      <c r="K96">
        <v>3</v>
      </c>
      <c r="L96">
        <v>21469302</v>
      </c>
      <c r="M96">
        <v>9145880</v>
      </c>
      <c r="N96" t="s">
        <v>33</v>
      </c>
      <c r="O96">
        <v>2.58</v>
      </c>
      <c r="P96">
        <v>72</v>
      </c>
      <c r="Q96">
        <v>4</v>
      </c>
      <c r="R96">
        <v>2</v>
      </c>
      <c r="S96">
        <v>2</v>
      </c>
      <c r="T96" t="s">
        <v>33</v>
      </c>
      <c r="U96" t="s">
        <v>34</v>
      </c>
      <c r="V96" t="s">
        <v>59</v>
      </c>
      <c r="W96" t="s">
        <v>34</v>
      </c>
      <c r="X96" t="s">
        <v>45</v>
      </c>
      <c r="Z96" t="str">
        <f>IF(Table1[[#This Row],[Age]]&lt;30,"20-29",IF(Table1[[#This Row],[Age]]&lt;40,"30-39",IF(Table1[[#This Row],[Age]]&lt;50,"40-49","50+")))</f>
        <v>30-39</v>
      </c>
      <c r="AA96" t="str">
        <f>IF(Table1[[#This Row],[Salary]]&lt;20000000,"low",IF(Table1[[#This Row],[Salary]]&lt;40000000,"medium","high"))</f>
        <v>medium</v>
      </c>
      <c r="AB96">
        <f>YEAR(Table1[[#This Row],[Hire Date]])</f>
        <v>2023</v>
      </c>
      <c r="AC96" t="str">
        <f>TEXT(Table1[[#This Row],[Hire Date]],"mmmm")</f>
        <v>آوريل</v>
      </c>
      <c r="AD96" t="str">
        <f>IF(Table1[[#This Row],[Resigned]]="yes","former","active")</f>
        <v>active</v>
      </c>
    </row>
    <row r="97" spans="1:30" x14ac:dyDescent="0.3">
      <c r="A97" t="s">
        <v>259</v>
      </c>
      <c r="B97" t="s">
        <v>260</v>
      </c>
      <c r="C97" t="s">
        <v>27</v>
      </c>
      <c r="D97">
        <v>37</v>
      </c>
      <c r="E97" t="s">
        <v>63</v>
      </c>
      <c r="F97" t="s">
        <v>64</v>
      </c>
      <c r="G97" t="s">
        <v>58</v>
      </c>
      <c r="H97" t="s">
        <v>42</v>
      </c>
      <c r="I97" t="s">
        <v>32</v>
      </c>
      <c r="J97" s="1">
        <v>44945</v>
      </c>
      <c r="K97">
        <v>3</v>
      </c>
      <c r="L97">
        <v>14870297</v>
      </c>
      <c r="M97">
        <v>6681310</v>
      </c>
      <c r="N97" t="s">
        <v>33</v>
      </c>
      <c r="O97">
        <v>3.38</v>
      </c>
      <c r="P97">
        <v>36</v>
      </c>
      <c r="Q97">
        <v>4</v>
      </c>
      <c r="R97">
        <v>5</v>
      </c>
      <c r="S97">
        <v>7</v>
      </c>
      <c r="T97" t="s">
        <v>33</v>
      </c>
      <c r="U97" t="s">
        <v>34</v>
      </c>
      <c r="V97" t="s">
        <v>59</v>
      </c>
      <c r="W97" t="s">
        <v>34</v>
      </c>
      <c r="X97" t="s">
        <v>36</v>
      </c>
      <c r="Z97" t="str">
        <f>IF(Table1[[#This Row],[Age]]&lt;30,"20-29",IF(Table1[[#This Row],[Age]]&lt;40,"30-39",IF(Table1[[#This Row],[Age]]&lt;50,"40-49","50+")))</f>
        <v>30-39</v>
      </c>
      <c r="AA97" t="str">
        <f>IF(Table1[[#This Row],[Salary]]&lt;20000000,"low",IF(Table1[[#This Row],[Salary]]&lt;40000000,"medium","high"))</f>
        <v>low</v>
      </c>
      <c r="AB97">
        <f>YEAR(Table1[[#This Row],[Hire Date]])</f>
        <v>2023</v>
      </c>
      <c r="AC97" t="str">
        <f>TEXT(Table1[[#This Row],[Hire Date]],"mmmm")</f>
        <v>ژانويه</v>
      </c>
      <c r="AD97" t="str">
        <f>IF(Table1[[#This Row],[Resigned]]="yes","former","active")</f>
        <v>active</v>
      </c>
    </row>
    <row r="98" spans="1:30" x14ac:dyDescent="0.3">
      <c r="A98" t="s">
        <v>261</v>
      </c>
      <c r="B98" t="s">
        <v>262</v>
      </c>
      <c r="C98" t="s">
        <v>27</v>
      </c>
      <c r="D98">
        <v>39</v>
      </c>
      <c r="E98" t="s">
        <v>40</v>
      </c>
      <c r="F98" t="s">
        <v>48</v>
      </c>
      <c r="G98" t="s">
        <v>58</v>
      </c>
      <c r="H98" t="s">
        <v>31</v>
      </c>
      <c r="I98" t="s">
        <v>65</v>
      </c>
      <c r="J98" s="1">
        <v>43965</v>
      </c>
      <c r="K98">
        <v>6</v>
      </c>
      <c r="L98">
        <v>26770943</v>
      </c>
      <c r="M98">
        <v>9442421</v>
      </c>
      <c r="N98" t="s">
        <v>33</v>
      </c>
      <c r="O98">
        <v>3.02</v>
      </c>
      <c r="P98">
        <v>77</v>
      </c>
      <c r="Q98">
        <v>4</v>
      </c>
      <c r="R98">
        <v>4</v>
      </c>
      <c r="S98">
        <v>1</v>
      </c>
      <c r="T98" t="s">
        <v>33</v>
      </c>
      <c r="U98" t="s">
        <v>34</v>
      </c>
      <c r="V98" t="s">
        <v>70</v>
      </c>
      <c r="W98" t="s">
        <v>33</v>
      </c>
      <c r="X98" t="s">
        <v>52</v>
      </c>
      <c r="Z98" t="str">
        <f>IF(Table1[[#This Row],[Age]]&lt;30,"20-29",IF(Table1[[#This Row],[Age]]&lt;40,"30-39",IF(Table1[[#This Row],[Age]]&lt;50,"40-49","50+")))</f>
        <v>30-39</v>
      </c>
      <c r="AA98" t="str">
        <f>IF(Table1[[#This Row],[Salary]]&lt;20000000,"low",IF(Table1[[#This Row],[Salary]]&lt;40000000,"medium","high"))</f>
        <v>medium</v>
      </c>
      <c r="AB98">
        <f>YEAR(Table1[[#This Row],[Hire Date]])</f>
        <v>2020</v>
      </c>
      <c r="AC98" t="str">
        <f>TEXT(Table1[[#This Row],[Hire Date]],"mmmm")</f>
        <v>مه</v>
      </c>
      <c r="AD98" t="str">
        <f>IF(Table1[[#This Row],[Resigned]]="yes","former","active")</f>
        <v>active</v>
      </c>
    </row>
    <row r="99" spans="1:30" x14ac:dyDescent="0.3">
      <c r="A99" t="s">
        <v>263</v>
      </c>
      <c r="B99" t="s">
        <v>264</v>
      </c>
      <c r="C99" t="s">
        <v>39</v>
      </c>
      <c r="D99">
        <v>27</v>
      </c>
      <c r="E99" t="s">
        <v>110</v>
      </c>
      <c r="F99" t="s">
        <v>111</v>
      </c>
      <c r="G99" t="s">
        <v>49</v>
      </c>
      <c r="H99" t="s">
        <v>42</v>
      </c>
      <c r="I99" t="s">
        <v>50</v>
      </c>
      <c r="J99" s="1">
        <v>43514</v>
      </c>
      <c r="K99">
        <v>7</v>
      </c>
      <c r="L99">
        <v>48919741</v>
      </c>
      <c r="M99">
        <v>5097547</v>
      </c>
      <c r="N99" t="s">
        <v>34</v>
      </c>
      <c r="O99">
        <v>4.33</v>
      </c>
      <c r="P99">
        <v>54</v>
      </c>
      <c r="Q99">
        <v>4</v>
      </c>
      <c r="R99">
        <v>3</v>
      </c>
      <c r="S99">
        <v>9</v>
      </c>
      <c r="T99" t="s">
        <v>34</v>
      </c>
      <c r="U99" t="s">
        <v>34</v>
      </c>
      <c r="V99" t="s">
        <v>35</v>
      </c>
      <c r="W99" t="s">
        <v>34</v>
      </c>
      <c r="X99" t="s">
        <v>36</v>
      </c>
      <c r="Z99" t="str">
        <f>IF(Table1[[#This Row],[Age]]&lt;30,"20-29",IF(Table1[[#This Row],[Age]]&lt;40,"30-39",IF(Table1[[#This Row],[Age]]&lt;50,"40-49","50+")))</f>
        <v>20-29</v>
      </c>
      <c r="AA99" t="str">
        <f>IF(Table1[[#This Row],[Salary]]&lt;20000000,"low",IF(Table1[[#This Row],[Salary]]&lt;40000000,"medium","high"))</f>
        <v>high</v>
      </c>
      <c r="AB99">
        <f>YEAR(Table1[[#This Row],[Hire Date]])</f>
        <v>2019</v>
      </c>
      <c r="AC99" t="str">
        <f>TEXT(Table1[[#This Row],[Hire Date]],"mmmm")</f>
        <v>فوريه</v>
      </c>
      <c r="AD99" t="str">
        <f>IF(Table1[[#This Row],[Resigned]]="yes","former","active")</f>
        <v>active</v>
      </c>
    </row>
    <row r="100" spans="1:30" x14ac:dyDescent="0.3">
      <c r="A100" t="s">
        <v>265</v>
      </c>
      <c r="B100" t="s">
        <v>266</v>
      </c>
      <c r="C100" t="s">
        <v>39</v>
      </c>
      <c r="D100">
        <v>31</v>
      </c>
      <c r="E100" t="s">
        <v>63</v>
      </c>
      <c r="F100" t="s">
        <v>93</v>
      </c>
      <c r="G100" t="s">
        <v>58</v>
      </c>
      <c r="H100" t="s">
        <v>42</v>
      </c>
      <c r="I100" t="s">
        <v>32</v>
      </c>
      <c r="J100" s="1">
        <v>43861</v>
      </c>
      <c r="K100">
        <v>6</v>
      </c>
      <c r="L100">
        <v>34823216</v>
      </c>
      <c r="M100">
        <v>2338891</v>
      </c>
      <c r="N100" t="s">
        <v>33</v>
      </c>
      <c r="O100">
        <v>3.81</v>
      </c>
      <c r="P100">
        <v>65</v>
      </c>
      <c r="Q100">
        <v>5</v>
      </c>
      <c r="R100">
        <v>3</v>
      </c>
      <c r="S100">
        <v>15</v>
      </c>
      <c r="T100" t="s">
        <v>33</v>
      </c>
      <c r="U100" t="s">
        <v>34</v>
      </c>
      <c r="V100" t="s">
        <v>35</v>
      </c>
      <c r="W100" t="s">
        <v>33</v>
      </c>
      <c r="X100" t="s">
        <v>52</v>
      </c>
      <c r="Z100" t="str">
        <f>IF(Table1[[#This Row],[Age]]&lt;30,"20-29",IF(Table1[[#This Row],[Age]]&lt;40,"30-39",IF(Table1[[#This Row],[Age]]&lt;50,"40-49","50+")))</f>
        <v>30-39</v>
      </c>
      <c r="AA100" t="str">
        <f>IF(Table1[[#This Row],[Salary]]&lt;20000000,"low",IF(Table1[[#This Row],[Salary]]&lt;40000000,"medium","high"))</f>
        <v>medium</v>
      </c>
      <c r="AB100">
        <f>YEAR(Table1[[#This Row],[Hire Date]])</f>
        <v>2020</v>
      </c>
      <c r="AC100" t="str">
        <f>TEXT(Table1[[#This Row],[Hire Date]],"mmmm")</f>
        <v>ژانويه</v>
      </c>
      <c r="AD100" t="str">
        <f>IF(Table1[[#This Row],[Resigned]]="yes","former","active")</f>
        <v>active</v>
      </c>
    </row>
    <row r="101" spans="1:30" x14ac:dyDescent="0.3">
      <c r="A101" t="s">
        <v>267</v>
      </c>
      <c r="B101" t="s">
        <v>268</v>
      </c>
      <c r="C101" t="s">
        <v>39</v>
      </c>
      <c r="D101">
        <v>52</v>
      </c>
      <c r="E101" t="s">
        <v>63</v>
      </c>
      <c r="F101" t="s">
        <v>93</v>
      </c>
      <c r="G101" t="s">
        <v>49</v>
      </c>
      <c r="H101" t="s">
        <v>42</v>
      </c>
      <c r="I101" t="s">
        <v>43</v>
      </c>
      <c r="J101" s="1">
        <v>45817</v>
      </c>
      <c r="K101">
        <v>1</v>
      </c>
      <c r="L101">
        <v>22283433</v>
      </c>
      <c r="M101">
        <v>8375671</v>
      </c>
      <c r="N101" t="s">
        <v>34</v>
      </c>
      <c r="O101">
        <v>3.83</v>
      </c>
      <c r="P101">
        <v>24</v>
      </c>
      <c r="Q101">
        <v>5</v>
      </c>
      <c r="R101">
        <v>5</v>
      </c>
      <c r="S101">
        <v>13</v>
      </c>
      <c r="T101" t="s">
        <v>33</v>
      </c>
      <c r="U101" t="s">
        <v>34</v>
      </c>
      <c r="V101" t="s">
        <v>44</v>
      </c>
      <c r="W101" t="s">
        <v>33</v>
      </c>
      <c r="X101" t="s">
        <v>45</v>
      </c>
      <c r="Z101" t="str">
        <f>IF(Table1[[#This Row],[Age]]&lt;30,"20-29",IF(Table1[[#This Row],[Age]]&lt;40,"30-39",IF(Table1[[#This Row],[Age]]&lt;50,"40-49","50+")))</f>
        <v>50+</v>
      </c>
      <c r="AA101" t="str">
        <f>IF(Table1[[#This Row],[Salary]]&lt;20000000,"low",IF(Table1[[#This Row],[Salary]]&lt;40000000,"medium","high"))</f>
        <v>medium</v>
      </c>
      <c r="AB101">
        <f>YEAR(Table1[[#This Row],[Hire Date]])</f>
        <v>2025</v>
      </c>
      <c r="AC101" t="str">
        <f>TEXT(Table1[[#This Row],[Hire Date]],"mmmm")</f>
        <v>ژوئن</v>
      </c>
      <c r="AD101" t="str">
        <f>IF(Table1[[#This Row],[Resigned]]="yes","former","active")</f>
        <v>active</v>
      </c>
    </row>
    <row r="102" spans="1:30" x14ac:dyDescent="0.3">
      <c r="A102" t="s">
        <v>269</v>
      </c>
      <c r="B102" t="s">
        <v>270</v>
      </c>
      <c r="C102" t="s">
        <v>27</v>
      </c>
      <c r="D102">
        <v>56</v>
      </c>
      <c r="E102" t="s">
        <v>28</v>
      </c>
      <c r="F102" t="s">
        <v>29</v>
      </c>
      <c r="G102" t="s">
        <v>49</v>
      </c>
      <c r="H102" t="s">
        <v>31</v>
      </c>
      <c r="I102" t="s">
        <v>43</v>
      </c>
      <c r="J102" s="1">
        <v>45413</v>
      </c>
      <c r="K102">
        <v>2</v>
      </c>
      <c r="L102">
        <v>36105328</v>
      </c>
      <c r="M102">
        <v>8844536</v>
      </c>
      <c r="N102" t="s">
        <v>33</v>
      </c>
      <c r="O102">
        <v>2.94</v>
      </c>
      <c r="P102">
        <v>59</v>
      </c>
      <c r="Q102">
        <v>1</v>
      </c>
      <c r="R102">
        <v>1</v>
      </c>
      <c r="S102">
        <v>16</v>
      </c>
      <c r="T102" t="s">
        <v>33</v>
      </c>
      <c r="U102" t="s">
        <v>34</v>
      </c>
      <c r="V102" t="s">
        <v>44</v>
      </c>
      <c r="W102" t="s">
        <v>33</v>
      </c>
      <c r="X102" t="s">
        <v>45</v>
      </c>
      <c r="Z102" t="str">
        <f>IF(Table1[[#This Row],[Age]]&lt;30,"20-29",IF(Table1[[#This Row],[Age]]&lt;40,"30-39",IF(Table1[[#This Row],[Age]]&lt;50,"40-49","50+")))</f>
        <v>50+</v>
      </c>
      <c r="AA102" t="str">
        <f>IF(Table1[[#This Row],[Salary]]&lt;20000000,"low",IF(Table1[[#This Row],[Salary]]&lt;40000000,"medium","high"))</f>
        <v>medium</v>
      </c>
      <c r="AB102">
        <f>YEAR(Table1[[#This Row],[Hire Date]])</f>
        <v>2024</v>
      </c>
      <c r="AC102" t="str">
        <f>TEXT(Table1[[#This Row],[Hire Date]],"mmmm")</f>
        <v>مه</v>
      </c>
      <c r="AD102" t="str">
        <f>IF(Table1[[#This Row],[Resigned]]="yes","former","active")</f>
        <v>active</v>
      </c>
    </row>
    <row r="103" spans="1:30" x14ac:dyDescent="0.3">
      <c r="A103" t="s">
        <v>271</v>
      </c>
      <c r="B103" t="s">
        <v>272</v>
      </c>
      <c r="C103" t="s">
        <v>39</v>
      </c>
      <c r="D103">
        <v>56</v>
      </c>
      <c r="E103" t="s">
        <v>73</v>
      </c>
      <c r="F103" t="s">
        <v>127</v>
      </c>
      <c r="G103" t="s">
        <v>58</v>
      </c>
      <c r="H103" t="s">
        <v>42</v>
      </c>
      <c r="I103" t="s">
        <v>81</v>
      </c>
      <c r="J103" s="1">
        <v>43656</v>
      </c>
      <c r="K103">
        <v>7</v>
      </c>
      <c r="L103">
        <v>37251978</v>
      </c>
      <c r="M103">
        <v>8832125</v>
      </c>
      <c r="N103" t="s">
        <v>34</v>
      </c>
      <c r="O103">
        <v>3.66</v>
      </c>
      <c r="P103">
        <v>10</v>
      </c>
      <c r="Q103">
        <v>5</v>
      </c>
      <c r="R103">
        <v>1</v>
      </c>
      <c r="S103">
        <v>8</v>
      </c>
      <c r="T103" t="s">
        <v>33</v>
      </c>
      <c r="U103" t="s">
        <v>34</v>
      </c>
      <c r="V103" t="s">
        <v>70</v>
      </c>
      <c r="W103" t="s">
        <v>34</v>
      </c>
      <c r="X103" t="s">
        <v>36</v>
      </c>
      <c r="Z103" t="str">
        <f>IF(Table1[[#This Row],[Age]]&lt;30,"20-29",IF(Table1[[#This Row],[Age]]&lt;40,"30-39",IF(Table1[[#This Row],[Age]]&lt;50,"40-49","50+")))</f>
        <v>50+</v>
      </c>
      <c r="AA103" t="str">
        <f>IF(Table1[[#This Row],[Salary]]&lt;20000000,"low",IF(Table1[[#This Row],[Salary]]&lt;40000000,"medium","high"))</f>
        <v>medium</v>
      </c>
      <c r="AB103">
        <f>YEAR(Table1[[#This Row],[Hire Date]])</f>
        <v>2019</v>
      </c>
      <c r="AC103" t="str">
        <f>TEXT(Table1[[#This Row],[Hire Date]],"mmmm")</f>
        <v>ژوئيه</v>
      </c>
      <c r="AD103" t="str">
        <f>IF(Table1[[#This Row],[Resigned]]="yes","former","active")</f>
        <v>active</v>
      </c>
    </row>
    <row r="104" spans="1:30" x14ac:dyDescent="0.3">
      <c r="A104" t="s">
        <v>273</v>
      </c>
      <c r="B104" t="s">
        <v>274</v>
      </c>
      <c r="C104" t="s">
        <v>27</v>
      </c>
      <c r="D104">
        <v>29</v>
      </c>
      <c r="E104" t="s">
        <v>28</v>
      </c>
      <c r="F104" t="s">
        <v>80</v>
      </c>
      <c r="G104" t="s">
        <v>30</v>
      </c>
      <c r="H104" t="s">
        <v>42</v>
      </c>
      <c r="I104" t="s">
        <v>43</v>
      </c>
      <c r="J104" s="1">
        <v>45104</v>
      </c>
      <c r="K104">
        <v>3</v>
      </c>
      <c r="L104">
        <v>43611136</v>
      </c>
      <c r="M104">
        <v>9316651</v>
      </c>
      <c r="N104" t="s">
        <v>34</v>
      </c>
      <c r="O104">
        <v>4.96</v>
      </c>
      <c r="P104">
        <v>13</v>
      </c>
      <c r="Q104">
        <v>2</v>
      </c>
      <c r="R104">
        <v>1</v>
      </c>
      <c r="S104">
        <v>11</v>
      </c>
      <c r="T104" t="s">
        <v>33</v>
      </c>
      <c r="U104" t="s">
        <v>34</v>
      </c>
      <c r="V104" t="s">
        <v>44</v>
      </c>
      <c r="W104" t="s">
        <v>34</v>
      </c>
      <c r="X104" t="s">
        <v>45</v>
      </c>
      <c r="Z104" t="str">
        <f>IF(Table1[[#This Row],[Age]]&lt;30,"20-29",IF(Table1[[#This Row],[Age]]&lt;40,"30-39",IF(Table1[[#This Row],[Age]]&lt;50,"40-49","50+")))</f>
        <v>20-29</v>
      </c>
      <c r="AA104" t="str">
        <f>IF(Table1[[#This Row],[Salary]]&lt;20000000,"low",IF(Table1[[#This Row],[Salary]]&lt;40000000,"medium","high"))</f>
        <v>high</v>
      </c>
      <c r="AB104">
        <f>YEAR(Table1[[#This Row],[Hire Date]])</f>
        <v>2023</v>
      </c>
      <c r="AC104" t="str">
        <f>TEXT(Table1[[#This Row],[Hire Date]],"mmmm")</f>
        <v>ژوئن</v>
      </c>
      <c r="AD104" t="str">
        <f>IF(Table1[[#This Row],[Resigned]]="yes","former","active")</f>
        <v>active</v>
      </c>
    </row>
    <row r="105" spans="1:30" x14ac:dyDescent="0.3">
      <c r="A105" t="s">
        <v>275</v>
      </c>
      <c r="B105" t="s">
        <v>276</v>
      </c>
      <c r="C105" t="s">
        <v>27</v>
      </c>
      <c r="D105">
        <v>45</v>
      </c>
      <c r="E105" t="s">
        <v>63</v>
      </c>
      <c r="F105" t="s">
        <v>93</v>
      </c>
      <c r="G105" t="s">
        <v>30</v>
      </c>
      <c r="H105" t="s">
        <v>31</v>
      </c>
      <c r="I105" t="s">
        <v>50</v>
      </c>
      <c r="J105" s="1">
        <v>42421</v>
      </c>
      <c r="K105">
        <v>10</v>
      </c>
      <c r="L105">
        <v>25089624</v>
      </c>
      <c r="M105">
        <v>8756795</v>
      </c>
      <c r="N105" t="s">
        <v>33</v>
      </c>
      <c r="O105">
        <v>4.28</v>
      </c>
      <c r="P105">
        <v>47</v>
      </c>
      <c r="Q105">
        <v>2</v>
      </c>
      <c r="R105">
        <v>1</v>
      </c>
      <c r="S105">
        <v>9</v>
      </c>
      <c r="T105" t="s">
        <v>34</v>
      </c>
      <c r="U105" t="s">
        <v>34</v>
      </c>
      <c r="V105" t="s">
        <v>35</v>
      </c>
      <c r="W105" t="s">
        <v>34</v>
      </c>
      <c r="X105" t="s">
        <v>52</v>
      </c>
      <c r="Z105" t="str">
        <f>IF(Table1[[#This Row],[Age]]&lt;30,"20-29",IF(Table1[[#This Row],[Age]]&lt;40,"30-39",IF(Table1[[#This Row],[Age]]&lt;50,"40-49","50+")))</f>
        <v>40-49</v>
      </c>
      <c r="AA105" t="str">
        <f>IF(Table1[[#This Row],[Salary]]&lt;20000000,"low",IF(Table1[[#This Row],[Salary]]&lt;40000000,"medium","high"))</f>
        <v>medium</v>
      </c>
      <c r="AB105">
        <f>YEAR(Table1[[#This Row],[Hire Date]])</f>
        <v>2016</v>
      </c>
      <c r="AC105" t="str">
        <f>TEXT(Table1[[#This Row],[Hire Date]],"mmmm")</f>
        <v>فوريه</v>
      </c>
      <c r="AD105" t="str">
        <f>IF(Table1[[#This Row],[Resigned]]="yes","former","active")</f>
        <v>active</v>
      </c>
    </row>
    <row r="106" spans="1:30" x14ac:dyDescent="0.3">
      <c r="A106" t="s">
        <v>277</v>
      </c>
      <c r="B106" t="s">
        <v>278</v>
      </c>
      <c r="C106" t="s">
        <v>39</v>
      </c>
      <c r="D106">
        <v>37</v>
      </c>
      <c r="E106" t="s">
        <v>110</v>
      </c>
      <c r="F106" t="s">
        <v>111</v>
      </c>
      <c r="G106" t="s">
        <v>58</v>
      </c>
      <c r="H106" t="s">
        <v>31</v>
      </c>
      <c r="I106" t="s">
        <v>43</v>
      </c>
      <c r="J106" s="1">
        <v>45073</v>
      </c>
      <c r="K106">
        <v>3</v>
      </c>
      <c r="L106">
        <v>53542117</v>
      </c>
      <c r="M106">
        <v>2667189</v>
      </c>
      <c r="N106" t="s">
        <v>33</v>
      </c>
      <c r="O106">
        <v>3.83</v>
      </c>
      <c r="P106">
        <v>64</v>
      </c>
      <c r="Q106">
        <v>2</v>
      </c>
      <c r="R106">
        <v>2</v>
      </c>
      <c r="S106">
        <v>0</v>
      </c>
      <c r="T106" t="s">
        <v>33</v>
      </c>
      <c r="U106" t="s">
        <v>33</v>
      </c>
      <c r="V106" t="s">
        <v>51</v>
      </c>
      <c r="W106" t="s">
        <v>33</v>
      </c>
      <c r="X106" t="s">
        <v>45</v>
      </c>
      <c r="Y106" t="s">
        <v>75</v>
      </c>
      <c r="Z106" t="str">
        <f>IF(Table1[[#This Row],[Age]]&lt;30,"20-29",IF(Table1[[#This Row],[Age]]&lt;40,"30-39",IF(Table1[[#This Row],[Age]]&lt;50,"40-49","50+")))</f>
        <v>30-39</v>
      </c>
      <c r="AA106" t="str">
        <f>IF(Table1[[#This Row],[Salary]]&lt;20000000,"low",IF(Table1[[#This Row],[Salary]]&lt;40000000,"medium","high"))</f>
        <v>high</v>
      </c>
      <c r="AB106">
        <f>YEAR(Table1[[#This Row],[Hire Date]])</f>
        <v>2023</v>
      </c>
      <c r="AC106" t="str">
        <f>TEXT(Table1[[#This Row],[Hire Date]],"mmmm")</f>
        <v>مه</v>
      </c>
      <c r="AD106" t="str">
        <f>IF(Table1[[#This Row],[Resigned]]="yes","former","active")</f>
        <v>former</v>
      </c>
    </row>
    <row r="107" spans="1:30" x14ac:dyDescent="0.3">
      <c r="A107" t="s">
        <v>279</v>
      </c>
      <c r="B107" t="s">
        <v>280</v>
      </c>
      <c r="C107" t="s">
        <v>27</v>
      </c>
      <c r="D107">
        <v>43</v>
      </c>
      <c r="E107" t="s">
        <v>110</v>
      </c>
      <c r="F107" t="s">
        <v>111</v>
      </c>
      <c r="G107" t="s">
        <v>58</v>
      </c>
      <c r="H107" t="s">
        <v>31</v>
      </c>
      <c r="I107" t="s">
        <v>65</v>
      </c>
      <c r="J107" s="1">
        <v>43728</v>
      </c>
      <c r="K107">
        <v>7</v>
      </c>
      <c r="L107">
        <v>49401386</v>
      </c>
      <c r="M107">
        <v>3186616</v>
      </c>
      <c r="N107" t="s">
        <v>34</v>
      </c>
      <c r="O107">
        <v>4.57</v>
      </c>
      <c r="P107">
        <v>33</v>
      </c>
      <c r="Q107">
        <v>1</v>
      </c>
      <c r="R107">
        <v>5</v>
      </c>
      <c r="S107">
        <v>11</v>
      </c>
      <c r="T107" t="s">
        <v>34</v>
      </c>
      <c r="U107" t="s">
        <v>33</v>
      </c>
      <c r="V107" t="s">
        <v>44</v>
      </c>
      <c r="W107" t="s">
        <v>33</v>
      </c>
      <c r="X107" t="s">
        <v>52</v>
      </c>
      <c r="Y107" t="s">
        <v>60</v>
      </c>
      <c r="Z107" t="str">
        <f>IF(Table1[[#This Row],[Age]]&lt;30,"20-29",IF(Table1[[#This Row],[Age]]&lt;40,"30-39",IF(Table1[[#This Row],[Age]]&lt;50,"40-49","50+")))</f>
        <v>40-49</v>
      </c>
      <c r="AA107" t="str">
        <f>IF(Table1[[#This Row],[Salary]]&lt;20000000,"low",IF(Table1[[#This Row],[Salary]]&lt;40000000,"medium","high"))</f>
        <v>high</v>
      </c>
      <c r="AB107">
        <f>YEAR(Table1[[#This Row],[Hire Date]])</f>
        <v>2019</v>
      </c>
      <c r="AC107" t="str">
        <f>TEXT(Table1[[#This Row],[Hire Date]],"mmmm")</f>
        <v>سپتامبر</v>
      </c>
      <c r="AD107" t="str">
        <f>IF(Table1[[#This Row],[Resigned]]="yes","former","active")</f>
        <v>former</v>
      </c>
    </row>
    <row r="108" spans="1:30" x14ac:dyDescent="0.3">
      <c r="A108" t="s">
        <v>281</v>
      </c>
      <c r="B108" t="s">
        <v>282</v>
      </c>
      <c r="C108" t="s">
        <v>39</v>
      </c>
      <c r="D108">
        <v>40</v>
      </c>
      <c r="E108" t="s">
        <v>63</v>
      </c>
      <c r="F108" t="s">
        <v>93</v>
      </c>
      <c r="G108" t="s">
        <v>49</v>
      </c>
      <c r="H108" t="s">
        <v>42</v>
      </c>
      <c r="I108" t="s">
        <v>81</v>
      </c>
      <c r="J108" s="1">
        <v>44753</v>
      </c>
      <c r="K108">
        <v>4</v>
      </c>
      <c r="L108">
        <v>33032453</v>
      </c>
      <c r="M108">
        <v>8999398</v>
      </c>
      <c r="N108" t="s">
        <v>34</v>
      </c>
      <c r="O108">
        <v>2.88</v>
      </c>
      <c r="P108">
        <v>14</v>
      </c>
      <c r="Q108">
        <v>2</v>
      </c>
      <c r="R108">
        <v>5</v>
      </c>
      <c r="S108">
        <v>4</v>
      </c>
      <c r="T108" t="s">
        <v>33</v>
      </c>
      <c r="U108" t="s">
        <v>33</v>
      </c>
      <c r="V108" t="s">
        <v>70</v>
      </c>
      <c r="W108" t="s">
        <v>33</v>
      </c>
      <c r="X108" t="s">
        <v>45</v>
      </c>
      <c r="Y108" t="s">
        <v>162</v>
      </c>
      <c r="Z108" t="str">
        <f>IF(Table1[[#This Row],[Age]]&lt;30,"20-29",IF(Table1[[#This Row],[Age]]&lt;40,"30-39",IF(Table1[[#This Row],[Age]]&lt;50,"40-49","50+")))</f>
        <v>40-49</v>
      </c>
      <c r="AA108" t="str">
        <f>IF(Table1[[#This Row],[Salary]]&lt;20000000,"low",IF(Table1[[#This Row],[Salary]]&lt;40000000,"medium","high"))</f>
        <v>medium</v>
      </c>
      <c r="AB108">
        <f>YEAR(Table1[[#This Row],[Hire Date]])</f>
        <v>2022</v>
      </c>
      <c r="AC108" t="str">
        <f>TEXT(Table1[[#This Row],[Hire Date]],"mmmm")</f>
        <v>ژوئيه</v>
      </c>
      <c r="AD108" t="str">
        <f>IF(Table1[[#This Row],[Resigned]]="yes","former","active")</f>
        <v>former</v>
      </c>
    </row>
    <row r="109" spans="1:30" x14ac:dyDescent="0.3">
      <c r="A109" t="s">
        <v>283</v>
      </c>
      <c r="B109" t="s">
        <v>284</v>
      </c>
      <c r="C109" t="s">
        <v>39</v>
      </c>
      <c r="D109">
        <v>43</v>
      </c>
      <c r="E109" t="s">
        <v>40</v>
      </c>
      <c r="F109" t="s">
        <v>41</v>
      </c>
      <c r="G109" t="s">
        <v>30</v>
      </c>
      <c r="H109" t="s">
        <v>42</v>
      </c>
      <c r="I109" t="s">
        <v>50</v>
      </c>
      <c r="J109" s="1">
        <v>45486</v>
      </c>
      <c r="K109">
        <v>2</v>
      </c>
      <c r="L109">
        <v>44182601</v>
      </c>
      <c r="M109">
        <v>8008969</v>
      </c>
      <c r="N109" t="s">
        <v>33</v>
      </c>
      <c r="O109">
        <v>2.68</v>
      </c>
      <c r="P109">
        <v>16</v>
      </c>
      <c r="Q109">
        <v>1</v>
      </c>
      <c r="R109">
        <v>5</v>
      </c>
      <c r="S109">
        <v>14</v>
      </c>
      <c r="T109" t="s">
        <v>34</v>
      </c>
      <c r="U109" t="s">
        <v>34</v>
      </c>
      <c r="V109" t="s">
        <v>70</v>
      </c>
      <c r="W109" t="s">
        <v>34</v>
      </c>
      <c r="X109" t="s">
        <v>36</v>
      </c>
      <c r="Z109" t="str">
        <f>IF(Table1[[#This Row],[Age]]&lt;30,"20-29",IF(Table1[[#This Row],[Age]]&lt;40,"30-39",IF(Table1[[#This Row],[Age]]&lt;50,"40-49","50+")))</f>
        <v>40-49</v>
      </c>
      <c r="AA109" t="str">
        <f>IF(Table1[[#This Row],[Salary]]&lt;20000000,"low",IF(Table1[[#This Row],[Salary]]&lt;40000000,"medium","high"))</f>
        <v>high</v>
      </c>
      <c r="AB109">
        <f>YEAR(Table1[[#This Row],[Hire Date]])</f>
        <v>2024</v>
      </c>
      <c r="AC109" t="str">
        <f>TEXT(Table1[[#This Row],[Hire Date]],"mmmm")</f>
        <v>ژوئيه</v>
      </c>
      <c r="AD109" t="str">
        <f>IF(Table1[[#This Row],[Resigned]]="yes","former","active")</f>
        <v>active</v>
      </c>
    </row>
    <row r="110" spans="1:30" x14ac:dyDescent="0.3">
      <c r="A110" t="s">
        <v>285</v>
      </c>
      <c r="B110" t="s">
        <v>286</v>
      </c>
      <c r="C110" t="s">
        <v>27</v>
      </c>
      <c r="D110">
        <v>47</v>
      </c>
      <c r="E110" t="s">
        <v>63</v>
      </c>
      <c r="F110" t="s">
        <v>64</v>
      </c>
      <c r="G110" t="s">
        <v>49</v>
      </c>
      <c r="H110" t="s">
        <v>31</v>
      </c>
      <c r="I110" t="s">
        <v>50</v>
      </c>
      <c r="J110" s="1">
        <v>44706</v>
      </c>
      <c r="K110">
        <v>4</v>
      </c>
      <c r="L110">
        <v>14816110</v>
      </c>
      <c r="M110">
        <v>6381212</v>
      </c>
      <c r="N110" t="s">
        <v>33</v>
      </c>
      <c r="O110">
        <v>3.81</v>
      </c>
      <c r="P110">
        <v>20</v>
      </c>
      <c r="Q110">
        <v>1</v>
      </c>
      <c r="R110">
        <v>2</v>
      </c>
      <c r="S110">
        <v>9</v>
      </c>
      <c r="T110" t="s">
        <v>34</v>
      </c>
      <c r="U110" t="s">
        <v>34</v>
      </c>
      <c r="V110" t="s">
        <v>35</v>
      </c>
      <c r="W110" t="s">
        <v>33</v>
      </c>
      <c r="X110" t="s">
        <v>36</v>
      </c>
      <c r="Z110" t="str">
        <f>IF(Table1[[#This Row],[Age]]&lt;30,"20-29",IF(Table1[[#This Row],[Age]]&lt;40,"30-39",IF(Table1[[#This Row],[Age]]&lt;50,"40-49","50+")))</f>
        <v>40-49</v>
      </c>
      <c r="AA110" t="str">
        <f>IF(Table1[[#This Row],[Salary]]&lt;20000000,"low",IF(Table1[[#This Row],[Salary]]&lt;40000000,"medium","high"))</f>
        <v>low</v>
      </c>
      <c r="AB110">
        <f>YEAR(Table1[[#This Row],[Hire Date]])</f>
        <v>2022</v>
      </c>
      <c r="AC110" t="str">
        <f>TEXT(Table1[[#This Row],[Hire Date]],"mmmm")</f>
        <v>مه</v>
      </c>
      <c r="AD110" t="str">
        <f>IF(Table1[[#This Row],[Resigned]]="yes","former","active")</f>
        <v>active</v>
      </c>
    </row>
    <row r="111" spans="1:30" x14ac:dyDescent="0.3">
      <c r="A111" t="s">
        <v>287</v>
      </c>
      <c r="B111" t="s">
        <v>288</v>
      </c>
      <c r="C111" t="s">
        <v>27</v>
      </c>
      <c r="D111">
        <v>44</v>
      </c>
      <c r="E111" t="s">
        <v>73</v>
      </c>
      <c r="F111" t="s">
        <v>74</v>
      </c>
      <c r="G111" t="s">
        <v>49</v>
      </c>
      <c r="H111" t="s">
        <v>42</v>
      </c>
      <c r="I111" t="s">
        <v>81</v>
      </c>
      <c r="J111" s="1">
        <v>44598</v>
      </c>
      <c r="K111">
        <v>4</v>
      </c>
      <c r="L111">
        <v>42059747</v>
      </c>
      <c r="M111">
        <v>3960807</v>
      </c>
      <c r="N111" t="s">
        <v>34</v>
      </c>
      <c r="O111">
        <v>3.14</v>
      </c>
      <c r="P111">
        <v>34</v>
      </c>
      <c r="Q111">
        <v>4</v>
      </c>
      <c r="R111">
        <v>1</v>
      </c>
      <c r="S111">
        <v>18</v>
      </c>
      <c r="T111" t="s">
        <v>33</v>
      </c>
      <c r="U111" t="s">
        <v>34</v>
      </c>
      <c r="V111" t="s">
        <v>51</v>
      </c>
      <c r="W111" t="s">
        <v>34</v>
      </c>
      <c r="X111" t="s">
        <v>45</v>
      </c>
      <c r="Z111" t="str">
        <f>IF(Table1[[#This Row],[Age]]&lt;30,"20-29",IF(Table1[[#This Row],[Age]]&lt;40,"30-39",IF(Table1[[#This Row],[Age]]&lt;50,"40-49","50+")))</f>
        <v>40-49</v>
      </c>
      <c r="AA111" t="str">
        <f>IF(Table1[[#This Row],[Salary]]&lt;20000000,"low",IF(Table1[[#This Row],[Salary]]&lt;40000000,"medium","high"))</f>
        <v>high</v>
      </c>
      <c r="AB111">
        <f>YEAR(Table1[[#This Row],[Hire Date]])</f>
        <v>2022</v>
      </c>
      <c r="AC111" t="str">
        <f>TEXT(Table1[[#This Row],[Hire Date]],"mmmm")</f>
        <v>فوريه</v>
      </c>
      <c r="AD111" t="str">
        <f>IF(Table1[[#This Row],[Resigned]]="yes","former","active")</f>
        <v>active</v>
      </c>
    </row>
    <row r="112" spans="1:30" x14ac:dyDescent="0.3">
      <c r="A112" t="s">
        <v>289</v>
      </c>
      <c r="B112" t="s">
        <v>290</v>
      </c>
      <c r="C112" t="s">
        <v>39</v>
      </c>
      <c r="D112">
        <v>37</v>
      </c>
      <c r="E112" t="s">
        <v>63</v>
      </c>
      <c r="F112" t="s">
        <v>64</v>
      </c>
      <c r="G112" t="s">
        <v>49</v>
      </c>
      <c r="H112" t="s">
        <v>42</v>
      </c>
      <c r="I112" t="s">
        <v>65</v>
      </c>
      <c r="J112" s="1">
        <v>45471</v>
      </c>
      <c r="K112">
        <v>2</v>
      </c>
      <c r="L112">
        <v>57115941</v>
      </c>
      <c r="M112">
        <v>9087414</v>
      </c>
      <c r="N112" t="s">
        <v>34</v>
      </c>
      <c r="O112">
        <v>3.96</v>
      </c>
      <c r="P112">
        <v>72</v>
      </c>
      <c r="Q112">
        <v>2</v>
      </c>
      <c r="R112">
        <v>4</v>
      </c>
      <c r="S112">
        <v>9</v>
      </c>
      <c r="T112" t="s">
        <v>34</v>
      </c>
      <c r="U112" t="s">
        <v>34</v>
      </c>
      <c r="V112" t="s">
        <v>59</v>
      </c>
      <c r="W112" t="s">
        <v>34</v>
      </c>
      <c r="X112" t="s">
        <v>36</v>
      </c>
      <c r="Z112" t="str">
        <f>IF(Table1[[#This Row],[Age]]&lt;30,"20-29",IF(Table1[[#This Row],[Age]]&lt;40,"30-39",IF(Table1[[#This Row],[Age]]&lt;50,"40-49","50+")))</f>
        <v>30-39</v>
      </c>
      <c r="AA112" t="str">
        <f>IF(Table1[[#This Row],[Salary]]&lt;20000000,"low",IF(Table1[[#This Row],[Salary]]&lt;40000000,"medium","high"))</f>
        <v>high</v>
      </c>
      <c r="AB112">
        <f>YEAR(Table1[[#This Row],[Hire Date]])</f>
        <v>2024</v>
      </c>
      <c r="AC112" t="str">
        <f>TEXT(Table1[[#This Row],[Hire Date]],"mmmm")</f>
        <v>ژوئن</v>
      </c>
      <c r="AD112" t="str">
        <f>IF(Table1[[#This Row],[Resigned]]="yes","former","active")</f>
        <v>active</v>
      </c>
    </row>
    <row r="113" spans="1:30" x14ac:dyDescent="0.3">
      <c r="A113" t="s">
        <v>291</v>
      </c>
      <c r="B113" t="s">
        <v>292</v>
      </c>
      <c r="C113" t="s">
        <v>27</v>
      </c>
      <c r="D113">
        <v>47</v>
      </c>
      <c r="E113" t="s">
        <v>28</v>
      </c>
      <c r="F113" t="s">
        <v>29</v>
      </c>
      <c r="G113" t="s">
        <v>58</v>
      </c>
      <c r="H113" t="s">
        <v>42</v>
      </c>
      <c r="I113" t="s">
        <v>43</v>
      </c>
      <c r="J113" s="1">
        <v>42629</v>
      </c>
      <c r="K113">
        <v>10</v>
      </c>
      <c r="L113">
        <v>24174134</v>
      </c>
      <c r="M113">
        <v>1678058</v>
      </c>
      <c r="N113" t="s">
        <v>33</v>
      </c>
      <c r="O113">
        <v>2.84</v>
      </c>
      <c r="P113">
        <v>73</v>
      </c>
      <c r="Q113">
        <v>5</v>
      </c>
      <c r="R113">
        <v>4</v>
      </c>
      <c r="S113">
        <v>11</v>
      </c>
      <c r="T113" t="s">
        <v>33</v>
      </c>
      <c r="U113" t="s">
        <v>34</v>
      </c>
      <c r="V113" t="s">
        <v>35</v>
      </c>
      <c r="W113" t="s">
        <v>33</v>
      </c>
      <c r="X113" t="s">
        <v>45</v>
      </c>
      <c r="Z113" t="str">
        <f>IF(Table1[[#This Row],[Age]]&lt;30,"20-29",IF(Table1[[#This Row],[Age]]&lt;40,"30-39",IF(Table1[[#This Row],[Age]]&lt;50,"40-49","50+")))</f>
        <v>40-49</v>
      </c>
      <c r="AA113" t="str">
        <f>IF(Table1[[#This Row],[Salary]]&lt;20000000,"low",IF(Table1[[#This Row],[Salary]]&lt;40000000,"medium","high"))</f>
        <v>medium</v>
      </c>
      <c r="AB113">
        <f>YEAR(Table1[[#This Row],[Hire Date]])</f>
        <v>2016</v>
      </c>
      <c r="AC113" t="str">
        <f>TEXT(Table1[[#This Row],[Hire Date]],"mmmm")</f>
        <v>سپتامبر</v>
      </c>
      <c r="AD113" t="str">
        <f>IF(Table1[[#This Row],[Resigned]]="yes","former","active")</f>
        <v>active</v>
      </c>
    </row>
    <row r="114" spans="1:30" x14ac:dyDescent="0.3">
      <c r="A114" t="s">
        <v>293</v>
      </c>
      <c r="B114" t="s">
        <v>294</v>
      </c>
      <c r="C114" t="s">
        <v>27</v>
      </c>
      <c r="D114">
        <v>37</v>
      </c>
      <c r="E114" t="s">
        <v>28</v>
      </c>
      <c r="F114" t="s">
        <v>80</v>
      </c>
      <c r="G114" t="s">
        <v>30</v>
      </c>
      <c r="H114" t="s">
        <v>31</v>
      </c>
      <c r="I114" t="s">
        <v>43</v>
      </c>
      <c r="J114" s="1">
        <v>43665</v>
      </c>
      <c r="K114">
        <v>7</v>
      </c>
      <c r="L114">
        <v>30253377</v>
      </c>
      <c r="M114">
        <v>2869886</v>
      </c>
      <c r="N114" t="s">
        <v>33</v>
      </c>
      <c r="O114">
        <v>3.89</v>
      </c>
      <c r="P114">
        <v>58</v>
      </c>
      <c r="Q114">
        <v>2</v>
      </c>
      <c r="R114">
        <v>3</v>
      </c>
      <c r="S114">
        <v>18</v>
      </c>
      <c r="T114" t="s">
        <v>34</v>
      </c>
      <c r="U114" t="s">
        <v>34</v>
      </c>
      <c r="V114" t="s">
        <v>44</v>
      </c>
      <c r="W114" t="s">
        <v>34</v>
      </c>
      <c r="X114" t="s">
        <v>52</v>
      </c>
      <c r="Z114" t="str">
        <f>IF(Table1[[#This Row],[Age]]&lt;30,"20-29",IF(Table1[[#This Row],[Age]]&lt;40,"30-39",IF(Table1[[#This Row],[Age]]&lt;50,"40-49","50+")))</f>
        <v>30-39</v>
      </c>
      <c r="AA114" t="str">
        <f>IF(Table1[[#This Row],[Salary]]&lt;20000000,"low",IF(Table1[[#This Row],[Salary]]&lt;40000000,"medium","high"))</f>
        <v>medium</v>
      </c>
      <c r="AB114">
        <f>YEAR(Table1[[#This Row],[Hire Date]])</f>
        <v>2019</v>
      </c>
      <c r="AC114" t="str">
        <f>TEXT(Table1[[#This Row],[Hire Date]],"mmmm")</f>
        <v>ژوئيه</v>
      </c>
      <c r="AD114" t="str">
        <f>IF(Table1[[#This Row],[Resigned]]="yes","former","active")</f>
        <v>active</v>
      </c>
    </row>
    <row r="115" spans="1:30" x14ac:dyDescent="0.3">
      <c r="A115" t="s">
        <v>295</v>
      </c>
      <c r="B115" t="s">
        <v>296</v>
      </c>
      <c r="C115" t="s">
        <v>39</v>
      </c>
      <c r="D115">
        <v>38</v>
      </c>
      <c r="E115" t="s">
        <v>63</v>
      </c>
      <c r="F115" t="s">
        <v>93</v>
      </c>
      <c r="G115" t="s">
        <v>49</v>
      </c>
      <c r="H115" t="s">
        <v>31</v>
      </c>
      <c r="I115" t="s">
        <v>32</v>
      </c>
      <c r="J115" s="1">
        <v>45599</v>
      </c>
      <c r="K115">
        <v>2</v>
      </c>
      <c r="L115">
        <v>38997933</v>
      </c>
      <c r="M115">
        <v>7962277</v>
      </c>
      <c r="N115" t="s">
        <v>33</v>
      </c>
      <c r="O115">
        <v>4.7300000000000004</v>
      </c>
      <c r="P115">
        <v>43</v>
      </c>
      <c r="Q115">
        <v>3</v>
      </c>
      <c r="R115">
        <v>3</v>
      </c>
      <c r="S115">
        <v>19</v>
      </c>
      <c r="T115" t="s">
        <v>33</v>
      </c>
      <c r="U115" t="s">
        <v>34</v>
      </c>
      <c r="V115" t="s">
        <v>70</v>
      </c>
      <c r="W115" t="s">
        <v>33</v>
      </c>
      <c r="X115" t="s">
        <v>36</v>
      </c>
      <c r="Z115" t="str">
        <f>IF(Table1[[#This Row],[Age]]&lt;30,"20-29",IF(Table1[[#This Row],[Age]]&lt;40,"30-39",IF(Table1[[#This Row],[Age]]&lt;50,"40-49","50+")))</f>
        <v>30-39</v>
      </c>
      <c r="AA115" t="str">
        <f>IF(Table1[[#This Row],[Salary]]&lt;20000000,"low",IF(Table1[[#This Row],[Salary]]&lt;40000000,"medium","high"))</f>
        <v>medium</v>
      </c>
      <c r="AB115">
        <f>YEAR(Table1[[#This Row],[Hire Date]])</f>
        <v>2024</v>
      </c>
      <c r="AC115" t="str">
        <f>TEXT(Table1[[#This Row],[Hire Date]],"mmmm")</f>
        <v>نوامبر</v>
      </c>
      <c r="AD115" t="str">
        <f>IF(Table1[[#This Row],[Resigned]]="yes","former","active")</f>
        <v>active</v>
      </c>
    </row>
    <row r="116" spans="1:30" x14ac:dyDescent="0.3">
      <c r="A116" t="s">
        <v>297</v>
      </c>
      <c r="B116" t="s">
        <v>298</v>
      </c>
      <c r="C116" t="s">
        <v>39</v>
      </c>
      <c r="D116">
        <v>47</v>
      </c>
      <c r="E116" t="s">
        <v>110</v>
      </c>
      <c r="F116" t="s">
        <v>111</v>
      </c>
      <c r="G116" t="s">
        <v>58</v>
      </c>
      <c r="H116" t="s">
        <v>42</v>
      </c>
      <c r="I116" t="s">
        <v>81</v>
      </c>
      <c r="J116" s="1">
        <v>43646</v>
      </c>
      <c r="K116">
        <v>7</v>
      </c>
      <c r="L116">
        <v>57399049</v>
      </c>
      <c r="M116">
        <v>4168361</v>
      </c>
      <c r="N116" t="s">
        <v>34</v>
      </c>
      <c r="O116">
        <v>4.28</v>
      </c>
      <c r="P116">
        <v>79</v>
      </c>
      <c r="Q116">
        <v>5</v>
      </c>
      <c r="R116">
        <v>5</v>
      </c>
      <c r="S116">
        <v>5</v>
      </c>
      <c r="T116" t="s">
        <v>34</v>
      </c>
      <c r="U116" t="s">
        <v>34</v>
      </c>
      <c r="V116" t="s">
        <v>59</v>
      </c>
      <c r="W116" t="s">
        <v>34</v>
      </c>
      <c r="X116" t="s">
        <v>52</v>
      </c>
      <c r="Z116" t="str">
        <f>IF(Table1[[#This Row],[Age]]&lt;30,"20-29",IF(Table1[[#This Row],[Age]]&lt;40,"30-39",IF(Table1[[#This Row],[Age]]&lt;50,"40-49","50+")))</f>
        <v>40-49</v>
      </c>
      <c r="AA116" t="str">
        <f>IF(Table1[[#This Row],[Salary]]&lt;20000000,"low",IF(Table1[[#This Row],[Salary]]&lt;40000000,"medium","high"))</f>
        <v>high</v>
      </c>
      <c r="AB116">
        <f>YEAR(Table1[[#This Row],[Hire Date]])</f>
        <v>2019</v>
      </c>
      <c r="AC116" t="str">
        <f>TEXT(Table1[[#This Row],[Hire Date]],"mmmm")</f>
        <v>ژوئن</v>
      </c>
      <c r="AD116" t="str">
        <f>IF(Table1[[#This Row],[Resigned]]="yes","former","active")</f>
        <v>active</v>
      </c>
    </row>
    <row r="117" spans="1:30" x14ac:dyDescent="0.3">
      <c r="A117" t="s">
        <v>299</v>
      </c>
      <c r="B117" t="s">
        <v>300</v>
      </c>
      <c r="C117" t="s">
        <v>27</v>
      </c>
      <c r="D117">
        <v>45</v>
      </c>
      <c r="E117" t="s">
        <v>73</v>
      </c>
      <c r="F117" t="s">
        <v>127</v>
      </c>
      <c r="G117" t="s">
        <v>30</v>
      </c>
      <c r="H117" t="s">
        <v>42</v>
      </c>
      <c r="I117" t="s">
        <v>32</v>
      </c>
      <c r="J117" s="1">
        <v>44462</v>
      </c>
      <c r="K117">
        <v>5</v>
      </c>
      <c r="L117">
        <v>19605338</v>
      </c>
      <c r="M117">
        <v>1775774</v>
      </c>
      <c r="N117" t="s">
        <v>33</v>
      </c>
      <c r="O117">
        <v>3.49</v>
      </c>
      <c r="P117">
        <v>46</v>
      </c>
      <c r="Q117">
        <v>5</v>
      </c>
      <c r="R117">
        <v>3</v>
      </c>
      <c r="S117">
        <v>0</v>
      </c>
      <c r="T117" t="s">
        <v>34</v>
      </c>
      <c r="U117" t="s">
        <v>34</v>
      </c>
      <c r="V117" t="s">
        <v>35</v>
      </c>
      <c r="W117" t="s">
        <v>34</v>
      </c>
      <c r="X117" t="s">
        <v>45</v>
      </c>
      <c r="Z117" t="str">
        <f>IF(Table1[[#This Row],[Age]]&lt;30,"20-29",IF(Table1[[#This Row],[Age]]&lt;40,"30-39",IF(Table1[[#This Row],[Age]]&lt;50,"40-49","50+")))</f>
        <v>40-49</v>
      </c>
      <c r="AA117" t="str">
        <f>IF(Table1[[#This Row],[Salary]]&lt;20000000,"low",IF(Table1[[#This Row],[Salary]]&lt;40000000,"medium","high"))</f>
        <v>low</v>
      </c>
      <c r="AB117">
        <f>YEAR(Table1[[#This Row],[Hire Date]])</f>
        <v>2021</v>
      </c>
      <c r="AC117" t="str">
        <f>TEXT(Table1[[#This Row],[Hire Date]],"mmmm")</f>
        <v>سپتامبر</v>
      </c>
      <c r="AD117" t="str">
        <f>IF(Table1[[#This Row],[Resigned]]="yes","former","active")</f>
        <v>active</v>
      </c>
    </row>
    <row r="118" spans="1:30" x14ac:dyDescent="0.3">
      <c r="A118" t="s">
        <v>301</v>
      </c>
      <c r="B118" t="s">
        <v>302</v>
      </c>
      <c r="C118" t="s">
        <v>27</v>
      </c>
      <c r="D118">
        <v>26</v>
      </c>
      <c r="E118" t="s">
        <v>56</v>
      </c>
      <c r="F118" t="s">
        <v>57</v>
      </c>
      <c r="G118" t="s">
        <v>30</v>
      </c>
      <c r="H118" t="s">
        <v>31</v>
      </c>
      <c r="I118" t="s">
        <v>65</v>
      </c>
      <c r="J118" s="1">
        <v>44940</v>
      </c>
      <c r="K118">
        <v>3</v>
      </c>
      <c r="L118">
        <v>52925524</v>
      </c>
      <c r="M118">
        <v>2038081</v>
      </c>
      <c r="N118" t="s">
        <v>33</v>
      </c>
      <c r="O118">
        <v>4.16</v>
      </c>
      <c r="P118">
        <v>79</v>
      </c>
      <c r="Q118">
        <v>3</v>
      </c>
      <c r="R118">
        <v>4</v>
      </c>
      <c r="S118">
        <v>15</v>
      </c>
      <c r="T118" t="s">
        <v>33</v>
      </c>
      <c r="U118" t="s">
        <v>34</v>
      </c>
      <c r="V118" t="s">
        <v>44</v>
      </c>
      <c r="W118" t="s">
        <v>34</v>
      </c>
      <c r="X118" t="s">
        <v>36</v>
      </c>
      <c r="Z118" t="str">
        <f>IF(Table1[[#This Row],[Age]]&lt;30,"20-29",IF(Table1[[#This Row],[Age]]&lt;40,"30-39",IF(Table1[[#This Row],[Age]]&lt;50,"40-49","50+")))</f>
        <v>20-29</v>
      </c>
      <c r="AA118" t="str">
        <f>IF(Table1[[#This Row],[Salary]]&lt;20000000,"low",IF(Table1[[#This Row],[Salary]]&lt;40000000,"medium","high"))</f>
        <v>high</v>
      </c>
      <c r="AB118">
        <f>YEAR(Table1[[#This Row],[Hire Date]])</f>
        <v>2023</v>
      </c>
      <c r="AC118" t="str">
        <f>TEXT(Table1[[#This Row],[Hire Date]],"mmmm")</f>
        <v>ژانويه</v>
      </c>
      <c r="AD118" t="str">
        <f>IF(Table1[[#This Row],[Resigned]]="yes","former","active")</f>
        <v>active</v>
      </c>
    </row>
    <row r="119" spans="1:30" x14ac:dyDescent="0.3">
      <c r="A119" t="s">
        <v>303</v>
      </c>
      <c r="B119" t="s">
        <v>304</v>
      </c>
      <c r="C119" t="s">
        <v>27</v>
      </c>
      <c r="D119">
        <v>50</v>
      </c>
      <c r="E119" t="s">
        <v>63</v>
      </c>
      <c r="F119" t="s">
        <v>93</v>
      </c>
      <c r="G119" t="s">
        <v>49</v>
      </c>
      <c r="H119" t="s">
        <v>42</v>
      </c>
      <c r="I119" t="s">
        <v>50</v>
      </c>
      <c r="J119" s="1">
        <v>43260</v>
      </c>
      <c r="K119">
        <v>8</v>
      </c>
      <c r="L119">
        <v>55214930</v>
      </c>
      <c r="M119">
        <v>4412059</v>
      </c>
      <c r="N119" t="s">
        <v>33</v>
      </c>
      <c r="O119">
        <v>4.45</v>
      </c>
      <c r="P119">
        <v>40</v>
      </c>
      <c r="Q119">
        <v>5</v>
      </c>
      <c r="R119">
        <v>2</v>
      </c>
      <c r="S119">
        <v>17</v>
      </c>
      <c r="T119" t="s">
        <v>34</v>
      </c>
      <c r="U119" t="s">
        <v>33</v>
      </c>
      <c r="V119" t="s">
        <v>70</v>
      </c>
      <c r="W119" t="s">
        <v>34</v>
      </c>
      <c r="X119" t="s">
        <v>45</v>
      </c>
      <c r="Y119" t="s">
        <v>60</v>
      </c>
      <c r="Z119" t="str">
        <f>IF(Table1[[#This Row],[Age]]&lt;30,"20-29",IF(Table1[[#This Row],[Age]]&lt;40,"30-39",IF(Table1[[#This Row],[Age]]&lt;50,"40-49","50+")))</f>
        <v>50+</v>
      </c>
      <c r="AA119" t="str">
        <f>IF(Table1[[#This Row],[Salary]]&lt;20000000,"low",IF(Table1[[#This Row],[Salary]]&lt;40000000,"medium","high"))</f>
        <v>high</v>
      </c>
      <c r="AB119">
        <f>YEAR(Table1[[#This Row],[Hire Date]])</f>
        <v>2018</v>
      </c>
      <c r="AC119" t="str">
        <f>TEXT(Table1[[#This Row],[Hire Date]],"mmmm")</f>
        <v>ژوئن</v>
      </c>
      <c r="AD119" t="str">
        <f>IF(Table1[[#This Row],[Resigned]]="yes","former","active")</f>
        <v>former</v>
      </c>
    </row>
    <row r="120" spans="1:30" x14ac:dyDescent="0.3">
      <c r="A120" t="s">
        <v>305</v>
      </c>
      <c r="B120" t="s">
        <v>306</v>
      </c>
      <c r="C120" t="s">
        <v>27</v>
      </c>
      <c r="D120">
        <v>48</v>
      </c>
      <c r="E120" t="s">
        <v>63</v>
      </c>
      <c r="F120" t="s">
        <v>64</v>
      </c>
      <c r="G120" t="s">
        <v>30</v>
      </c>
      <c r="H120" t="s">
        <v>31</v>
      </c>
      <c r="I120" t="s">
        <v>50</v>
      </c>
      <c r="J120" s="1">
        <v>42626</v>
      </c>
      <c r="K120">
        <v>10</v>
      </c>
      <c r="L120">
        <v>53686729</v>
      </c>
      <c r="M120">
        <v>7029156</v>
      </c>
      <c r="N120" t="s">
        <v>33</v>
      </c>
      <c r="O120">
        <v>3.52</v>
      </c>
      <c r="P120">
        <v>65</v>
      </c>
      <c r="Q120">
        <v>1</v>
      </c>
      <c r="R120">
        <v>3</v>
      </c>
      <c r="S120">
        <v>7</v>
      </c>
      <c r="T120" t="s">
        <v>34</v>
      </c>
      <c r="U120" t="s">
        <v>34</v>
      </c>
      <c r="V120" t="s">
        <v>59</v>
      </c>
      <c r="W120" t="s">
        <v>33</v>
      </c>
      <c r="X120" t="s">
        <v>36</v>
      </c>
      <c r="Z120" t="str">
        <f>IF(Table1[[#This Row],[Age]]&lt;30,"20-29",IF(Table1[[#This Row],[Age]]&lt;40,"30-39",IF(Table1[[#This Row],[Age]]&lt;50,"40-49","50+")))</f>
        <v>40-49</v>
      </c>
      <c r="AA120" t="str">
        <f>IF(Table1[[#This Row],[Salary]]&lt;20000000,"low",IF(Table1[[#This Row],[Salary]]&lt;40000000,"medium","high"))</f>
        <v>high</v>
      </c>
      <c r="AB120">
        <f>YEAR(Table1[[#This Row],[Hire Date]])</f>
        <v>2016</v>
      </c>
      <c r="AC120" t="str">
        <f>TEXT(Table1[[#This Row],[Hire Date]],"mmmm")</f>
        <v>سپتامبر</v>
      </c>
      <c r="AD120" t="str">
        <f>IF(Table1[[#This Row],[Resigned]]="yes","former","active")</f>
        <v>active</v>
      </c>
    </row>
    <row r="121" spans="1:30" x14ac:dyDescent="0.3">
      <c r="A121" t="s">
        <v>307</v>
      </c>
      <c r="B121" t="s">
        <v>308</v>
      </c>
      <c r="C121" t="s">
        <v>27</v>
      </c>
      <c r="D121">
        <v>47</v>
      </c>
      <c r="E121" t="s">
        <v>63</v>
      </c>
      <c r="F121" t="s">
        <v>64</v>
      </c>
      <c r="G121" t="s">
        <v>58</v>
      </c>
      <c r="H121" t="s">
        <v>42</v>
      </c>
      <c r="I121" t="s">
        <v>81</v>
      </c>
      <c r="J121" s="1">
        <v>45310</v>
      </c>
      <c r="K121">
        <v>2</v>
      </c>
      <c r="L121">
        <v>37229498</v>
      </c>
      <c r="M121">
        <v>2880297</v>
      </c>
      <c r="N121" t="s">
        <v>34</v>
      </c>
      <c r="O121">
        <v>2.52</v>
      </c>
      <c r="P121">
        <v>9</v>
      </c>
      <c r="Q121">
        <v>1</v>
      </c>
      <c r="R121">
        <v>5</v>
      </c>
      <c r="S121">
        <v>2</v>
      </c>
      <c r="T121" t="s">
        <v>34</v>
      </c>
      <c r="U121" t="s">
        <v>34</v>
      </c>
      <c r="V121" t="s">
        <v>35</v>
      </c>
      <c r="W121" t="s">
        <v>34</v>
      </c>
      <c r="X121" t="s">
        <v>36</v>
      </c>
      <c r="Z121" t="str">
        <f>IF(Table1[[#This Row],[Age]]&lt;30,"20-29",IF(Table1[[#This Row],[Age]]&lt;40,"30-39",IF(Table1[[#This Row],[Age]]&lt;50,"40-49","50+")))</f>
        <v>40-49</v>
      </c>
      <c r="AA121" t="str">
        <f>IF(Table1[[#This Row],[Salary]]&lt;20000000,"low",IF(Table1[[#This Row],[Salary]]&lt;40000000,"medium","high"))</f>
        <v>medium</v>
      </c>
      <c r="AB121">
        <f>YEAR(Table1[[#This Row],[Hire Date]])</f>
        <v>2024</v>
      </c>
      <c r="AC121" t="str">
        <f>TEXT(Table1[[#This Row],[Hire Date]],"mmmm")</f>
        <v>ژانويه</v>
      </c>
      <c r="AD121" t="str">
        <f>IF(Table1[[#This Row],[Resigned]]="yes","former","active")</f>
        <v>active</v>
      </c>
    </row>
    <row r="122" spans="1:30" x14ac:dyDescent="0.3">
      <c r="A122" t="s">
        <v>309</v>
      </c>
      <c r="B122" t="s">
        <v>310</v>
      </c>
      <c r="C122" t="s">
        <v>39</v>
      </c>
      <c r="D122">
        <v>43</v>
      </c>
      <c r="E122" t="s">
        <v>40</v>
      </c>
      <c r="F122" t="s">
        <v>48</v>
      </c>
      <c r="G122" t="s">
        <v>49</v>
      </c>
      <c r="H122" t="s">
        <v>31</v>
      </c>
      <c r="I122" t="s">
        <v>43</v>
      </c>
      <c r="J122" s="1">
        <v>45849</v>
      </c>
      <c r="K122">
        <v>1</v>
      </c>
      <c r="L122">
        <v>19493832</v>
      </c>
      <c r="M122">
        <v>2604592</v>
      </c>
      <c r="N122" t="s">
        <v>34</v>
      </c>
      <c r="O122">
        <v>4.22</v>
      </c>
      <c r="P122">
        <v>2</v>
      </c>
      <c r="Q122">
        <v>5</v>
      </c>
      <c r="R122">
        <v>3</v>
      </c>
      <c r="S122">
        <v>12</v>
      </c>
      <c r="T122" t="s">
        <v>33</v>
      </c>
      <c r="U122" t="s">
        <v>33</v>
      </c>
      <c r="V122" t="s">
        <v>70</v>
      </c>
      <c r="W122" t="s">
        <v>33</v>
      </c>
      <c r="X122" t="s">
        <v>52</v>
      </c>
      <c r="Y122" t="s">
        <v>75</v>
      </c>
      <c r="Z122" t="str">
        <f>IF(Table1[[#This Row],[Age]]&lt;30,"20-29",IF(Table1[[#This Row],[Age]]&lt;40,"30-39",IF(Table1[[#This Row],[Age]]&lt;50,"40-49","50+")))</f>
        <v>40-49</v>
      </c>
      <c r="AA122" t="str">
        <f>IF(Table1[[#This Row],[Salary]]&lt;20000000,"low",IF(Table1[[#This Row],[Salary]]&lt;40000000,"medium","high"))</f>
        <v>low</v>
      </c>
      <c r="AB122">
        <f>YEAR(Table1[[#This Row],[Hire Date]])</f>
        <v>2025</v>
      </c>
      <c r="AC122" t="str">
        <f>TEXT(Table1[[#This Row],[Hire Date]],"mmmm")</f>
        <v>ژوئيه</v>
      </c>
      <c r="AD122" t="str">
        <f>IF(Table1[[#This Row],[Resigned]]="yes","former","active")</f>
        <v>former</v>
      </c>
    </row>
    <row r="123" spans="1:30" x14ac:dyDescent="0.3">
      <c r="A123" t="s">
        <v>311</v>
      </c>
      <c r="B123" t="s">
        <v>312</v>
      </c>
      <c r="C123" t="s">
        <v>39</v>
      </c>
      <c r="D123">
        <v>43</v>
      </c>
      <c r="E123" t="s">
        <v>73</v>
      </c>
      <c r="F123" t="s">
        <v>74</v>
      </c>
      <c r="G123" t="s">
        <v>49</v>
      </c>
      <c r="H123" t="s">
        <v>42</v>
      </c>
      <c r="I123" t="s">
        <v>81</v>
      </c>
      <c r="J123" s="1">
        <v>44588</v>
      </c>
      <c r="K123">
        <v>4</v>
      </c>
      <c r="L123">
        <v>30660678</v>
      </c>
      <c r="M123">
        <v>6121239</v>
      </c>
      <c r="N123" t="s">
        <v>33</v>
      </c>
      <c r="O123">
        <v>4.16</v>
      </c>
      <c r="P123">
        <v>10</v>
      </c>
      <c r="Q123">
        <v>1</v>
      </c>
      <c r="R123">
        <v>2</v>
      </c>
      <c r="S123">
        <v>17</v>
      </c>
      <c r="T123" t="s">
        <v>33</v>
      </c>
      <c r="U123" t="s">
        <v>34</v>
      </c>
      <c r="V123" t="s">
        <v>35</v>
      </c>
      <c r="W123" t="s">
        <v>34</v>
      </c>
      <c r="X123" t="s">
        <v>36</v>
      </c>
      <c r="Z123" t="str">
        <f>IF(Table1[[#This Row],[Age]]&lt;30,"20-29",IF(Table1[[#This Row],[Age]]&lt;40,"30-39",IF(Table1[[#This Row],[Age]]&lt;50,"40-49","50+")))</f>
        <v>40-49</v>
      </c>
      <c r="AA123" t="str">
        <f>IF(Table1[[#This Row],[Salary]]&lt;20000000,"low",IF(Table1[[#This Row],[Salary]]&lt;40000000,"medium","high"))</f>
        <v>medium</v>
      </c>
      <c r="AB123">
        <f>YEAR(Table1[[#This Row],[Hire Date]])</f>
        <v>2022</v>
      </c>
      <c r="AC123" t="str">
        <f>TEXT(Table1[[#This Row],[Hire Date]],"mmmm")</f>
        <v>ژانويه</v>
      </c>
      <c r="AD123" t="str">
        <f>IF(Table1[[#This Row],[Resigned]]="yes","former","active")</f>
        <v>active</v>
      </c>
    </row>
    <row r="124" spans="1:30" x14ac:dyDescent="0.3">
      <c r="A124" t="s">
        <v>313</v>
      </c>
      <c r="B124" t="s">
        <v>314</v>
      </c>
      <c r="C124" t="s">
        <v>39</v>
      </c>
      <c r="D124">
        <v>45</v>
      </c>
      <c r="E124" t="s">
        <v>56</v>
      </c>
      <c r="F124" t="s">
        <v>57</v>
      </c>
      <c r="G124" t="s">
        <v>30</v>
      </c>
      <c r="H124" t="s">
        <v>31</v>
      </c>
      <c r="I124" t="s">
        <v>81</v>
      </c>
      <c r="J124" s="1">
        <v>44174</v>
      </c>
      <c r="K124">
        <v>6</v>
      </c>
      <c r="L124">
        <v>47987849</v>
      </c>
      <c r="M124">
        <v>6145401</v>
      </c>
      <c r="N124" t="s">
        <v>34</v>
      </c>
      <c r="O124">
        <v>4.8099999999999996</v>
      </c>
      <c r="P124">
        <v>15</v>
      </c>
      <c r="Q124">
        <v>2</v>
      </c>
      <c r="R124">
        <v>5</v>
      </c>
      <c r="S124">
        <v>5</v>
      </c>
      <c r="T124" t="s">
        <v>33</v>
      </c>
      <c r="U124" t="s">
        <v>34</v>
      </c>
      <c r="V124" t="s">
        <v>59</v>
      </c>
      <c r="W124" t="s">
        <v>34</v>
      </c>
      <c r="X124" t="s">
        <v>45</v>
      </c>
      <c r="Z124" t="str">
        <f>IF(Table1[[#This Row],[Age]]&lt;30,"20-29",IF(Table1[[#This Row],[Age]]&lt;40,"30-39",IF(Table1[[#This Row],[Age]]&lt;50,"40-49","50+")))</f>
        <v>40-49</v>
      </c>
      <c r="AA124" t="str">
        <f>IF(Table1[[#This Row],[Salary]]&lt;20000000,"low",IF(Table1[[#This Row],[Salary]]&lt;40000000,"medium","high"))</f>
        <v>high</v>
      </c>
      <c r="AB124">
        <f>YEAR(Table1[[#This Row],[Hire Date]])</f>
        <v>2020</v>
      </c>
      <c r="AC124" t="str">
        <f>TEXT(Table1[[#This Row],[Hire Date]],"mmmm")</f>
        <v>دسامبر</v>
      </c>
      <c r="AD124" t="str">
        <f>IF(Table1[[#This Row],[Resigned]]="yes","former","active")</f>
        <v>active</v>
      </c>
    </row>
    <row r="125" spans="1:30" x14ac:dyDescent="0.3">
      <c r="A125" t="s">
        <v>315</v>
      </c>
      <c r="B125" t="s">
        <v>316</v>
      </c>
      <c r="C125" t="s">
        <v>39</v>
      </c>
      <c r="D125">
        <v>23</v>
      </c>
      <c r="E125" t="s">
        <v>110</v>
      </c>
      <c r="F125" t="s">
        <v>120</v>
      </c>
      <c r="G125" t="s">
        <v>30</v>
      </c>
      <c r="H125" t="s">
        <v>31</v>
      </c>
      <c r="I125" t="s">
        <v>32</v>
      </c>
      <c r="J125" s="1">
        <v>43749</v>
      </c>
      <c r="K125">
        <v>7</v>
      </c>
      <c r="L125">
        <v>40732014</v>
      </c>
      <c r="M125">
        <v>6004413</v>
      </c>
      <c r="N125" t="s">
        <v>34</v>
      </c>
      <c r="O125">
        <v>4.0599999999999996</v>
      </c>
      <c r="P125">
        <v>31</v>
      </c>
      <c r="Q125">
        <v>4</v>
      </c>
      <c r="R125">
        <v>5</v>
      </c>
      <c r="S125">
        <v>20</v>
      </c>
      <c r="T125" t="s">
        <v>33</v>
      </c>
      <c r="U125" t="s">
        <v>34</v>
      </c>
      <c r="V125" t="s">
        <v>35</v>
      </c>
      <c r="W125" t="s">
        <v>33</v>
      </c>
      <c r="X125" t="s">
        <v>52</v>
      </c>
      <c r="Z125" t="str">
        <f>IF(Table1[[#This Row],[Age]]&lt;30,"20-29",IF(Table1[[#This Row],[Age]]&lt;40,"30-39",IF(Table1[[#This Row],[Age]]&lt;50,"40-49","50+")))</f>
        <v>20-29</v>
      </c>
      <c r="AA125" t="str">
        <f>IF(Table1[[#This Row],[Salary]]&lt;20000000,"low",IF(Table1[[#This Row],[Salary]]&lt;40000000,"medium","high"))</f>
        <v>high</v>
      </c>
      <c r="AB125">
        <f>YEAR(Table1[[#This Row],[Hire Date]])</f>
        <v>2019</v>
      </c>
      <c r="AC125" t="str">
        <f>TEXT(Table1[[#This Row],[Hire Date]],"mmmm")</f>
        <v>اُكتبر</v>
      </c>
      <c r="AD125" t="str">
        <f>IF(Table1[[#This Row],[Resigned]]="yes","former","active")</f>
        <v>active</v>
      </c>
    </row>
    <row r="126" spans="1:30" x14ac:dyDescent="0.3">
      <c r="A126" t="s">
        <v>317</v>
      </c>
      <c r="B126" t="s">
        <v>318</v>
      </c>
      <c r="C126" t="s">
        <v>27</v>
      </c>
      <c r="D126">
        <v>31</v>
      </c>
      <c r="E126" t="s">
        <v>110</v>
      </c>
      <c r="F126" t="s">
        <v>120</v>
      </c>
      <c r="G126" t="s">
        <v>30</v>
      </c>
      <c r="H126" t="s">
        <v>42</v>
      </c>
      <c r="I126" t="s">
        <v>50</v>
      </c>
      <c r="J126" s="1">
        <v>43357</v>
      </c>
      <c r="K126">
        <v>8</v>
      </c>
      <c r="L126">
        <v>39385426</v>
      </c>
      <c r="M126">
        <v>5386949</v>
      </c>
      <c r="N126" t="s">
        <v>33</v>
      </c>
      <c r="O126">
        <v>2.5299999999999998</v>
      </c>
      <c r="P126">
        <v>63</v>
      </c>
      <c r="Q126">
        <v>5</v>
      </c>
      <c r="R126">
        <v>5</v>
      </c>
      <c r="S126">
        <v>7</v>
      </c>
      <c r="T126" t="s">
        <v>33</v>
      </c>
      <c r="U126" t="s">
        <v>33</v>
      </c>
      <c r="V126" t="s">
        <v>44</v>
      </c>
      <c r="W126" t="s">
        <v>33</v>
      </c>
      <c r="X126" t="s">
        <v>52</v>
      </c>
      <c r="Y126" t="s">
        <v>75</v>
      </c>
      <c r="Z126" t="str">
        <f>IF(Table1[[#This Row],[Age]]&lt;30,"20-29",IF(Table1[[#This Row],[Age]]&lt;40,"30-39",IF(Table1[[#This Row],[Age]]&lt;50,"40-49","50+")))</f>
        <v>30-39</v>
      </c>
      <c r="AA126" t="str">
        <f>IF(Table1[[#This Row],[Salary]]&lt;20000000,"low",IF(Table1[[#This Row],[Salary]]&lt;40000000,"medium","high"))</f>
        <v>medium</v>
      </c>
      <c r="AB126">
        <f>YEAR(Table1[[#This Row],[Hire Date]])</f>
        <v>2018</v>
      </c>
      <c r="AC126" t="str">
        <f>TEXT(Table1[[#This Row],[Hire Date]],"mmmm")</f>
        <v>سپتامبر</v>
      </c>
      <c r="AD126" t="str">
        <f>IF(Table1[[#This Row],[Resigned]]="yes","former","active")</f>
        <v>former</v>
      </c>
    </row>
    <row r="127" spans="1:30" x14ac:dyDescent="0.3">
      <c r="A127" t="s">
        <v>319</v>
      </c>
      <c r="B127" t="s">
        <v>320</v>
      </c>
      <c r="C127" t="s">
        <v>39</v>
      </c>
      <c r="D127">
        <v>39</v>
      </c>
      <c r="E127" t="s">
        <v>28</v>
      </c>
      <c r="F127" t="s">
        <v>80</v>
      </c>
      <c r="G127" t="s">
        <v>58</v>
      </c>
      <c r="H127" t="s">
        <v>31</v>
      </c>
      <c r="I127" t="s">
        <v>43</v>
      </c>
      <c r="J127" s="1">
        <v>45259</v>
      </c>
      <c r="K127">
        <v>3</v>
      </c>
      <c r="L127">
        <v>38998814</v>
      </c>
      <c r="M127">
        <v>1045893</v>
      </c>
      <c r="N127" t="s">
        <v>33</v>
      </c>
      <c r="O127">
        <v>2.56</v>
      </c>
      <c r="P127">
        <v>6</v>
      </c>
      <c r="Q127">
        <v>4</v>
      </c>
      <c r="R127">
        <v>1</v>
      </c>
      <c r="S127">
        <v>9</v>
      </c>
      <c r="T127" t="s">
        <v>33</v>
      </c>
      <c r="U127" t="s">
        <v>34</v>
      </c>
      <c r="V127" t="s">
        <v>44</v>
      </c>
      <c r="W127" t="s">
        <v>34</v>
      </c>
      <c r="X127" t="s">
        <v>45</v>
      </c>
      <c r="Z127" t="str">
        <f>IF(Table1[[#This Row],[Age]]&lt;30,"20-29",IF(Table1[[#This Row],[Age]]&lt;40,"30-39",IF(Table1[[#This Row],[Age]]&lt;50,"40-49","50+")))</f>
        <v>30-39</v>
      </c>
      <c r="AA127" t="str">
        <f>IF(Table1[[#This Row],[Salary]]&lt;20000000,"low",IF(Table1[[#This Row],[Salary]]&lt;40000000,"medium","high"))</f>
        <v>medium</v>
      </c>
      <c r="AB127">
        <f>YEAR(Table1[[#This Row],[Hire Date]])</f>
        <v>2023</v>
      </c>
      <c r="AC127" t="str">
        <f>TEXT(Table1[[#This Row],[Hire Date]],"mmmm")</f>
        <v>نوامبر</v>
      </c>
      <c r="AD127" t="str">
        <f>IF(Table1[[#This Row],[Resigned]]="yes","former","active")</f>
        <v>active</v>
      </c>
    </row>
    <row r="128" spans="1:30" x14ac:dyDescent="0.3">
      <c r="A128" t="s">
        <v>321</v>
      </c>
      <c r="B128" t="s">
        <v>322</v>
      </c>
      <c r="C128" t="s">
        <v>27</v>
      </c>
      <c r="D128">
        <v>51</v>
      </c>
      <c r="E128" t="s">
        <v>28</v>
      </c>
      <c r="F128" t="s">
        <v>29</v>
      </c>
      <c r="G128" t="s">
        <v>30</v>
      </c>
      <c r="H128" t="s">
        <v>42</v>
      </c>
      <c r="I128" t="s">
        <v>65</v>
      </c>
      <c r="J128" s="1">
        <v>42812</v>
      </c>
      <c r="K128">
        <v>9</v>
      </c>
      <c r="L128">
        <v>13618734</v>
      </c>
      <c r="M128">
        <v>4061842</v>
      </c>
      <c r="N128" t="s">
        <v>34</v>
      </c>
      <c r="O128">
        <v>3.08</v>
      </c>
      <c r="P128">
        <v>57</v>
      </c>
      <c r="Q128">
        <v>2</v>
      </c>
      <c r="R128">
        <v>2</v>
      </c>
      <c r="S128">
        <v>14</v>
      </c>
      <c r="T128" t="s">
        <v>33</v>
      </c>
      <c r="U128" t="s">
        <v>34</v>
      </c>
      <c r="V128" t="s">
        <v>51</v>
      </c>
      <c r="W128" t="s">
        <v>33</v>
      </c>
      <c r="X128" t="s">
        <v>52</v>
      </c>
      <c r="Z128" t="str">
        <f>IF(Table1[[#This Row],[Age]]&lt;30,"20-29",IF(Table1[[#This Row],[Age]]&lt;40,"30-39",IF(Table1[[#This Row],[Age]]&lt;50,"40-49","50+")))</f>
        <v>50+</v>
      </c>
      <c r="AA128" t="str">
        <f>IF(Table1[[#This Row],[Salary]]&lt;20000000,"low",IF(Table1[[#This Row],[Salary]]&lt;40000000,"medium","high"))</f>
        <v>low</v>
      </c>
      <c r="AB128">
        <f>YEAR(Table1[[#This Row],[Hire Date]])</f>
        <v>2017</v>
      </c>
      <c r="AC128" t="str">
        <f>TEXT(Table1[[#This Row],[Hire Date]],"mmmm")</f>
        <v>مارس</v>
      </c>
      <c r="AD128" t="str">
        <f>IF(Table1[[#This Row],[Resigned]]="yes","former","active")</f>
        <v>active</v>
      </c>
    </row>
    <row r="129" spans="1:30" x14ac:dyDescent="0.3">
      <c r="A129" t="s">
        <v>323</v>
      </c>
      <c r="B129" t="s">
        <v>324</v>
      </c>
      <c r="C129" t="s">
        <v>27</v>
      </c>
      <c r="D129">
        <v>47</v>
      </c>
      <c r="E129" t="s">
        <v>73</v>
      </c>
      <c r="F129" t="s">
        <v>74</v>
      </c>
      <c r="G129" t="s">
        <v>30</v>
      </c>
      <c r="H129" t="s">
        <v>42</v>
      </c>
      <c r="I129" t="s">
        <v>43</v>
      </c>
      <c r="J129" s="1">
        <v>44365</v>
      </c>
      <c r="K129">
        <v>5</v>
      </c>
      <c r="L129">
        <v>24279607</v>
      </c>
      <c r="M129">
        <v>1743720</v>
      </c>
      <c r="N129" t="s">
        <v>33</v>
      </c>
      <c r="O129">
        <v>2.79</v>
      </c>
      <c r="P129">
        <v>34</v>
      </c>
      <c r="Q129">
        <v>4</v>
      </c>
      <c r="R129">
        <v>5</v>
      </c>
      <c r="S129">
        <v>11</v>
      </c>
      <c r="T129" t="s">
        <v>34</v>
      </c>
      <c r="U129" t="s">
        <v>33</v>
      </c>
      <c r="V129" t="s">
        <v>35</v>
      </c>
      <c r="W129" t="s">
        <v>34</v>
      </c>
      <c r="X129" t="s">
        <v>36</v>
      </c>
      <c r="Y129" t="s">
        <v>53</v>
      </c>
      <c r="Z129" t="str">
        <f>IF(Table1[[#This Row],[Age]]&lt;30,"20-29",IF(Table1[[#This Row],[Age]]&lt;40,"30-39",IF(Table1[[#This Row],[Age]]&lt;50,"40-49","50+")))</f>
        <v>40-49</v>
      </c>
      <c r="AA129" t="str">
        <f>IF(Table1[[#This Row],[Salary]]&lt;20000000,"low",IF(Table1[[#This Row],[Salary]]&lt;40000000,"medium","high"))</f>
        <v>medium</v>
      </c>
      <c r="AB129">
        <f>YEAR(Table1[[#This Row],[Hire Date]])</f>
        <v>2021</v>
      </c>
      <c r="AC129" t="str">
        <f>TEXT(Table1[[#This Row],[Hire Date]],"mmmm")</f>
        <v>ژوئن</v>
      </c>
      <c r="AD129" t="str">
        <f>IF(Table1[[#This Row],[Resigned]]="yes","former","active")</f>
        <v>former</v>
      </c>
    </row>
    <row r="130" spans="1:30" x14ac:dyDescent="0.3">
      <c r="A130" t="s">
        <v>325</v>
      </c>
      <c r="B130" t="s">
        <v>326</v>
      </c>
      <c r="C130" t="s">
        <v>39</v>
      </c>
      <c r="D130">
        <v>22</v>
      </c>
      <c r="E130" t="s">
        <v>63</v>
      </c>
      <c r="F130" t="s">
        <v>93</v>
      </c>
      <c r="G130" t="s">
        <v>49</v>
      </c>
      <c r="H130" t="s">
        <v>31</v>
      </c>
      <c r="I130" t="s">
        <v>43</v>
      </c>
      <c r="J130" s="1">
        <v>45150</v>
      </c>
      <c r="K130">
        <v>3</v>
      </c>
      <c r="L130">
        <v>23036252</v>
      </c>
      <c r="M130">
        <v>8053281</v>
      </c>
      <c r="N130" t="s">
        <v>33</v>
      </c>
      <c r="O130">
        <v>3.59</v>
      </c>
      <c r="P130">
        <v>47</v>
      </c>
      <c r="Q130">
        <v>2</v>
      </c>
      <c r="R130">
        <v>4</v>
      </c>
      <c r="S130">
        <v>12</v>
      </c>
      <c r="T130" t="s">
        <v>34</v>
      </c>
      <c r="U130" t="s">
        <v>33</v>
      </c>
      <c r="V130" t="s">
        <v>70</v>
      </c>
      <c r="W130" t="s">
        <v>34</v>
      </c>
      <c r="X130" t="s">
        <v>52</v>
      </c>
      <c r="Y130" t="s">
        <v>75</v>
      </c>
      <c r="Z130" t="str">
        <f>IF(Table1[[#This Row],[Age]]&lt;30,"20-29",IF(Table1[[#This Row],[Age]]&lt;40,"30-39",IF(Table1[[#This Row],[Age]]&lt;50,"40-49","50+")))</f>
        <v>20-29</v>
      </c>
      <c r="AA130" t="str">
        <f>IF(Table1[[#This Row],[Salary]]&lt;20000000,"low",IF(Table1[[#This Row],[Salary]]&lt;40000000,"medium","high"))</f>
        <v>medium</v>
      </c>
      <c r="AB130">
        <f>YEAR(Table1[[#This Row],[Hire Date]])</f>
        <v>2023</v>
      </c>
      <c r="AC130" t="str">
        <f>TEXT(Table1[[#This Row],[Hire Date]],"mmmm")</f>
        <v>اوت</v>
      </c>
      <c r="AD130" t="str">
        <f>IF(Table1[[#This Row],[Resigned]]="yes","former","active")</f>
        <v>former</v>
      </c>
    </row>
    <row r="131" spans="1:30" x14ac:dyDescent="0.3">
      <c r="A131" t="s">
        <v>327</v>
      </c>
      <c r="B131" t="s">
        <v>328</v>
      </c>
      <c r="C131" t="s">
        <v>39</v>
      </c>
      <c r="D131">
        <v>37</v>
      </c>
      <c r="E131" t="s">
        <v>110</v>
      </c>
      <c r="F131" t="s">
        <v>111</v>
      </c>
      <c r="G131" t="s">
        <v>49</v>
      </c>
      <c r="H131" t="s">
        <v>42</v>
      </c>
      <c r="I131" t="s">
        <v>50</v>
      </c>
      <c r="J131" s="1">
        <v>43958</v>
      </c>
      <c r="K131">
        <v>6</v>
      </c>
      <c r="L131">
        <v>19351872</v>
      </c>
      <c r="M131">
        <v>5240500</v>
      </c>
      <c r="N131" t="s">
        <v>34</v>
      </c>
      <c r="O131">
        <v>2.8</v>
      </c>
      <c r="P131">
        <v>64</v>
      </c>
      <c r="Q131">
        <v>5</v>
      </c>
      <c r="R131">
        <v>3</v>
      </c>
      <c r="S131">
        <v>4</v>
      </c>
      <c r="T131" t="s">
        <v>34</v>
      </c>
      <c r="U131" t="s">
        <v>34</v>
      </c>
      <c r="V131" t="s">
        <v>44</v>
      </c>
      <c r="W131" t="s">
        <v>33</v>
      </c>
      <c r="X131" t="s">
        <v>45</v>
      </c>
      <c r="Z131" t="str">
        <f>IF(Table1[[#This Row],[Age]]&lt;30,"20-29",IF(Table1[[#This Row],[Age]]&lt;40,"30-39",IF(Table1[[#This Row],[Age]]&lt;50,"40-49","50+")))</f>
        <v>30-39</v>
      </c>
      <c r="AA131" t="str">
        <f>IF(Table1[[#This Row],[Salary]]&lt;20000000,"low",IF(Table1[[#This Row],[Salary]]&lt;40000000,"medium","high"))</f>
        <v>low</v>
      </c>
      <c r="AB131">
        <f>YEAR(Table1[[#This Row],[Hire Date]])</f>
        <v>2020</v>
      </c>
      <c r="AC131" t="str">
        <f>TEXT(Table1[[#This Row],[Hire Date]],"mmmm")</f>
        <v>مه</v>
      </c>
      <c r="AD131" t="str">
        <f>IF(Table1[[#This Row],[Resigned]]="yes","former","active")</f>
        <v>active</v>
      </c>
    </row>
    <row r="132" spans="1:30" x14ac:dyDescent="0.3">
      <c r="A132" t="s">
        <v>329</v>
      </c>
      <c r="B132" t="s">
        <v>330</v>
      </c>
      <c r="C132" t="s">
        <v>27</v>
      </c>
      <c r="D132">
        <v>37</v>
      </c>
      <c r="E132" t="s">
        <v>56</v>
      </c>
      <c r="F132" t="s">
        <v>57</v>
      </c>
      <c r="G132" t="s">
        <v>30</v>
      </c>
      <c r="H132" t="s">
        <v>31</v>
      </c>
      <c r="I132" t="s">
        <v>50</v>
      </c>
      <c r="J132" s="1">
        <v>43339</v>
      </c>
      <c r="K132">
        <v>8</v>
      </c>
      <c r="L132">
        <v>46073447</v>
      </c>
      <c r="M132">
        <v>9452955</v>
      </c>
      <c r="N132" t="s">
        <v>34</v>
      </c>
      <c r="O132">
        <v>3.59</v>
      </c>
      <c r="P132">
        <v>13</v>
      </c>
      <c r="Q132">
        <v>4</v>
      </c>
      <c r="R132">
        <v>2</v>
      </c>
      <c r="S132">
        <v>1</v>
      </c>
      <c r="T132" t="s">
        <v>34</v>
      </c>
      <c r="U132" t="s">
        <v>34</v>
      </c>
      <c r="V132" t="s">
        <v>35</v>
      </c>
      <c r="W132" t="s">
        <v>34</v>
      </c>
      <c r="X132" t="s">
        <v>52</v>
      </c>
      <c r="Z132" t="str">
        <f>IF(Table1[[#This Row],[Age]]&lt;30,"20-29",IF(Table1[[#This Row],[Age]]&lt;40,"30-39",IF(Table1[[#This Row],[Age]]&lt;50,"40-49","50+")))</f>
        <v>30-39</v>
      </c>
      <c r="AA132" t="str">
        <f>IF(Table1[[#This Row],[Salary]]&lt;20000000,"low",IF(Table1[[#This Row],[Salary]]&lt;40000000,"medium","high"))</f>
        <v>high</v>
      </c>
      <c r="AB132">
        <f>YEAR(Table1[[#This Row],[Hire Date]])</f>
        <v>2018</v>
      </c>
      <c r="AC132" t="str">
        <f>TEXT(Table1[[#This Row],[Hire Date]],"mmmm")</f>
        <v>اوت</v>
      </c>
      <c r="AD132" t="str">
        <f>IF(Table1[[#This Row],[Resigned]]="yes","former","active")</f>
        <v>active</v>
      </c>
    </row>
    <row r="133" spans="1:30" x14ac:dyDescent="0.3">
      <c r="A133" t="s">
        <v>331</v>
      </c>
      <c r="B133" t="s">
        <v>332</v>
      </c>
      <c r="C133" t="s">
        <v>27</v>
      </c>
      <c r="D133">
        <v>31</v>
      </c>
      <c r="E133" t="s">
        <v>63</v>
      </c>
      <c r="F133" t="s">
        <v>93</v>
      </c>
      <c r="G133" t="s">
        <v>49</v>
      </c>
      <c r="H133" t="s">
        <v>31</v>
      </c>
      <c r="I133" t="s">
        <v>65</v>
      </c>
      <c r="J133" s="1">
        <v>44380</v>
      </c>
      <c r="K133">
        <v>5</v>
      </c>
      <c r="L133">
        <v>23621172</v>
      </c>
      <c r="M133">
        <v>3315885</v>
      </c>
      <c r="N133" t="s">
        <v>34</v>
      </c>
      <c r="O133">
        <v>2.93</v>
      </c>
      <c r="P133">
        <v>14</v>
      </c>
      <c r="Q133">
        <v>2</v>
      </c>
      <c r="R133">
        <v>2</v>
      </c>
      <c r="S133">
        <v>4</v>
      </c>
      <c r="T133" t="s">
        <v>33</v>
      </c>
      <c r="U133" t="s">
        <v>34</v>
      </c>
      <c r="V133" t="s">
        <v>51</v>
      </c>
      <c r="W133" t="s">
        <v>34</v>
      </c>
      <c r="X133" t="s">
        <v>52</v>
      </c>
      <c r="Z133" t="str">
        <f>IF(Table1[[#This Row],[Age]]&lt;30,"20-29",IF(Table1[[#This Row],[Age]]&lt;40,"30-39",IF(Table1[[#This Row],[Age]]&lt;50,"40-49","50+")))</f>
        <v>30-39</v>
      </c>
      <c r="AA133" t="str">
        <f>IF(Table1[[#This Row],[Salary]]&lt;20000000,"low",IF(Table1[[#This Row],[Salary]]&lt;40000000,"medium","high"))</f>
        <v>medium</v>
      </c>
      <c r="AB133">
        <f>YEAR(Table1[[#This Row],[Hire Date]])</f>
        <v>2021</v>
      </c>
      <c r="AC133" t="str">
        <f>TEXT(Table1[[#This Row],[Hire Date]],"mmmm")</f>
        <v>ژوئيه</v>
      </c>
      <c r="AD133" t="str">
        <f>IF(Table1[[#This Row],[Resigned]]="yes","former","active")</f>
        <v>active</v>
      </c>
    </row>
    <row r="134" spans="1:30" x14ac:dyDescent="0.3">
      <c r="A134" t="s">
        <v>333</v>
      </c>
      <c r="B134" t="s">
        <v>334</v>
      </c>
      <c r="C134" t="s">
        <v>27</v>
      </c>
      <c r="D134">
        <v>24</v>
      </c>
      <c r="E134" t="s">
        <v>63</v>
      </c>
      <c r="F134" t="s">
        <v>93</v>
      </c>
      <c r="G134" t="s">
        <v>30</v>
      </c>
      <c r="H134" t="s">
        <v>31</v>
      </c>
      <c r="I134" t="s">
        <v>65</v>
      </c>
      <c r="J134" s="1">
        <v>43692</v>
      </c>
      <c r="K134">
        <v>7</v>
      </c>
      <c r="L134">
        <v>13605651</v>
      </c>
      <c r="M134">
        <v>9430282</v>
      </c>
      <c r="N134" t="s">
        <v>33</v>
      </c>
      <c r="O134">
        <v>3.11</v>
      </c>
      <c r="P134">
        <v>48</v>
      </c>
      <c r="Q134">
        <v>3</v>
      </c>
      <c r="R134">
        <v>2</v>
      </c>
      <c r="S134">
        <v>16</v>
      </c>
      <c r="T134" t="s">
        <v>33</v>
      </c>
      <c r="U134" t="s">
        <v>34</v>
      </c>
      <c r="V134" t="s">
        <v>44</v>
      </c>
      <c r="W134" t="s">
        <v>33</v>
      </c>
      <c r="X134" t="s">
        <v>45</v>
      </c>
      <c r="Z134" t="str">
        <f>IF(Table1[[#This Row],[Age]]&lt;30,"20-29",IF(Table1[[#This Row],[Age]]&lt;40,"30-39",IF(Table1[[#This Row],[Age]]&lt;50,"40-49","50+")))</f>
        <v>20-29</v>
      </c>
      <c r="AA134" t="str">
        <f>IF(Table1[[#This Row],[Salary]]&lt;20000000,"low",IF(Table1[[#This Row],[Salary]]&lt;40000000,"medium","high"))</f>
        <v>low</v>
      </c>
      <c r="AB134">
        <f>YEAR(Table1[[#This Row],[Hire Date]])</f>
        <v>2019</v>
      </c>
      <c r="AC134" t="str">
        <f>TEXT(Table1[[#This Row],[Hire Date]],"mmmm")</f>
        <v>اوت</v>
      </c>
      <c r="AD134" t="str">
        <f>IF(Table1[[#This Row],[Resigned]]="yes","former","active")</f>
        <v>active</v>
      </c>
    </row>
    <row r="135" spans="1:30" x14ac:dyDescent="0.3">
      <c r="A135" t="s">
        <v>335</v>
      </c>
      <c r="B135" t="s">
        <v>336</v>
      </c>
      <c r="C135" t="s">
        <v>27</v>
      </c>
      <c r="D135">
        <v>55</v>
      </c>
      <c r="E135" t="s">
        <v>56</v>
      </c>
      <c r="F135" t="s">
        <v>84</v>
      </c>
      <c r="G135" t="s">
        <v>58</v>
      </c>
      <c r="H135" t="s">
        <v>31</v>
      </c>
      <c r="I135" t="s">
        <v>65</v>
      </c>
      <c r="J135" s="1">
        <v>43452</v>
      </c>
      <c r="K135">
        <v>8</v>
      </c>
      <c r="L135">
        <v>56291943</v>
      </c>
      <c r="M135">
        <v>2753697</v>
      </c>
      <c r="N135" t="s">
        <v>33</v>
      </c>
      <c r="O135">
        <v>4.5999999999999996</v>
      </c>
      <c r="P135">
        <v>18</v>
      </c>
      <c r="Q135">
        <v>2</v>
      </c>
      <c r="R135">
        <v>3</v>
      </c>
      <c r="S135">
        <v>10</v>
      </c>
      <c r="T135" t="s">
        <v>33</v>
      </c>
      <c r="U135" t="s">
        <v>34</v>
      </c>
      <c r="V135" t="s">
        <v>59</v>
      </c>
      <c r="W135" t="s">
        <v>34</v>
      </c>
      <c r="X135" t="s">
        <v>45</v>
      </c>
      <c r="Z135" t="str">
        <f>IF(Table1[[#This Row],[Age]]&lt;30,"20-29",IF(Table1[[#This Row],[Age]]&lt;40,"30-39",IF(Table1[[#This Row],[Age]]&lt;50,"40-49","50+")))</f>
        <v>50+</v>
      </c>
      <c r="AA135" t="str">
        <f>IF(Table1[[#This Row],[Salary]]&lt;20000000,"low",IF(Table1[[#This Row],[Salary]]&lt;40000000,"medium","high"))</f>
        <v>high</v>
      </c>
      <c r="AB135">
        <f>YEAR(Table1[[#This Row],[Hire Date]])</f>
        <v>2018</v>
      </c>
      <c r="AC135" t="str">
        <f>TEXT(Table1[[#This Row],[Hire Date]],"mmmm")</f>
        <v>دسامبر</v>
      </c>
      <c r="AD135" t="str">
        <f>IF(Table1[[#This Row],[Resigned]]="yes","former","active")</f>
        <v>active</v>
      </c>
    </row>
    <row r="136" spans="1:30" x14ac:dyDescent="0.3">
      <c r="A136" t="s">
        <v>337</v>
      </c>
      <c r="B136" t="s">
        <v>338</v>
      </c>
      <c r="C136" t="s">
        <v>27</v>
      </c>
      <c r="D136">
        <v>56</v>
      </c>
      <c r="E136" t="s">
        <v>40</v>
      </c>
      <c r="F136" t="s">
        <v>48</v>
      </c>
      <c r="G136" t="s">
        <v>58</v>
      </c>
      <c r="H136" t="s">
        <v>42</v>
      </c>
      <c r="I136" t="s">
        <v>65</v>
      </c>
      <c r="J136" s="1">
        <v>44642</v>
      </c>
      <c r="K136">
        <v>4</v>
      </c>
      <c r="L136">
        <v>48442740</v>
      </c>
      <c r="M136">
        <v>2182056</v>
      </c>
      <c r="N136" t="s">
        <v>33</v>
      </c>
      <c r="O136">
        <v>4.8600000000000003</v>
      </c>
      <c r="P136">
        <v>77</v>
      </c>
      <c r="Q136">
        <v>2</v>
      </c>
      <c r="R136">
        <v>4</v>
      </c>
      <c r="S136">
        <v>6</v>
      </c>
      <c r="T136" t="s">
        <v>33</v>
      </c>
      <c r="U136" t="s">
        <v>34</v>
      </c>
      <c r="V136" t="s">
        <v>44</v>
      </c>
      <c r="W136" t="s">
        <v>34</v>
      </c>
      <c r="X136" t="s">
        <v>45</v>
      </c>
      <c r="Z136" t="str">
        <f>IF(Table1[[#This Row],[Age]]&lt;30,"20-29",IF(Table1[[#This Row],[Age]]&lt;40,"30-39",IF(Table1[[#This Row],[Age]]&lt;50,"40-49","50+")))</f>
        <v>50+</v>
      </c>
      <c r="AA136" t="str">
        <f>IF(Table1[[#This Row],[Salary]]&lt;20000000,"low",IF(Table1[[#This Row],[Salary]]&lt;40000000,"medium","high"))</f>
        <v>high</v>
      </c>
      <c r="AB136">
        <f>YEAR(Table1[[#This Row],[Hire Date]])</f>
        <v>2022</v>
      </c>
      <c r="AC136" t="str">
        <f>TEXT(Table1[[#This Row],[Hire Date]],"mmmm")</f>
        <v>مارس</v>
      </c>
      <c r="AD136" t="str">
        <f>IF(Table1[[#This Row],[Resigned]]="yes","former","active")</f>
        <v>active</v>
      </c>
    </row>
    <row r="137" spans="1:30" x14ac:dyDescent="0.3">
      <c r="A137" t="s">
        <v>339</v>
      </c>
      <c r="B137" t="s">
        <v>340</v>
      </c>
      <c r="C137" t="s">
        <v>39</v>
      </c>
      <c r="D137">
        <v>57</v>
      </c>
      <c r="E137" t="s">
        <v>56</v>
      </c>
      <c r="F137" t="s">
        <v>57</v>
      </c>
      <c r="G137" t="s">
        <v>49</v>
      </c>
      <c r="H137" t="s">
        <v>42</v>
      </c>
      <c r="I137" t="s">
        <v>50</v>
      </c>
      <c r="J137" s="1">
        <v>43223</v>
      </c>
      <c r="K137">
        <v>8</v>
      </c>
      <c r="L137">
        <v>48626213</v>
      </c>
      <c r="M137">
        <v>4485499</v>
      </c>
      <c r="N137" t="s">
        <v>33</v>
      </c>
      <c r="O137">
        <v>4.0199999999999996</v>
      </c>
      <c r="P137">
        <v>74</v>
      </c>
      <c r="Q137">
        <v>3</v>
      </c>
      <c r="R137">
        <v>3</v>
      </c>
      <c r="S137">
        <v>19</v>
      </c>
      <c r="T137" t="s">
        <v>34</v>
      </c>
      <c r="U137" t="s">
        <v>33</v>
      </c>
      <c r="V137" t="s">
        <v>70</v>
      </c>
      <c r="W137" t="s">
        <v>33</v>
      </c>
      <c r="X137" t="s">
        <v>45</v>
      </c>
      <c r="Y137" t="s">
        <v>60</v>
      </c>
      <c r="Z137" t="str">
        <f>IF(Table1[[#This Row],[Age]]&lt;30,"20-29",IF(Table1[[#This Row],[Age]]&lt;40,"30-39",IF(Table1[[#This Row],[Age]]&lt;50,"40-49","50+")))</f>
        <v>50+</v>
      </c>
      <c r="AA137" t="str">
        <f>IF(Table1[[#This Row],[Salary]]&lt;20000000,"low",IF(Table1[[#This Row],[Salary]]&lt;40000000,"medium","high"))</f>
        <v>high</v>
      </c>
      <c r="AB137">
        <f>YEAR(Table1[[#This Row],[Hire Date]])</f>
        <v>2018</v>
      </c>
      <c r="AC137" t="str">
        <f>TEXT(Table1[[#This Row],[Hire Date]],"mmmm")</f>
        <v>مه</v>
      </c>
      <c r="AD137" t="str">
        <f>IF(Table1[[#This Row],[Resigned]]="yes","former","active")</f>
        <v>former</v>
      </c>
    </row>
    <row r="138" spans="1:30" x14ac:dyDescent="0.3">
      <c r="A138" t="s">
        <v>341</v>
      </c>
      <c r="B138" t="s">
        <v>342</v>
      </c>
      <c r="C138" t="s">
        <v>27</v>
      </c>
      <c r="D138">
        <v>49</v>
      </c>
      <c r="E138" t="s">
        <v>56</v>
      </c>
      <c r="F138" t="s">
        <v>57</v>
      </c>
      <c r="G138" t="s">
        <v>49</v>
      </c>
      <c r="H138" t="s">
        <v>42</v>
      </c>
      <c r="I138" t="s">
        <v>50</v>
      </c>
      <c r="J138" s="1">
        <v>45289</v>
      </c>
      <c r="K138">
        <v>3</v>
      </c>
      <c r="L138">
        <v>34669497</v>
      </c>
      <c r="M138">
        <v>8358640</v>
      </c>
      <c r="N138" t="s">
        <v>34</v>
      </c>
      <c r="O138">
        <v>3.88</v>
      </c>
      <c r="P138">
        <v>39</v>
      </c>
      <c r="Q138">
        <v>4</v>
      </c>
      <c r="R138">
        <v>3</v>
      </c>
      <c r="S138">
        <v>17</v>
      </c>
      <c r="T138" t="s">
        <v>34</v>
      </c>
      <c r="U138" t="s">
        <v>34</v>
      </c>
      <c r="V138" t="s">
        <v>51</v>
      </c>
      <c r="W138" t="s">
        <v>34</v>
      </c>
      <c r="X138" t="s">
        <v>52</v>
      </c>
      <c r="Z138" t="str">
        <f>IF(Table1[[#This Row],[Age]]&lt;30,"20-29",IF(Table1[[#This Row],[Age]]&lt;40,"30-39",IF(Table1[[#This Row],[Age]]&lt;50,"40-49","50+")))</f>
        <v>40-49</v>
      </c>
      <c r="AA138" t="str">
        <f>IF(Table1[[#This Row],[Salary]]&lt;20000000,"low",IF(Table1[[#This Row],[Salary]]&lt;40000000,"medium","high"))</f>
        <v>medium</v>
      </c>
      <c r="AB138">
        <f>YEAR(Table1[[#This Row],[Hire Date]])</f>
        <v>2023</v>
      </c>
      <c r="AC138" t="str">
        <f>TEXT(Table1[[#This Row],[Hire Date]],"mmmm")</f>
        <v>دسامبر</v>
      </c>
      <c r="AD138" t="str">
        <f>IF(Table1[[#This Row],[Resigned]]="yes","former","active")</f>
        <v>active</v>
      </c>
    </row>
    <row r="139" spans="1:30" x14ac:dyDescent="0.3">
      <c r="A139" t="s">
        <v>343</v>
      </c>
      <c r="B139" t="s">
        <v>344</v>
      </c>
      <c r="C139" t="s">
        <v>39</v>
      </c>
      <c r="D139">
        <v>23</v>
      </c>
      <c r="E139" t="s">
        <v>110</v>
      </c>
      <c r="F139" t="s">
        <v>120</v>
      </c>
      <c r="G139" t="s">
        <v>30</v>
      </c>
      <c r="H139" t="s">
        <v>42</v>
      </c>
      <c r="I139" t="s">
        <v>32</v>
      </c>
      <c r="J139" s="1">
        <v>44757</v>
      </c>
      <c r="K139">
        <v>4</v>
      </c>
      <c r="L139">
        <v>45737477</v>
      </c>
      <c r="M139">
        <v>4072702</v>
      </c>
      <c r="N139" t="s">
        <v>34</v>
      </c>
      <c r="O139">
        <v>4.8499999999999996</v>
      </c>
      <c r="P139">
        <v>47</v>
      </c>
      <c r="Q139">
        <v>1</v>
      </c>
      <c r="R139">
        <v>3</v>
      </c>
      <c r="S139">
        <v>12</v>
      </c>
      <c r="T139" t="s">
        <v>33</v>
      </c>
      <c r="U139" t="s">
        <v>33</v>
      </c>
      <c r="V139" t="s">
        <v>44</v>
      </c>
      <c r="W139" t="s">
        <v>34</v>
      </c>
      <c r="X139" t="s">
        <v>45</v>
      </c>
      <c r="Y139" t="s">
        <v>53</v>
      </c>
      <c r="Z139" t="str">
        <f>IF(Table1[[#This Row],[Age]]&lt;30,"20-29",IF(Table1[[#This Row],[Age]]&lt;40,"30-39",IF(Table1[[#This Row],[Age]]&lt;50,"40-49","50+")))</f>
        <v>20-29</v>
      </c>
      <c r="AA139" t="str">
        <f>IF(Table1[[#This Row],[Salary]]&lt;20000000,"low",IF(Table1[[#This Row],[Salary]]&lt;40000000,"medium","high"))</f>
        <v>high</v>
      </c>
      <c r="AB139">
        <f>YEAR(Table1[[#This Row],[Hire Date]])</f>
        <v>2022</v>
      </c>
      <c r="AC139" t="str">
        <f>TEXT(Table1[[#This Row],[Hire Date]],"mmmm")</f>
        <v>ژوئيه</v>
      </c>
      <c r="AD139" t="str">
        <f>IF(Table1[[#This Row],[Resigned]]="yes","former","active")</f>
        <v>former</v>
      </c>
    </row>
    <row r="140" spans="1:30" x14ac:dyDescent="0.3">
      <c r="A140" t="s">
        <v>345</v>
      </c>
      <c r="B140" t="s">
        <v>346</v>
      </c>
      <c r="C140" t="s">
        <v>27</v>
      </c>
      <c r="D140">
        <v>44</v>
      </c>
      <c r="E140" t="s">
        <v>40</v>
      </c>
      <c r="F140" t="s">
        <v>41</v>
      </c>
      <c r="G140" t="s">
        <v>49</v>
      </c>
      <c r="H140" t="s">
        <v>42</v>
      </c>
      <c r="I140" t="s">
        <v>50</v>
      </c>
      <c r="J140" s="1">
        <v>45836</v>
      </c>
      <c r="K140">
        <v>1</v>
      </c>
      <c r="L140">
        <v>23050646</v>
      </c>
      <c r="M140">
        <v>8328448</v>
      </c>
      <c r="N140" t="s">
        <v>34</v>
      </c>
      <c r="O140">
        <v>3.96</v>
      </c>
      <c r="P140">
        <v>77</v>
      </c>
      <c r="Q140">
        <v>3</v>
      </c>
      <c r="R140">
        <v>2</v>
      </c>
      <c r="S140">
        <v>18</v>
      </c>
      <c r="T140" t="s">
        <v>33</v>
      </c>
      <c r="U140" t="s">
        <v>34</v>
      </c>
      <c r="V140" t="s">
        <v>35</v>
      </c>
      <c r="W140" t="s">
        <v>33</v>
      </c>
      <c r="X140" t="s">
        <v>36</v>
      </c>
      <c r="Z140" t="str">
        <f>IF(Table1[[#This Row],[Age]]&lt;30,"20-29",IF(Table1[[#This Row],[Age]]&lt;40,"30-39",IF(Table1[[#This Row],[Age]]&lt;50,"40-49","50+")))</f>
        <v>40-49</v>
      </c>
      <c r="AA140" t="str">
        <f>IF(Table1[[#This Row],[Salary]]&lt;20000000,"low",IF(Table1[[#This Row],[Salary]]&lt;40000000,"medium","high"))</f>
        <v>medium</v>
      </c>
      <c r="AB140">
        <f>YEAR(Table1[[#This Row],[Hire Date]])</f>
        <v>2025</v>
      </c>
      <c r="AC140" t="str">
        <f>TEXT(Table1[[#This Row],[Hire Date]],"mmmm")</f>
        <v>ژوئن</v>
      </c>
      <c r="AD140" t="str">
        <f>IF(Table1[[#This Row],[Resigned]]="yes","former","active")</f>
        <v>active</v>
      </c>
    </row>
    <row r="141" spans="1:30" x14ac:dyDescent="0.3">
      <c r="A141" t="s">
        <v>347</v>
      </c>
      <c r="B141" t="s">
        <v>348</v>
      </c>
      <c r="C141" t="s">
        <v>27</v>
      </c>
      <c r="D141">
        <v>40</v>
      </c>
      <c r="E141" t="s">
        <v>110</v>
      </c>
      <c r="F141" t="s">
        <v>111</v>
      </c>
      <c r="G141" t="s">
        <v>30</v>
      </c>
      <c r="H141" t="s">
        <v>31</v>
      </c>
      <c r="I141" t="s">
        <v>43</v>
      </c>
      <c r="J141" s="1">
        <v>44460</v>
      </c>
      <c r="K141">
        <v>5</v>
      </c>
      <c r="L141">
        <v>53756200</v>
      </c>
      <c r="M141">
        <v>9910847</v>
      </c>
      <c r="N141" t="s">
        <v>33</v>
      </c>
      <c r="O141">
        <v>3.11</v>
      </c>
      <c r="P141">
        <v>37</v>
      </c>
      <c r="Q141">
        <v>5</v>
      </c>
      <c r="R141">
        <v>2</v>
      </c>
      <c r="S141">
        <v>15</v>
      </c>
      <c r="T141" t="s">
        <v>33</v>
      </c>
      <c r="U141" t="s">
        <v>34</v>
      </c>
      <c r="V141" t="s">
        <v>35</v>
      </c>
      <c r="W141" t="s">
        <v>34</v>
      </c>
      <c r="X141" t="s">
        <v>52</v>
      </c>
      <c r="Z141" t="str">
        <f>IF(Table1[[#This Row],[Age]]&lt;30,"20-29",IF(Table1[[#This Row],[Age]]&lt;40,"30-39",IF(Table1[[#This Row],[Age]]&lt;50,"40-49","50+")))</f>
        <v>40-49</v>
      </c>
      <c r="AA141" t="str">
        <f>IF(Table1[[#This Row],[Salary]]&lt;20000000,"low",IF(Table1[[#This Row],[Salary]]&lt;40000000,"medium","high"))</f>
        <v>high</v>
      </c>
      <c r="AB141">
        <f>YEAR(Table1[[#This Row],[Hire Date]])</f>
        <v>2021</v>
      </c>
      <c r="AC141" t="str">
        <f>TEXT(Table1[[#This Row],[Hire Date]],"mmmm")</f>
        <v>سپتامبر</v>
      </c>
      <c r="AD141" t="str">
        <f>IF(Table1[[#This Row],[Resigned]]="yes","former","active")</f>
        <v>active</v>
      </c>
    </row>
    <row r="142" spans="1:30" x14ac:dyDescent="0.3">
      <c r="A142" t="s">
        <v>349</v>
      </c>
      <c r="B142" t="s">
        <v>350</v>
      </c>
      <c r="C142" t="s">
        <v>27</v>
      </c>
      <c r="D142">
        <v>45</v>
      </c>
      <c r="E142" t="s">
        <v>110</v>
      </c>
      <c r="F142" t="s">
        <v>120</v>
      </c>
      <c r="G142" t="s">
        <v>30</v>
      </c>
      <c r="H142" t="s">
        <v>31</v>
      </c>
      <c r="I142" t="s">
        <v>65</v>
      </c>
      <c r="J142" s="1">
        <v>45040</v>
      </c>
      <c r="K142">
        <v>3</v>
      </c>
      <c r="L142">
        <v>22363798</v>
      </c>
      <c r="M142">
        <v>1837536</v>
      </c>
      <c r="N142" t="s">
        <v>34</v>
      </c>
      <c r="O142">
        <v>3.33</v>
      </c>
      <c r="P142">
        <v>10</v>
      </c>
      <c r="Q142">
        <v>5</v>
      </c>
      <c r="R142">
        <v>4</v>
      </c>
      <c r="S142">
        <v>10</v>
      </c>
      <c r="T142" t="s">
        <v>33</v>
      </c>
      <c r="U142" t="s">
        <v>34</v>
      </c>
      <c r="V142" t="s">
        <v>51</v>
      </c>
      <c r="W142" t="s">
        <v>34</v>
      </c>
      <c r="X142" t="s">
        <v>36</v>
      </c>
      <c r="Z142" t="str">
        <f>IF(Table1[[#This Row],[Age]]&lt;30,"20-29",IF(Table1[[#This Row],[Age]]&lt;40,"30-39",IF(Table1[[#This Row],[Age]]&lt;50,"40-49","50+")))</f>
        <v>40-49</v>
      </c>
      <c r="AA142" t="str">
        <f>IF(Table1[[#This Row],[Salary]]&lt;20000000,"low",IF(Table1[[#This Row],[Salary]]&lt;40000000,"medium","high"))</f>
        <v>medium</v>
      </c>
      <c r="AB142">
        <f>YEAR(Table1[[#This Row],[Hire Date]])</f>
        <v>2023</v>
      </c>
      <c r="AC142" t="str">
        <f>TEXT(Table1[[#This Row],[Hire Date]],"mmmm")</f>
        <v>آوريل</v>
      </c>
      <c r="AD142" t="str">
        <f>IF(Table1[[#This Row],[Resigned]]="yes","former","active")</f>
        <v>active</v>
      </c>
    </row>
    <row r="143" spans="1:30" x14ac:dyDescent="0.3">
      <c r="A143" t="s">
        <v>351</v>
      </c>
      <c r="B143" t="s">
        <v>352</v>
      </c>
      <c r="C143" t="s">
        <v>27</v>
      </c>
      <c r="D143">
        <v>27</v>
      </c>
      <c r="E143" t="s">
        <v>40</v>
      </c>
      <c r="F143" t="s">
        <v>41</v>
      </c>
      <c r="G143" t="s">
        <v>30</v>
      </c>
      <c r="H143" t="s">
        <v>31</v>
      </c>
      <c r="I143" t="s">
        <v>81</v>
      </c>
      <c r="J143" s="1">
        <v>44094</v>
      </c>
      <c r="K143">
        <v>6</v>
      </c>
      <c r="L143">
        <v>27832201</v>
      </c>
      <c r="M143">
        <v>2927215</v>
      </c>
      <c r="N143" t="s">
        <v>34</v>
      </c>
      <c r="O143">
        <v>4.1900000000000004</v>
      </c>
      <c r="P143">
        <v>48</v>
      </c>
      <c r="Q143">
        <v>1</v>
      </c>
      <c r="R143">
        <v>2</v>
      </c>
      <c r="S143">
        <v>8</v>
      </c>
      <c r="T143" t="s">
        <v>33</v>
      </c>
      <c r="U143" t="s">
        <v>33</v>
      </c>
      <c r="V143" t="s">
        <v>51</v>
      </c>
      <c r="W143" t="s">
        <v>34</v>
      </c>
      <c r="X143" t="s">
        <v>36</v>
      </c>
      <c r="Y143" t="s">
        <v>75</v>
      </c>
      <c r="Z143" t="str">
        <f>IF(Table1[[#This Row],[Age]]&lt;30,"20-29",IF(Table1[[#This Row],[Age]]&lt;40,"30-39",IF(Table1[[#This Row],[Age]]&lt;50,"40-49","50+")))</f>
        <v>20-29</v>
      </c>
      <c r="AA143" t="str">
        <f>IF(Table1[[#This Row],[Salary]]&lt;20000000,"low",IF(Table1[[#This Row],[Salary]]&lt;40000000,"medium","high"))</f>
        <v>medium</v>
      </c>
      <c r="AB143">
        <f>YEAR(Table1[[#This Row],[Hire Date]])</f>
        <v>2020</v>
      </c>
      <c r="AC143" t="str">
        <f>TEXT(Table1[[#This Row],[Hire Date]],"mmmm")</f>
        <v>سپتامبر</v>
      </c>
      <c r="AD143" t="str">
        <f>IF(Table1[[#This Row],[Resigned]]="yes","former","active")</f>
        <v>former</v>
      </c>
    </row>
    <row r="144" spans="1:30" x14ac:dyDescent="0.3">
      <c r="A144" t="s">
        <v>353</v>
      </c>
      <c r="B144" t="s">
        <v>354</v>
      </c>
      <c r="C144" t="s">
        <v>39</v>
      </c>
      <c r="D144">
        <v>50</v>
      </c>
      <c r="E144" t="s">
        <v>56</v>
      </c>
      <c r="F144" t="s">
        <v>57</v>
      </c>
      <c r="G144" t="s">
        <v>49</v>
      </c>
      <c r="H144" t="s">
        <v>42</v>
      </c>
      <c r="I144" t="s">
        <v>43</v>
      </c>
      <c r="J144" s="1">
        <v>44643</v>
      </c>
      <c r="K144">
        <v>4</v>
      </c>
      <c r="L144">
        <v>25499983</v>
      </c>
      <c r="M144">
        <v>7415532</v>
      </c>
      <c r="N144" t="s">
        <v>33</v>
      </c>
      <c r="O144">
        <v>4.08</v>
      </c>
      <c r="P144">
        <v>19</v>
      </c>
      <c r="Q144">
        <v>4</v>
      </c>
      <c r="R144">
        <v>1</v>
      </c>
      <c r="S144">
        <v>0</v>
      </c>
      <c r="T144" t="s">
        <v>34</v>
      </c>
      <c r="U144" t="s">
        <v>33</v>
      </c>
      <c r="V144" t="s">
        <v>51</v>
      </c>
      <c r="W144" t="s">
        <v>34</v>
      </c>
      <c r="X144" t="s">
        <v>52</v>
      </c>
      <c r="Y144" t="s">
        <v>53</v>
      </c>
      <c r="Z144" t="str">
        <f>IF(Table1[[#This Row],[Age]]&lt;30,"20-29",IF(Table1[[#This Row],[Age]]&lt;40,"30-39",IF(Table1[[#This Row],[Age]]&lt;50,"40-49","50+")))</f>
        <v>50+</v>
      </c>
      <c r="AA144" t="str">
        <f>IF(Table1[[#This Row],[Salary]]&lt;20000000,"low",IF(Table1[[#This Row],[Salary]]&lt;40000000,"medium","high"))</f>
        <v>medium</v>
      </c>
      <c r="AB144">
        <f>YEAR(Table1[[#This Row],[Hire Date]])</f>
        <v>2022</v>
      </c>
      <c r="AC144" t="str">
        <f>TEXT(Table1[[#This Row],[Hire Date]],"mmmm")</f>
        <v>مارس</v>
      </c>
      <c r="AD144" t="str">
        <f>IF(Table1[[#This Row],[Resigned]]="yes","former","active")</f>
        <v>former</v>
      </c>
    </row>
    <row r="145" spans="1:30" x14ac:dyDescent="0.3">
      <c r="A145" t="s">
        <v>355</v>
      </c>
      <c r="B145" t="s">
        <v>356</v>
      </c>
      <c r="C145" t="s">
        <v>27</v>
      </c>
      <c r="D145">
        <v>43</v>
      </c>
      <c r="E145" t="s">
        <v>28</v>
      </c>
      <c r="F145" t="s">
        <v>29</v>
      </c>
      <c r="G145" t="s">
        <v>30</v>
      </c>
      <c r="H145" t="s">
        <v>31</v>
      </c>
      <c r="I145" t="s">
        <v>43</v>
      </c>
      <c r="J145" s="1">
        <v>45762</v>
      </c>
      <c r="K145">
        <v>1</v>
      </c>
      <c r="L145">
        <v>30506223</v>
      </c>
      <c r="M145">
        <v>4325833</v>
      </c>
      <c r="N145" t="s">
        <v>33</v>
      </c>
      <c r="O145">
        <v>2.64</v>
      </c>
      <c r="P145">
        <v>20</v>
      </c>
      <c r="Q145">
        <v>5</v>
      </c>
      <c r="R145">
        <v>4</v>
      </c>
      <c r="S145">
        <v>5</v>
      </c>
      <c r="T145" t="s">
        <v>34</v>
      </c>
      <c r="U145" t="s">
        <v>33</v>
      </c>
      <c r="V145" t="s">
        <v>70</v>
      </c>
      <c r="W145" t="s">
        <v>34</v>
      </c>
      <c r="X145" t="s">
        <v>52</v>
      </c>
      <c r="Y145" t="s">
        <v>60</v>
      </c>
      <c r="Z145" t="str">
        <f>IF(Table1[[#This Row],[Age]]&lt;30,"20-29",IF(Table1[[#This Row],[Age]]&lt;40,"30-39",IF(Table1[[#This Row],[Age]]&lt;50,"40-49","50+")))</f>
        <v>40-49</v>
      </c>
      <c r="AA145" t="str">
        <f>IF(Table1[[#This Row],[Salary]]&lt;20000000,"low",IF(Table1[[#This Row],[Salary]]&lt;40000000,"medium","high"))</f>
        <v>medium</v>
      </c>
      <c r="AB145">
        <f>YEAR(Table1[[#This Row],[Hire Date]])</f>
        <v>2025</v>
      </c>
      <c r="AC145" t="str">
        <f>TEXT(Table1[[#This Row],[Hire Date]],"mmmm")</f>
        <v>آوريل</v>
      </c>
      <c r="AD145" t="str">
        <f>IF(Table1[[#This Row],[Resigned]]="yes","former","active")</f>
        <v>former</v>
      </c>
    </row>
    <row r="146" spans="1:30" x14ac:dyDescent="0.3">
      <c r="A146" t="s">
        <v>357</v>
      </c>
      <c r="B146" t="s">
        <v>358</v>
      </c>
      <c r="C146" t="s">
        <v>39</v>
      </c>
      <c r="D146">
        <v>50</v>
      </c>
      <c r="E146" t="s">
        <v>63</v>
      </c>
      <c r="F146" t="s">
        <v>93</v>
      </c>
      <c r="G146" t="s">
        <v>58</v>
      </c>
      <c r="H146" t="s">
        <v>42</v>
      </c>
      <c r="I146" t="s">
        <v>32</v>
      </c>
      <c r="J146" s="1">
        <v>44387</v>
      </c>
      <c r="K146">
        <v>5</v>
      </c>
      <c r="L146">
        <v>31729377</v>
      </c>
      <c r="M146">
        <v>2013762</v>
      </c>
      <c r="N146" t="s">
        <v>34</v>
      </c>
      <c r="O146">
        <v>4.3499999999999996</v>
      </c>
      <c r="P146">
        <v>32</v>
      </c>
      <c r="Q146">
        <v>5</v>
      </c>
      <c r="R146">
        <v>4</v>
      </c>
      <c r="S146">
        <v>5</v>
      </c>
      <c r="T146" t="s">
        <v>33</v>
      </c>
      <c r="U146" t="s">
        <v>33</v>
      </c>
      <c r="V146" t="s">
        <v>51</v>
      </c>
      <c r="W146" t="s">
        <v>34</v>
      </c>
      <c r="X146" t="s">
        <v>52</v>
      </c>
      <c r="Y146" t="s">
        <v>75</v>
      </c>
      <c r="Z146" t="str">
        <f>IF(Table1[[#This Row],[Age]]&lt;30,"20-29",IF(Table1[[#This Row],[Age]]&lt;40,"30-39",IF(Table1[[#This Row],[Age]]&lt;50,"40-49","50+")))</f>
        <v>50+</v>
      </c>
      <c r="AA146" t="str">
        <f>IF(Table1[[#This Row],[Salary]]&lt;20000000,"low",IF(Table1[[#This Row],[Salary]]&lt;40000000,"medium","high"))</f>
        <v>medium</v>
      </c>
      <c r="AB146">
        <f>YEAR(Table1[[#This Row],[Hire Date]])</f>
        <v>2021</v>
      </c>
      <c r="AC146" t="str">
        <f>TEXT(Table1[[#This Row],[Hire Date]],"mmmm")</f>
        <v>ژوئيه</v>
      </c>
      <c r="AD146" t="str">
        <f>IF(Table1[[#This Row],[Resigned]]="yes","former","active")</f>
        <v>former</v>
      </c>
    </row>
    <row r="147" spans="1:30" x14ac:dyDescent="0.3">
      <c r="A147" t="s">
        <v>359</v>
      </c>
      <c r="B147" t="s">
        <v>360</v>
      </c>
      <c r="C147" t="s">
        <v>39</v>
      </c>
      <c r="D147">
        <v>54</v>
      </c>
      <c r="E147" t="s">
        <v>40</v>
      </c>
      <c r="F147" t="s">
        <v>41</v>
      </c>
      <c r="G147" t="s">
        <v>49</v>
      </c>
      <c r="H147" t="s">
        <v>42</v>
      </c>
      <c r="I147" t="s">
        <v>50</v>
      </c>
      <c r="J147" s="1">
        <v>42530</v>
      </c>
      <c r="K147">
        <v>10</v>
      </c>
      <c r="L147">
        <v>57405378</v>
      </c>
      <c r="M147">
        <v>2136203</v>
      </c>
      <c r="N147" t="s">
        <v>34</v>
      </c>
      <c r="O147">
        <v>3.65</v>
      </c>
      <c r="P147">
        <v>9</v>
      </c>
      <c r="Q147">
        <v>2</v>
      </c>
      <c r="R147">
        <v>5</v>
      </c>
      <c r="S147">
        <v>16</v>
      </c>
      <c r="T147" t="s">
        <v>33</v>
      </c>
      <c r="U147" t="s">
        <v>34</v>
      </c>
      <c r="V147" t="s">
        <v>70</v>
      </c>
      <c r="W147" t="s">
        <v>33</v>
      </c>
      <c r="X147" t="s">
        <v>45</v>
      </c>
      <c r="Z147" t="str">
        <f>IF(Table1[[#This Row],[Age]]&lt;30,"20-29",IF(Table1[[#This Row],[Age]]&lt;40,"30-39",IF(Table1[[#This Row],[Age]]&lt;50,"40-49","50+")))</f>
        <v>50+</v>
      </c>
      <c r="AA147" t="str">
        <f>IF(Table1[[#This Row],[Salary]]&lt;20000000,"low",IF(Table1[[#This Row],[Salary]]&lt;40000000,"medium","high"))</f>
        <v>high</v>
      </c>
      <c r="AB147">
        <f>YEAR(Table1[[#This Row],[Hire Date]])</f>
        <v>2016</v>
      </c>
      <c r="AC147" t="str">
        <f>TEXT(Table1[[#This Row],[Hire Date]],"mmmm")</f>
        <v>ژوئن</v>
      </c>
      <c r="AD147" t="str">
        <f>IF(Table1[[#This Row],[Resigned]]="yes","former","active")</f>
        <v>active</v>
      </c>
    </row>
    <row r="148" spans="1:30" x14ac:dyDescent="0.3">
      <c r="A148" t="s">
        <v>361</v>
      </c>
      <c r="B148" t="s">
        <v>362</v>
      </c>
      <c r="C148" t="s">
        <v>27</v>
      </c>
      <c r="D148">
        <v>39</v>
      </c>
      <c r="E148" t="s">
        <v>73</v>
      </c>
      <c r="F148" t="s">
        <v>127</v>
      </c>
      <c r="G148" t="s">
        <v>49</v>
      </c>
      <c r="H148" t="s">
        <v>42</v>
      </c>
      <c r="I148" t="s">
        <v>81</v>
      </c>
      <c r="J148" s="1">
        <v>44459</v>
      </c>
      <c r="K148">
        <v>5</v>
      </c>
      <c r="L148">
        <v>51868079</v>
      </c>
      <c r="M148">
        <v>8628424</v>
      </c>
      <c r="N148" t="s">
        <v>34</v>
      </c>
      <c r="O148">
        <v>4.24</v>
      </c>
      <c r="P148">
        <v>41</v>
      </c>
      <c r="Q148">
        <v>2</v>
      </c>
      <c r="R148">
        <v>2</v>
      </c>
      <c r="S148">
        <v>6</v>
      </c>
      <c r="T148" t="s">
        <v>33</v>
      </c>
      <c r="U148" t="s">
        <v>34</v>
      </c>
      <c r="V148" t="s">
        <v>44</v>
      </c>
      <c r="W148" t="s">
        <v>34</v>
      </c>
      <c r="X148" t="s">
        <v>52</v>
      </c>
      <c r="Z148" t="str">
        <f>IF(Table1[[#This Row],[Age]]&lt;30,"20-29",IF(Table1[[#This Row],[Age]]&lt;40,"30-39",IF(Table1[[#This Row],[Age]]&lt;50,"40-49","50+")))</f>
        <v>30-39</v>
      </c>
      <c r="AA148" t="str">
        <f>IF(Table1[[#This Row],[Salary]]&lt;20000000,"low",IF(Table1[[#This Row],[Salary]]&lt;40000000,"medium","high"))</f>
        <v>high</v>
      </c>
      <c r="AB148">
        <f>YEAR(Table1[[#This Row],[Hire Date]])</f>
        <v>2021</v>
      </c>
      <c r="AC148" t="str">
        <f>TEXT(Table1[[#This Row],[Hire Date]],"mmmm")</f>
        <v>سپتامبر</v>
      </c>
      <c r="AD148" t="str">
        <f>IF(Table1[[#This Row],[Resigned]]="yes","former","active")</f>
        <v>active</v>
      </c>
    </row>
    <row r="149" spans="1:30" x14ac:dyDescent="0.3">
      <c r="A149" t="s">
        <v>363</v>
      </c>
      <c r="B149" t="s">
        <v>364</v>
      </c>
      <c r="C149" t="s">
        <v>27</v>
      </c>
      <c r="D149">
        <v>23</v>
      </c>
      <c r="E149" t="s">
        <v>63</v>
      </c>
      <c r="F149" t="s">
        <v>64</v>
      </c>
      <c r="G149" t="s">
        <v>58</v>
      </c>
      <c r="H149" t="s">
        <v>31</v>
      </c>
      <c r="I149" t="s">
        <v>50</v>
      </c>
      <c r="J149" s="1">
        <v>42840</v>
      </c>
      <c r="K149">
        <v>9</v>
      </c>
      <c r="L149">
        <v>49291010</v>
      </c>
      <c r="M149">
        <v>7216604</v>
      </c>
      <c r="N149" t="s">
        <v>34</v>
      </c>
      <c r="O149">
        <v>2.89</v>
      </c>
      <c r="P149">
        <v>38</v>
      </c>
      <c r="Q149">
        <v>1</v>
      </c>
      <c r="R149">
        <v>3</v>
      </c>
      <c r="S149">
        <v>15</v>
      </c>
      <c r="T149" t="s">
        <v>33</v>
      </c>
      <c r="U149" t="s">
        <v>34</v>
      </c>
      <c r="V149" t="s">
        <v>35</v>
      </c>
      <c r="W149" t="s">
        <v>34</v>
      </c>
      <c r="X149" t="s">
        <v>52</v>
      </c>
      <c r="Z149" t="str">
        <f>IF(Table1[[#This Row],[Age]]&lt;30,"20-29",IF(Table1[[#This Row],[Age]]&lt;40,"30-39",IF(Table1[[#This Row],[Age]]&lt;50,"40-49","50+")))</f>
        <v>20-29</v>
      </c>
      <c r="AA149" t="str">
        <f>IF(Table1[[#This Row],[Salary]]&lt;20000000,"low",IF(Table1[[#This Row],[Salary]]&lt;40000000,"medium","high"))</f>
        <v>high</v>
      </c>
      <c r="AB149">
        <f>YEAR(Table1[[#This Row],[Hire Date]])</f>
        <v>2017</v>
      </c>
      <c r="AC149" t="str">
        <f>TEXT(Table1[[#This Row],[Hire Date]],"mmmm")</f>
        <v>آوريل</v>
      </c>
      <c r="AD149" t="str">
        <f>IF(Table1[[#This Row],[Resigned]]="yes","former","active")</f>
        <v>active</v>
      </c>
    </row>
    <row r="150" spans="1:30" x14ac:dyDescent="0.3">
      <c r="A150" t="s">
        <v>365</v>
      </c>
      <c r="B150" t="s">
        <v>366</v>
      </c>
      <c r="C150" t="s">
        <v>27</v>
      </c>
      <c r="D150">
        <v>44</v>
      </c>
      <c r="E150" t="s">
        <v>40</v>
      </c>
      <c r="F150" t="s">
        <v>48</v>
      </c>
      <c r="G150" t="s">
        <v>49</v>
      </c>
      <c r="H150" t="s">
        <v>31</v>
      </c>
      <c r="I150" t="s">
        <v>65</v>
      </c>
      <c r="J150" s="1">
        <v>43088</v>
      </c>
      <c r="K150">
        <v>9</v>
      </c>
      <c r="L150">
        <v>50091961</v>
      </c>
      <c r="M150">
        <v>8292022</v>
      </c>
      <c r="N150" t="s">
        <v>34</v>
      </c>
      <c r="O150">
        <v>4.45</v>
      </c>
      <c r="P150">
        <v>44</v>
      </c>
      <c r="Q150">
        <v>1</v>
      </c>
      <c r="R150">
        <v>5</v>
      </c>
      <c r="S150">
        <v>12</v>
      </c>
      <c r="T150" t="s">
        <v>34</v>
      </c>
      <c r="U150" t="s">
        <v>33</v>
      </c>
      <c r="V150" t="s">
        <v>35</v>
      </c>
      <c r="W150" t="s">
        <v>33</v>
      </c>
      <c r="X150" t="s">
        <v>52</v>
      </c>
      <c r="Y150" t="s">
        <v>53</v>
      </c>
      <c r="Z150" t="str">
        <f>IF(Table1[[#This Row],[Age]]&lt;30,"20-29",IF(Table1[[#This Row],[Age]]&lt;40,"30-39",IF(Table1[[#This Row],[Age]]&lt;50,"40-49","50+")))</f>
        <v>40-49</v>
      </c>
      <c r="AA150" t="str">
        <f>IF(Table1[[#This Row],[Salary]]&lt;20000000,"low",IF(Table1[[#This Row],[Salary]]&lt;40000000,"medium","high"))</f>
        <v>high</v>
      </c>
      <c r="AB150">
        <f>YEAR(Table1[[#This Row],[Hire Date]])</f>
        <v>2017</v>
      </c>
      <c r="AC150" t="str">
        <f>TEXT(Table1[[#This Row],[Hire Date]],"mmmm")</f>
        <v>دسامبر</v>
      </c>
      <c r="AD150" t="str">
        <f>IF(Table1[[#This Row],[Resigned]]="yes","former","active")</f>
        <v>former</v>
      </c>
    </row>
    <row r="151" spans="1:30" x14ac:dyDescent="0.3">
      <c r="A151" t="s">
        <v>367</v>
      </c>
      <c r="B151" t="s">
        <v>368</v>
      </c>
      <c r="C151" t="s">
        <v>39</v>
      </c>
      <c r="D151">
        <v>51</v>
      </c>
      <c r="E151" t="s">
        <v>63</v>
      </c>
      <c r="F151" t="s">
        <v>64</v>
      </c>
      <c r="G151" t="s">
        <v>49</v>
      </c>
      <c r="H151" t="s">
        <v>31</v>
      </c>
      <c r="I151" t="s">
        <v>43</v>
      </c>
      <c r="J151" s="1">
        <v>43021</v>
      </c>
      <c r="K151">
        <v>9</v>
      </c>
      <c r="L151">
        <v>52473317</v>
      </c>
      <c r="M151">
        <v>9100110</v>
      </c>
      <c r="N151" t="s">
        <v>34</v>
      </c>
      <c r="O151">
        <v>2.75</v>
      </c>
      <c r="P151">
        <v>42</v>
      </c>
      <c r="Q151">
        <v>3</v>
      </c>
      <c r="R151">
        <v>4</v>
      </c>
      <c r="S151">
        <v>9</v>
      </c>
      <c r="T151" t="s">
        <v>33</v>
      </c>
      <c r="U151" t="s">
        <v>34</v>
      </c>
      <c r="V151" t="s">
        <v>59</v>
      </c>
      <c r="W151" t="s">
        <v>34</v>
      </c>
      <c r="X151" t="s">
        <v>52</v>
      </c>
      <c r="Z151" t="str">
        <f>IF(Table1[[#This Row],[Age]]&lt;30,"20-29",IF(Table1[[#This Row],[Age]]&lt;40,"30-39",IF(Table1[[#This Row],[Age]]&lt;50,"40-49","50+")))</f>
        <v>50+</v>
      </c>
      <c r="AA151" t="str">
        <f>IF(Table1[[#This Row],[Salary]]&lt;20000000,"low",IF(Table1[[#This Row],[Salary]]&lt;40000000,"medium","high"))</f>
        <v>high</v>
      </c>
      <c r="AB151">
        <f>YEAR(Table1[[#This Row],[Hire Date]])</f>
        <v>2017</v>
      </c>
      <c r="AC151" t="str">
        <f>TEXT(Table1[[#This Row],[Hire Date]],"mmmm")</f>
        <v>اُكتبر</v>
      </c>
      <c r="AD151" t="str">
        <f>IF(Table1[[#This Row],[Resigned]]="yes","former","active")</f>
        <v>active</v>
      </c>
    </row>
    <row r="152" spans="1:30" x14ac:dyDescent="0.3">
      <c r="A152" t="s">
        <v>369</v>
      </c>
      <c r="B152" t="s">
        <v>370</v>
      </c>
      <c r="C152" t="s">
        <v>27</v>
      </c>
      <c r="D152">
        <v>32</v>
      </c>
      <c r="E152" t="s">
        <v>63</v>
      </c>
      <c r="F152" t="s">
        <v>64</v>
      </c>
      <c r="G152" t="s">
        <v>30</v>
      </c>
      <c r="H152" t="s">
        <v>31</v>
      </c>
      <c r="I152" t="s">
        <v>81</v>
      </c>
      <c r="J152" s="1">
        <v>44221</v>
      </c>
      <c r="K152">
        <v>5</v>
      </c>
      <c r="L152">
        <v>18149564</v>
      </c>
      <c r="M152">
        <v>4972234</v>
      </c>
      <c r="N152" t="s">
        <v>33</v>
      </c>
      <c r="O152">
        <v>3.33</v>
      </c>
      <c r="P152">
        <v>49</v>
      </c>
      <c r="Q152">
        <v>3</v>
      </c>
      <c r="R152">
        <v>5</v>
      </c>
      <c r="S152">
        <v>5</v>
      </c>
      <c r="T152" t="s">
        <v>33</v>
      </c>
      <c r="U152" t="s">
        <v>33</v>
      </c>
      <c r="V152" t="s">
        <v>59</v>
      </c>
      <c r="W152" t="s">
        <v>34</v>
      </c>
      <c r="X152" t="s">
        <v>52</v>
      </c>
      <c r="Y152" t="s">
        <v>60</v>
      </c>
      <c r="Z152" t="str">
        <f>IF(Table1[[#This Row],[Age]]&lt;30,"20-29",IF(Table1[[#This Row],[Age]]&lt;40,"30-39",IF(Table1[[#This Row],[Age]]&lt;50,"40-49","50+")))</f>
        <v>30-39</v>
      </c>
      <c r="AA152" t="str">
        <f>IF(Table1[[#This Row],[Salary]]&lt;20000000,"low",IF(Table1[[#This Row],[Salary]]&lt;40000000,"medium","high"))</f>
        <v>low</v>
      </c>
      <c r="AB152">
        <f>YEAR(Table1[[#This Row],[Hire Date]])</f>
        <v>2021</v>
      </c>
      <c r="AC152" t="str">
        <f>TEXT(Table1[[#This Row],[Hire Date]],"mmmm")</f>
        <v>ژانويه</v>
      </c>
      <c r="AD152" t="str">
        <f>IF(Table1[[#This Row],[Resigned]]="yes","former","active")</f>
        <v>former</v>
      </c>
    </row>
    <row r="153" spans="1:30" x14ac:dyDescent="0.3">
      <c r="A153" t="s">
        <v>371</v>
      </c>
      <c r="B153" t="s">
        <v>372</v>
      </c>
      <c r="C153" t="s">
        <v>39</v>
      </c>
      <c r="D153">
        <v>57</v>
      </c>
      <c r="E153" t="s">
        <v>28</v>
      </c>
      <c r="F153" t="s">
        <v>29</v>
      </c>
      <c r="G153" t="s">
        <v>58</v>
      </c>
      <c r="H153" t="s">
        <v>31</v>
      </c>
      <c r="I153" t="s">
        <v>43</v>
      </c>
      <c r="J153" s="1">
        <v>44268</v>
      </c>
      <c r="K153">
        <v>5</v>
      </c>
      <c r="L153">
        <v>46516110</v>
      </c>
      <c r="M153">
        <v>1154262</v>
      </c>
      <c r="N153" t="s">
        <v>33</v>
      </c>
      <c r="O153">
        <v>3.05</v>
      </c>
      <c r="P153">
        <v>25</v>
      </c>
      <c r="Q153">
        <v>2</v>
      </c>
      <c r="R153">
        <v>3</v>
      </c>
      <c r="S153">
        <v>15</v>
      </c>
      <c r="T153" t="s">
        <v>33</v>
      </c>
      <c r="U153" t="s">
        <v>34</v>
      </c>
      <c r="V153" t="s">
        <v>35</v>
      </c>
      <c r="W153" t="s">
        <v>34</v>
      </c>
      <c r="X153" t="s">
        <v>52</v>
      </c>
      <c r="Z153" t="str">
        <f>IF(Table1[[#This Row],[Age]]&lt;30,"20-29",IF(Table1[[#This Row],[Age]]&lt;40,"30-39",IF(Table1[[#This Row],[Age]]&lt;50,"40-49","50+")))</f>
        <v>50+</v>
      </c>
      <c r="AA153" t="str">
        <f>IF(Table1[[#This Row],[Salary]]&lt;20000000,"low",IF(Table1[[#This Row],[Salary]]&lt;40000000,"medium","high"))</f>
        <v>high</v>
      </c>
      <c r="AB153">
        <f>YEAR(Table1[[#This Row],[Hire Date]])</f>
        <v>2021</v>
      </c>
      <c r="AC153" t="str">
        <f>TEXT(Table1[[#This Row],[Hire Date]],"mmmm")</f>
        <v>مارس</v>
      </c>
      <c r="AD153" t="str">
        <f>IF(Table1[[#This Row],[Resigned]]="yes","former","active")</f>
        <v>active</v>
      </c>
    </row>
    <row r="154" spans="1:30" x14ac:dyDescent="0.3">
      <c r="A154" t="s">
        <v>373</v>
      </c>
      <c r="B154" t="s">
        <v>374</v>
      </c>
      <c r="C154" t="s">
        <v>27</v>
      </c>
      <c r="D154">
        <v>32</v>
      </c>
      <c r="E154" t="s">
        <v>110</v>
      </c>
      <c r="F154" t="s">
        <v>120</v>
      </c>
      <c r="G154" t="s">
        <v>49</v>
      </c>
      <c r="H154" t="s">
        <v>31</v>
      </c>
      <c r="I154" t="s">
        <v>50</v>
      </c>
      <c r="J154" s="1">
        <v>43076</v>
      </c>
      <c r="K154">
        <v>9</v>
      </c>
      <c r="L154">
        <v>13544758</v>
      </c>
      <c r="M154">
        <v>2495660</v>
      </c>
      <c r="N154" t="s">
        <v>33</v>
      </c>
      <c r="O154">
        <v>4.2</v>
      </c>
      <c r="P154">
        <v>2</v>
      </c>
      <c r="Q154">
        <v>2</v>
      </c>
      <c r="R154">
        <v>3</v>
      </c>
      <c r="S154">
        <v>8</v>
      </c>
      <c r="T154" t="s">
        <v>34</v>
      </c>
      <c r="U154" t="s">
        <v>34</v>
      </c>
      <c r="V154" t="s">
        <v>70</v>
      </c>
      <c r="W154" t="s">
        <v>34</v>
      </c>
      <c r="X154" t="s">
        <v>45</v>
      </c>
      <c r="Z154" t="str">
        <f>IF(Table1[[#This Row],[Age]]&lt;30,"20-29",IF(Table1[[#This Row],[Age]]&lt;40,"30-39",IF(Table1[[#This Row],[Age]]&lt;50,"40-49","50+")))</f>
        <v>30-39</v>
      </c>
      <c r="AA154" t="str">
        <f>IF(Table1[[#This Row],[Salary]]&lt;20000000,"low",IF(Table1[[#This Row],[Salary]]&lt;40000000,"medium","high"))</f>
        <v>low</v>
      </c>
      <c r="AB154">
        <f>YEAR(Table1[[#This Row],[Hire Date]])</f>
        <v>2017</v>
      </c>
      <c r="AC154" t="str">
        <f>TEXT(Table1[[#This Row],[Hire Date]],"mmmm")</f>
        <v>دسامبر</v>
      </c>
      <c r="AD154" t="str">
        <f>IF(Table1[[#This Row],[Resigned]]="yes","former","active")</f>
        <v>active</v>
      </c>
    </row>
    <row r="155" spans="1:30" x14ac:dyDescent="0.3">
      <c r="A155" t="s">
        <v>375</v>
      </c>
      <c r="B155" t="s">
        <v>376</v>
      </c>
      <c r="C155" t="s">
        <v>27</v>
      </c>
      <c r="D155">
        <v>31</v>
      </c>
      <c r="E155" t="s">
        <v>56</v>
      </c>
      <c r="F155" t="s">
        <v>57</v>
      </c>
      <c r="G155" t="s">
        <v>58</v>
      </c>
      <c r="H155" t="s">
        <v>42</v>
      </c>
      <c r="I155" t="s">
        <v>32</v>
      </c>
      <c r="J155" s="1">
        <v>44841</v>
      </c>
      <c r="K155">
        <v>4</v>
      </c>
      <c r="L155">
        <v>38282327</v>
      </c>
      <c r="M155">
        <v>7882011</v>
      </c>
      <c r="N155" t="s">
        <v>34</v>
      </c>
      <c r="O155">
        <v>3.53</v>
      </c>
      <c r="P155">
        <v>48</v>
      </c>
      <c r="Q155">
        <v>3</v>
      </c>
      <c r="R155">
        <v>2</v>
      </c>
      <c r="S155">
        <v>8</v>
      </c>
      <c r="T155" t="s">
        <v>34</v>
      </c>
      <c r="U155" t="s">
        <v>34</v>
      </c>
      <c r="V155" t="s">
        <v>70</v>
      </c>
      <c r="W155" t="s">
        <v>33</v>
      </c>
      <c r="X155" t="s">
        <v>45</v>
      </c>
      <c r="Z155" t="str">
        <f>IF(Table1[[#This Row],[Age]]&lt;30,"20-29",IF(Table1[[#This Row],[Age]]&lt;40,"30-39",IF(Table1[[#This Row],[Age]]&lt;50,"40-49","50+")))</f>
        <v>30-39</v>
      </c>
      <c r="AA155" t="str">
        <f>IF(Table1[[#This Row],[Salary]]&lt;20000000,"low",IF(Table1[[#This Row],[Salary]]&lt;40000000,"medium","high"))</f>
        <v>medium</v>
      </c>
      <c r="AB155">
        <f>YEAR(Table1[[#This Row],[Hire Date]])</f>
        <v>2022</v>
      </c>
      <c r="AC155" t="str">
        <f>TEXT(Table1[[#This Row],[Hire Date]],"mmmm")</f>
        <v>اُكتبر</v>
      </c>
      <c r="AD155" t="str">
        <f>IF(Table1[[#This Row],[Resigned]]="yes","former","active")</f>
        <v>active</v>
      </c>
    </row>
    <row r="156" spans="1:30" x14ac:dyDescent="0.3">
      <c r="A156" t="s">
        <v>377</v>
      </c>
      <c r="B156" t="s">
        <v>378</v>
      </c>
      <c r="C156" t="s">
        <v>39</v>
      </c>
      <c r="D156">
        <v>58</v>
      </c>
      <c r="E156" t="s">
        <v>40</v>
      </c>
      <c r="F156" t="s">
        <v>41</v>
      </c>
      <c r="G156" t="s">
        <v>49</v>
      </c>
      <c r="H156" t="s">
        <v>42</v>
      </c>
      <c r="I156" t="s">
        <v>50</v>
      </c>
      <c r="J156" s="1">
        <v>43236</v>
      </c>
      <c r="K156">
        <v>8</v>
      </c>
      <c r="L156">
        <v>18913163</v>
      </c>
      <c r="M156">
        <v>4045442</v>
      </c>
      <c r="N156" t="s">
        <v>34</v>
      </c>
      <c r="O156">
        <v>3.9</v>
      </c>
      <c r="P156">
        <v>44</v>
      </c>
      <c r="Q156">
        <v>2</v>
      </c>
      <c r="R156">
        <v>2</v>
      </c>
      <c r="S156">
        <v>14</v>
      </c>
      <c r="T156" t="s">
        <v>34</v>
      </c>
      <c r="U156" t="s">
        <v>34</v>
      </c>
      <c r="V156" t="s">
        <v>35</v>
      </c>
      <c r="W156" t="s">
        <v>34</v>
      </c>
      <c r="X156" t="s">
        <v>36</v>
      </c>
      <c r="Z156" t="str">
        <f>IF(Table1[[#This Row],[Age]]&lt;30,"20-29",IF(Table1[[#This Row],[Age]]&lt;40,"30-39",IF(Table1[[#This Row],[Age]]&lt;50,"40-49","50+")))</f>
        <v>50+</v>
      </c>
      <c r="AA156" t="str">
        <f>IF(Table1[[#This Row],[Salary]]&lt;20000000,"low",IF(Table1[[#This Row],[Salary]]&lt;40000000,"medium","high"))</f>
        <v>low</v>
      </c>
      <c r="AB156">
        <f>YEAR(Table1[[#This Row],[Hire Date]])</f>
        <v>2018</v>
      </c>
      <c r="AC156" t="str">
        <f>TEXT(Table1[[#This Row],[Hire Date]],"mmmm")</f>
        <v>مه</v>
      </c>
      <c r="AD156" t="str">
        <f>IF(Table1[[#This Row],[Resigned]]="yes","former","active")</f>
        <v>active</v>
      </c>
    </row>
    <row r="157" spans="1:30" x14ac:dyDescent="0.3">
      <c r="A157" t="s">
        <v>379</v>
      </c>
      <c r="B157" t="s">
        <v>380</v>
      </c>
      <c r="C157" t="s">
        <v>39</v>
      </c>
      <c r="D157">
        <v>50</v>
      </c>
      <c r="E157" t="s">
        <v>28</v>
      </c>
      <c r="F157" t="s">
        <v>29</v>
      </c>
      <c r="G157" t="s">
        <v>49</v>
      </c>
      <c r="H157" t="s">
        <v>42</v>
      </c>
      <c r="I157" t="s">
        <v>65</v>
      </c>
      <c r="J157" s="1">
        <v>45833</v>
      </c>
      <c r="K157">
        <v>1</v>
      </c>
      <c r="L157">
        <v>21486552</v>
      </c>
      <c r="M157">
        <v>4484641</v>
      </c>
      <c r="N157" t="s">
        <v>34</v>
      </c>
      <c r="O157">
        <v>3.79</v>
      </c>
      <c r="P157">
        <v>26</v>
      </c>
      <c r="Q157">
        <v>3</v>
      </c>
      <c r="R157">
        <v>2</v>
      </c>
      <c r="S157">
        <v>8</v>
      </c>
      <c r="T157" t="s">
        <v>34</v>
      </c>
      <c r="U157" t="s">
        <v>34</v>
      </c>
      <c r="V157" t="s">
        <v>35</v>
      </c>
      <c r="W157" t="s">
        <v>34</v>
      </c>
      <c r="X157" t="s">
        <v>36</v>
      </c>
      <c r="Z157" t="str">
        <f>IF(Table1[[#This Row],[Age]]&lt;30,"20-29",IF(Table1[[#This Row],[Age]]&lt;40,"30-39",IF(Table1[[#This Row],[Age]]&lt;50,"40-49","50+")))</f>
        <v>50+</v>
      </c>
      <c r="AA157" t="str">
        <f>IF(Table1[[#This Row],[Salary]]&lt;20000000,"low",IF(Table1[[#This Row],[Salary]]&lt;40000000,"medium","high"))</f>
        <v>medium</v>
      </c>
      <c r="AB157">
        <f>YEAR(Table1[[#This Row],[Hire Date]])</f>
        <v>2025</v>
      </c>
      <c r="AC157" t="str">
        <f>TEXT(Table1[[#This Row],[Hire Date]],"mmmm")</f>
        <v>ژوئن</v>
      </c>
      <c r="AD157" t="str">
        <f>IF(Table1[[#This Row],[Resigned]]="yes","former","active")</f>
        <v>active</v>
      </c>
    </row>
    <row r="158" spans="1:30" x14ac:dyDescent="0.3">
      <c r="A158" t="s">
        <v>381</v>
      </c>
      <c r="B158" t="s">
        <v>382</v>
      </c>
      <c r="C158" t="s">
        <v>27</v>
      </c>
      <c r="D158">
        <v>51</v>
      </c>
      <c r="E158" t="s">
        <v>56</v>
      </c>
      <c r="F158" t="s">
        <v>57</v>
      </c>
      <c r="G158" t="s">
        <v>49</v>
      </c>
      <c r="H158" t="s">
        <v>31</v>
      </c>
      <c r="I158" t="s">
        <v>50</v>
      </c>
      <c r="J158" s="1">
        <v>42820</v>
      </c>
      <c r="K158">
        <v>9</v>
      </c>
      <c r="L158">
        <v>35038971</v>
      </c>
      <c r="M158">
        <v>7324632</v>
      </c>
      <c r="N158" t="s">
        <v>34</v>
      </c>
      <c r="O158">
        <v>3.97</v>
      </c>
      <c r="P158">
        <v>30</v>
      </c>
      <c r="Q158">
        <v>1</v>
      </c>
      <c r="R158">
        <v>3</v>
      </c>
      <c r="S158">
        <v>6</v>
      </c>
      <c r="T158" t="s">
        <v>34</v>
      </c>
      <c r="U158" t="s">
        <v>34</v>
      </c>
      <c r="V158" t="s">
        <v>70</v>
      </c>
      <c r="W158" t="s">
        <v>34</v>
      </c>
      <c r="X158" t="s">
        <v>52</v>
      </c>
      <c r="Z158" t="str">
        <f>IF(Table1[[#This Row],[Age]]&lt;30,"20-29",IF(Table1[[#This Row],[Age]]&lt;40,"30-39",IF(Table1[[#This Row],[Age]]&lt;50,"40-49","50+")))</f>
        <v>50+</v>
      </c>
      <c r="AA158" t="str">
        <f>IF(Table1[[#This Row],[Salary]]&lt;20000000,"low",IF(Table1[[#This Row],[Salary]]&lt;40000000,"medium","high"))</f>
        <v>medium</v>
      </c>
      <c r="AB158">
        <f>YEAR(Table1[[#This Row],[Hire Date]])</f>
        <v>2017</v>
      </c>
      <c r="AC158" t="str">
        <f>TEXT(Table1[[#This Row],[Hire Date]],"mmmm")</f>
        <v>مارس</v>
      </c>
      <c r="AD158" t="str">
        <f>IF(Table1[[#This Row],[Resigned]]="yes","former","active")</f>
        <v>active</v>
      </c>
    </row>
    <row r="159" spans="1:30" x14ac:dyDescent="0.3">
      <c r="A159" t="s">
        <v>383</v>
      </c>
      <c r="B159" t="s">
        <v>384</v>
      </c>
      <c r="C159" t="s">
        <v>39</v>
      </c>
      <c r="D159">
        <v>46</v>
      </c>
      <c r="E159" t="s">
        <v>40</v>
      </c>
      <c r="F159" t="s">
        <v>41</v>
      </c>
      <c r="G159" t="s">
        <v>49</v>
      </c>
      <c r="H159" t="s">
        <v>42</v>
      </c>
      <c r="I159" t="s">
        <v>32</v>
      </c>
      <c r="J159" s="1">
        <v>45534</v>
      </c>
      <c r="K159">
        <v>2</v>
      </c>
      <c r="L159">
        <v>32441595</v>
      </c>
      <c r="M159">
        <v>5642784</v>
      </c>
      <c r="N159" t="s">
        <v>33</v>
      </c>
      <c r="O159">
        <v>3.44</v>
      </c>
      <c r="P159">
        <v>9</v>
      </c>
      <c r="Q159">
        <v>5</v>
      </c>
      <c r="R159">
        <v>1</v>
      </c>
      <c r="S159">
        <v>17</v>
      </c>
      <c r="T159" t="s">
        <v>34</v>
      </c>
      <c r="U159" t="s">
        <v>34</v>
      </c>
      <c r="V159" t="s">
        <v>35</v>
      </c>
      <c r="W159" t="s">
        <v>34</v>
      </c>
      <c r="X159" t="s">
        <v>45</v>
      </c>
      <c r="Z159" t="str">
        <f>IF(Table1[[#This Row],[Age]]&lt;30,"20-29",IF(Table1[[#This Row],[Age]]&lt;40,"30-39",IF(Table1[[#This Row],[Age]]&lt;50,"40-49","50+")))</f>
        <v>40-49</v>
      </c>
      <c r="AA159" t="str">
        <f>IF(Table1[[#This Row],[Salary]]&lt;20000000,"low",IF(Table1[[#This Row],[Salary]]&lt;40000000,"medium","high"))</f>
        <v>medium</v>
      </c>
      <c r="AB159">
        <f>YEAR(Table1[[#This Row],[Hire Date]])</f>
        <v>2024</v>
      </c>
      <c r="AC159" t="str">
        <f>TEXT(Table1[[#This Row],[Hire Date]],"mmmm")</f>
        <v>اوت</v>
      </c>
      <c r="AD159" t="str">
        <f>IF(Table1[[#This Row],[Resigned]]="yes","former","active")</f>
        <v>active</v>
      </c>
    </row>
    <row r="160" spans="1:30" x14ac:dyDescent="0.3">
      <c r="A160" t="s">
        <v>385</v>
      </c>
      <c r="B160" t="s">
        <v>386</v>
      </c>
      <c r="C160" t="s">
        <v>27</v>
      </c>
      <c r="D160">
        <v>44</v>
      </c>
      <c r="E160" t="s">
        <v>110</v>
      </c>
      <c r="F160" t="s">
        <v>120</v>
      </c>
      <c r="G160" t="s">
        <v>58</v>
      </c>
      <c r="H160" t="s">
        <v>42</v>
      </c>
      <c r="I160" t="s">
        <v>65</v>
      </c>
      <c r="J160" s="1">
        <v>43805</v>
      </c>
      <c r="K160">
        <v>7</v>
      </c>
      <c r="L160">
        <v>30211076</v>
      </c>
      <c r="M160">
        <v>7031981</v>
      </c>
      <c r="N160" t="s">
        <v>33</v>
      </c>
      <c r="O160">
        <v>4.79</v>
      </c>
      <c r="P160">
        <v>18</v>
      </c>
      <c r="Q160">
        <v>4</v>
      </c>
      <c r="R160">
        <v>5</v>
      </c>
      <c r="S160">
        <v>9</v>
      </c>
      <c r="T160" t="s">
        <v>33</v>
      </c>
      <c r="U160" t="s">
        <v>34</v>
      </c>
      <c r="V160" t="s">
        <v>51</v>
      </c>
      <c r="W160" t="s">
        <v>33</v>
      </c>
      <c r="X160" t="s">
        <v>45</v>
      </c>
      <c r="Z160" t="str">
        <f>IF(Table1[[#This Row],[Age]]&lt;30,"20-29",IF(Table1[[#This Row],[Age]]&lt;40,"30-39",IF(Table1[[#This Row],[Age]]&lt;50,"40-49","50+")))</f>
        <v>40-49</v>
      </c>
      <c r="AA160" t="str">
        <f>IF(Table1[[#This Row],[Salary]]&lt;20000000,"low",IF(Table1[[#This Row],[Salary]]&lt;40000000,"medium","high"))</f>
        <v>medium</v>
      </c>
      <c r="AB160">
        <f>YEAR(Table1[[#This Row],[Hire Date]])</f>
        <v>2019</v>
      </c>
      <c r="AC160" t="str">
        <f>TEXT(Table1[[#This Row],[Hire Date]],"mmmm")</f>
        <v>دسامبر</v>
      </c>
      <c r="AD160" t="str">
        <f>IF(Table1[[#This Row],[Resigned]]="yes","former","active")</f>
        <v>active</v>
      </c>
    </row>
    <row r="161" spans="1:30" x14ac:dyDescent="0.3">
      <c r="A161" t="s">
        <v>387</v>
      </c>
      <c r="B161" t="s">
        <v>388</v>
      </c>
      <c r="C161" t="s">
        <v>39</v>
      </c>
      <c r="D161">
        <v>27</v>
      </c>
      <c r="E161" t="s">
        <v>63</v>
      </c>
      <c r="F161" t="s">
        <v>93</v>
      </c>
      <c r="G161" t="s">
        <v>58</v>
      </c>
      <c r="H161" t="s">
        <v>31</v>
      </c>
      <c r="I161" t="s">
        <v>43</v>
      </c>
      <c r="J161" s="1">
        <v>43724</v>
      </c>
      <c r="K161">
        <v>7</v>
      </c>
      <c r="L161">
        <v>39848402</v>
      </c>
      <c r="M161">
        <v>7465905</v>
      </c>
      <c r="N161" t="s">
        <v>33</v>
      </c>
      <c r="O161">
        <v>3.3</v>
      </c>
      <c r="P161">
        <v>73</v>
      </c>
      <c r="Q161">
        <v>5</v>
      </c>
      <c r="R161">
        <v>2</v>
      </c>
      <c r="S161">
        <v>9</v>
      </c>
      <c r="T161" t="s">
        <v>33</v>
      </c>
      <c r="U161" t="s">
        <v>34</v>
      </c>
      <c r="V161" t="s">
        <v>70</v>
      </c>
      <c r="W161" t="s">
        <v>33</v>
      </c>
      <c r="X161" t="s">
        <v>45</v>
      </c>
      <c r="Z161" t="str">
        <f>IF(Table1[[#This Row],[Age]]&lt;30,"20-29",IF(Table1[[#This Row],[Age]]&lt;40,"30-39",IF(Table1[[#This Row],[Age]]&lt;50,"40-49","50+")))</f>
        <v>20-29</v>
      </c>
      <c r="AA161" t="str">
        <f>IF(Table1[[#This Row],[Salary]]&lt;20000000,"low",IF(Table1[[#This Row],[Salary]]&lt;40000000,"medium","high"))</f>
        <v>medium</v>
      </c>
      <c r="AB161">
        <f>YEAR(Table1[[#This Row],[Hire Date]])</f>
        <v>2019</v>
      </c>
      <c r="AC161" t="str">
        <f>TEXT(Table1[[#This Row],[Hire Date]],"mmmm")</f>
        <v>سپتامبر</v>
      </c>
      <c r="AD161" t="str">
        <f>IF(Table1[[#This Row],[Resigned]]="yes","former","active")</f>
        <v>active</v>
      </c>
    </row>
    <row r="162" spans="1:30" x14ac:dyDescent="0.3">
      <c r="A162" t="s">
        <v>389</v>
      </c>
      <c r="B162" t="s">
        <v>390</v>
      </c>
      <c r="C162" t="s">
        <v>39</v>
      </c>
      <c r="D162">
        <v>47</v>
      </c>
      <c r="E162" t="s">
        <v>40</v>
      </c>
      <c r="F162" t="s">
        <v>41</v>
      </c>
      <c r="G162" t="s">
        <v>49</v>
      </c>
      <c r="H162" t="s">
        <v>42</v>
      </c>
      <c r="I162" t="s">
        <v>81</v>
      </c>
      <c r="J162" s="1">
        <v>44667</v>
      </c>
      <c r="K162">
        <v>4</v>
      </c>
      <c r="L162">
        <v>29868527</v>
      </c>
      <c r="M162">
        <v>6881279</v>
      </c>
      <c r="N162" t="s">
        <v>34</v>
      </c>
      <c r="O162">
        <v>4.59</v>
      </c>
      <c r="P162">
        <v>11</v>
      </c>
      <c r="Q162">
        <v>4</v>
      </c>
      <c r="R162">
        <v>3</v>
      </c>
      <c r="S162">
        <v>4</v>
      </c>
      <c r="T162" t="s">
        <v>34</v>
      </c>
      <c r="U162" t="s">
        <v>34</v>
      </c>
      <c r="V162" t="s">
        <v>59</v>
      </c>
      <c r="W162" t="s">
        <v>33</v>
      </c>
      <c r="X162" t="s">
        <v>45</v>
      </c>
      <c r="Z162" t="str">
        <f>IF(Table1[[#This Row],[Age]]&lt;30,"20-29",IF(Table1[[#This Row],[Age]]&lt;40,"30-39",IF(Table1[[#This Row],[Age]]&lt;50,"40-49","50+")))</f>
        <v>40-49</v>
      </c>
      <c r="AA162" t="str">
        <f>IF(Table1[[#This Row],[Salary]]&lt;20000000,"low",IF(Table1[[#This Row],[Salary]]&lt;40000000,"medium","high"))</f>
        <v>medium</v>
      </c>
      <c r="AB162">
        <f>YEAR(Table1[[#This Row],[Hire Date]])</f>
        <v>2022</v>
      </c>
      <c r="AC162" t="str">
        <f>TEXT(Table1[[#This Row],[Hire Date]],"mmmm")</f>
        <v>آوريل</v>
      </c>
      <c r="AD162" t="str">
        <f>IF(Table1[[#This Row],[Resigned]]="yes","former","active")</f>
        <v>active</v>
      </c>
    </row>
    <row r="163" spans="1:30" x14ac:dyDescent="0.3">
      <c r="A163" t="s">
        <v>391</v>
      </c>
      <c r="B163" t="s">
        <v>392</v>
      </c>
      <c r="C163" t="s">
        <v>39</v>
      </c>
      <c r="D163">
        <v>33</v>
      </c>
      <c r="E163" t="s">
        <v>56</v>
      </c>
      <c r="F163" t="s">
        <v>84</v>
      </c>
      <c r="G163" t="s">
        <v>49</v>
      </c>
      <c r="H163" t="s">
        <v>31</v>
      </c>
      <c r="I163" t="s">
        <v>65</v>
      </c>
      <c r="J163" s="1">
        <v>44829</v>
      </c>
      <c r="K163">
        <v>4</v>
      </c>
      <c r="L163">
        <v>33166817</v>
      </c>
      <c r="M163">
        <v>8607281</v>
      </c>
      <c r="N163" t="s">
        <v>33</v>
      </c>
      <c r="O163">
        <v>4.4800000000000004</v>
      </c>
      <c r="P163">
        <v>51</v>
      </c>
      <c r="Q163">
        <v>5</v>
      </c>
      <c r="R163">
        <v>4</v>
      </c>
      <c r="S163">
        <v>14</v>
      </c>
      <c r="T163" t="s">
        <v>33</v>
      </c>
      <c r="U163" t="s">
        <v>34</v>
      </c>
      <c r="V163" t="s">
        <v>35</v>
      </c>
      <c r="W163" t="s">
        <v>33</v>
      </c>
      <c r="X163" t="s">
        <v>36</v>
      </c>
      <c r="Z163" t="str">
        <f>IF(Table1[[#This Row],[Age]]&lt;30,"20-29",IF(Table1[[#This Row],[Age]]&lt;40,"30-39",IF(Table1[[#This Row],[Age]]&lt;50,"40-49","50+")))</f>
        <v>30-39</v>
      </c>
      <c r="AA163" t="str">
        <f>IF(Table1[[#This Row],[Salary]]&lt;20000000,"low",IF(Table1[[#This Row],[Salary]]&lt;40000000,"medium","high"))</f>
        <v>medium</v>
      </c>
      <c r="AB163">
        <f>YEAR(Table1[[#This Row],[Hire Date]])</f>
        <v>2022</v>
      </c>
      <c r="AC163" t="str">
        <f>TEXT(Table1[[#This Row],[Hire Date]],"mmmm")</f>
        <v>سپتامبر</v>
      </c>
      <c r="AD163" t="str">
        <f>IF(Table1[[#This Row],[Resigned]]="yes","former","active")</f>
        <v>active</v>
      </c>
    </row>
    <row r="164" spans="1:30" x14ac:dyDescent="0.3">
      <c r="A164" t="s">
        <v>393</v>
      </c>
      <c r="B164" t="s">
        <v>394</v>
      </c>
      <c r="C164" t="s">
        <v>39</v>
      </c>
      <c r="D164">
        <v>54</v>
      </c>
      <c r="E164" t="s">
        <v>63</v>
      </c>
      <c r="F164" t="s">
        <v>64</v>
      </c>
      <c r="G164" t="s">
        <v>49</v>
      </c>
      <c r="H164" t="s">
        <v>31</v>
      </c>
      <c r="I164" t="s">
        <v>65</v>
      </c>
      <c r="J164" s="1">
        <v>45160</v>
      </c>
      <c r="K164">
        <v>3</v>
      </c>
      <c r="L164">
        <v>52055805</v>
      </c>
      <c r="M164">
        <v>7472062</v>
      </c>
      <c r="N164" t="s">
        <v>34</v>
      </c>
      <c r="O164">
        <v>4.43</v>
      </c>
      <c r="P164">
        <v>8</v>
      </c>
      <c r="Q164">
        <v>2</v>
      </c>
      <c r="R164">
        <v>2</v>
      </c>
      <c r="S164">
        <v>9</v>
      </c>
      <c r="T164" t="s">
        <v>33</v>
      </c>
      <c r="U164" t="s">
        <v>33</v>
      </c>
      <c r="V164" t="s">
        <v>70</v>
      </c>
      <c r="W164" t="s">
        <v>33</v>
      </c>
      <c r="X164" t="s">
        <v>52</v>
      </c>
      <c r="Y164" t="s">
        <v>75</v>
      </c>
      <c r="Z164" t="str">
        <f>IF(Table1[[#This Row],[Age]]&lt;30,"20-29",IF(Table1[[#This Row],[Age]]&lt;40,"30-39",IF(Table1[[#This Row],[Age]]&lt;50,"40-49","50+")))</f>
        <v>50+</v>
      </c>
      <c r="AA164" t="str">
        <f>IF(Table1[[#This Row],[Salary]]&lt;20000000,"low",IF(Table1[[#This Row],[Salary]]&lt;40000000,"medium","high"))</f>
        <v>high</v>
      </c>
      <c r="AB164">
        <f>YEAR(Table1[[#This Row],[Hire Date]])</f>
        <v>2023</v>
      </c>
      <c r="AC164" t="str">
        <f>TEXT(Table1[[#This Row],[Hire Date]],"mmmm")</f>
        <v>اوت</v>
      </c>
      <c r="AD164" t="str">
        <f>IF(Table1[[#This Row],[Resigned]]="yes","former","active")</f>
        <v>former</v>
      </c>
    </row>
    <row r="165" spans="1:30" x14ac:dyDescent="0.3">
      <c r="A165" t="s">
        <v>395</v>
      </c>
      <c r="B165" t="s">
        <v>396</v>
      </c>
      <c r="C165" t="s">
        <v>27</v>
      </c>
      <c r="D165">
        <v>42</v>
      </c>
      <c r="E165" t="s">
        <v>28</v>
      </c>
      <c r="F165" t="s">
        <v>80</v>
      </c>
      <c r="G165" t="s">
        <v>49</v>
      </c>
      <c r="H165" t="s">
        <v>42</v>
      </c>
      <c r="I165" t="s">
        <v>65</v>
      </c>
      <c r="J165" s="1">
        <v>43039</v>
      </c>
      <c r="K165">
        <v>9</v>
      </c>
      <c r="L165">
        <v>49082276</v>
      </c>
      <c r="M165">
        <v>3474258</v>
      </c>
      <c r="N165" t="s">
        <v>34</v>
      </c>
      <c r="O165">
        <v>3.05</v>
      </c>
      <c r="P165">
        <v>47</v>
      </c>
      <c r="Q165">
        <v>1</v>
      </c>
      <c r="R165">
        <v>1</v>
      </c>
      <c r="S165">
        <v>16</v>
      </c>
      <c r="T165" t="s">
        <v>33</v>
      </c>
      <c r="U165" t="s">
        <v>34</v>
      </c>
      <c r="V165" t="s">
        <v>59</v>
      </c>
      <c r="W165" t="s">
        <v>34</v>
      </c>
      <c r="X165" t="s">
        <v>36</v>
      </c>
      <c r="Z165" t="str">
        <f>IF(Table1[[#This Row],[Age]]&lt;30,"20-29",IF(Table1[[#This Row],[Age]]&lt;40,"30-39",IF(Table1[[#This Row],[Age]]&lt;50,"40-49","50+")))</f>
        <v>40-49</v>
      </c>
      <c r="AA165" t="str">
        <f>IF(Table1[[#This Row],[Salary]]&lt;20000000,"low",IF(Table1[[#This Row],[Salary]]&lt;40000000,"medium","high"))</f>
        <v>high</v>
      </c>
      <c r="AB165">
        <f>YEAR(Table1[[#This Row],[Hire Date]])</f>
        <v>2017</v>
      </c>
      <c r="AC165" t="str">
        <f>TEXT(Table1[[#This Row],[Hire Date]],"mmmm")</f>
        <v>اُكتبر</v>
      </c>
      <c r="AD165" t="str">
        <f>IF(Table1[[#This Row],[Resigned]]="yes","former","active")</f>
        <v>active</v>
      </c>
    </row>
    <row r="166" spans="1:30" x14ac:dyDescent="0.3">
      <c r="A166" t="s">
        <v>397</v>
      </c>
      <c r="B166" t="s">
        <v>398</v>
      </c>
      <c r="C166" t="s">
        <v>39</v>
      </c>
      <c r="D166">
        <v>42</v>
      </c>
      <c r="E166" t="s">
        <v>110</v>
      </c>
      <c r="F166" t="s">
        <v>111</v>
      </c>
      <c r="G166" t="s">
        <v>58</v>
      </c>
      <c r="H166" t="s">
        <v>42</v>
      </c>
      <c r="I166" t="s">
        <v>50</v>
      </c>
      <c r="J166" s="1">
        <v>44733</v>
      </c>
      <c r="K166">
        <v>4</v>
      </c>
      <c r="L166">
        <v>14916965</v>
      </c>
      <c r="M166">
        <v>2352821</v>
      </c>
      <c r="N166" t="s">
        <v>34</v>
      </c>
      <c r="O166">
        <v>3.73</v>
      </c>
      <c r="P166">
        <v>79</v>
      </c>
      <c r="Q166">
        <v>4</v>
      </c>
      <c r="R166">
        <v>2</v>
      </c>
      <c r="S166">
        <v>10</v>
      </c>
      <c r="T166" t="s">
        <v>33</v>
      </c>
      <c r="U166" t="s">
        <v>33</v>
      </c>
      <c r="V166" t="s">
        <v>44</v>
      </c>
      <c r="W166" t="s">
        <v>33</v>
      </c>
      <c r="X166" t="s">
        <v>45</v>
      </c>
      <c r="Y166" t="s">
        <v>162</v>
      </c>
      <c r="Z166" t="str">
        <f>IF(Table1[[#This Row],[Age]]&lt;30,"20-29",IF(Table1[[#This Row],[Age]]&lt;40,"30-39",IF(Table1[[#This Row],[Age]]&lt;50,"40-49","50+")))</f>
        <v>40-49</v>
      </c>
      <c r="AA166" t="str">
        <f>IF(Table1[[#This Row],[Salary]]&lt;20000000,"low",IF(Table1[[#This Row],[Salary]]&lt;40000000,"medium","high"))</f>
        <v>low</v>
      </c>
      <c r="AB166">
        <f>YEAR(Table1[[#This Row],[Hire Date]])</f>
        <v>2022</v>
      </c>
      <c r="AC166" t="str">
        <f>TEXT(Table1[[#This Row],[Hire Date]],"mmmm")</f>
        <v>ژوئن</v>
      </c>
      <c r="AD166" t="str">
        <f>IF(Table1[[#This Row],[Resigned]]="yes","former","active")</f>
        <v>former</v>
      </c>
    </row>
    <row r="167" spans="1:30" x14ac:dyDescent="0.3">
      <c r="A167" t="s">
        <v>399</v>
      </c>
      <c r="B167" t="s">
        <v>400</v>
      </c>
      <c r="C167" t="s">
        <v>39</v>
      </c>
      <c r="D167">
        <v>54</v>
      </c>
      <c r="E167" t="s">
        <v>40</v>
      </c>
      <c r="F167" t="s">
        <v>41</v>
      </c>
      <c r="G167" t="s">
        <v>49</v>
      </c>
      <c r="H167" t="s">
        <v>31</v>
      </c>
      <c r="I167" t="s">
        <v>32</v>
      </c>
      <c r="J167" s="1">
        <v>44164</v>
      </c>
      <c r="K167">
        <v>6</v>
      </c>
      <c r="L167">
        <v>50988840</v>
      </c>
      <c r="M167">
        <v>628028</v>
      </c>
      <c r="N167" t="s">
        <v>33</v>
      </c>
      <c r="O167">
        <v>3.77</v>
      </c>
      <c r="P167">
        <v>11</v>
      </c>
      <c r="Q167">
        <v>3</v>
      </c>
      <c r="R167">
        <v>4</v>
      </c>
      <c r="S167">
        <v>19</v>
      </c>
      <c r="T167" t="s">
        <v>33</v>
      </c>
      <c r="U167" t="s">
        <v>34</v>
      </c>
      <c r="V167" t="s">
        <v>44</v>
      </c>
      <c r="W167" t="s">
        <v>33</v>
      </c>
      <c r="X167" t="s">
        <v>45</v>
      </c>
      <c r="Z167" t="str">
        <f>IF(Table1[[#This Row],[Age]]&lt;30,"20-29",IF(Table1[[#This Row],[Age]]&lt;40,"30-39",IF(Table1[[#This Row],[Age]]&lt;50,"40-49","50+")))</f>
        <v>50+</v>
      </c>
      <c r="AA167" t="str">
        <f>IF(Table1[[#This Row],[Salary]]&lt;20000000,"low",IF(Table1[[#This Row],[Salary]]&lt;40000000,"medium","high"))</f>
        <v>high</v>
      </c>
      <c r="AB167">
        <f>YEAR(Table1[[#This Row],[Hire Date]])</f>
        <v>2020</v>
      </c>
      <c r="AC167" t="str">
        <f>TEXT(Table1[[#This Row],[Hire Date]],"mmmm")</f>
        <v>نوامبر</v>
      </c>
      <c r="AD167" t="str">
        <f>IF(Table1[[#This Row],[Resigned]]="yes","former","active")</f>
        <v>active</v>
      </c>
    </row>
    <row r="168" spans="1:30" x14ac:dyDescent="0.3">
      <c r="A168" t="s">
        <v>401</v>
      </c>
      <c r="B168" t="s">
        <v>402</v>
      </c>
      <c r="C168" t="s">
        <v>39</v>
      </c>
      <c r="D168">
        <v>37</v>
      </c>
      <c r="E168" t="s">
        <v>28</v>
      </c>
      <c r="F168" t="s">
        <v>29</v>
      </c>
      <c r="G168" t="s">
        <v>58</v>
      </c>
      <c r="H168" t="s">
        <v>31</v>
      </c>
      <c r="I168" t="s">
        <v>43</v>
      </c>
      <c r="J168" s="1">
        <v>43793</v>
      </c>
      <c r="K168">
        <v>7</v>
      </c>
      <c r="L168">
        <v>33402925</v>
      </c>
      <c r="M168">
        <v>6038445</v>
      </c>
      <c r="N168" t="s">
        <v>33</v>
      </c>
      <c r="O168">
        <v>3.39</v>
      </c>
      <c r="P168">
        <v>38</v>
      </c>
      <c r="Q168">
        <v>5</v>
      </c>
      <c r="R168">
        <v>2</v>
      </c>
      <c r="S168">
        <v>1</v>
      </c>
      <c r="T168" t="s">
        <v>33</v>
      </c>
      <c r="U168" t="s">
        <v>34</v>
      </c>
      <c r="V168" t="s">
        <v>59</v>
      </c>
      <c r="W168" t="s">
        <v>33</v>
      </c>
      <c r="X168" t="s">
        <v>36</v>
      </c>
      <c r="Z168" t="str">
        <f>IF(Table1[[#This Row],[Age]]&lt;30,"20-29",IF(Table1[[#This Row],[Age]]&lt;40,"30-39",IF(Table1[[#This Row],[Age]]&lt;50,"40-49","50+")))</f>
        <v>30-39</v>
      </c>
      <c r="AA168" t="str">
        <f>IF(Table1[[#This Row],[Salary]]&lt;20000000,"low",IF(Table1[[#This Row],[Salary]]&lt;40000000,"medium","high"))</f>
        <v>medium</v>
      </c>
      <c r="AB168">
        <f>YEAR(Table1[[#This Row],[Hire Date]])</f>
        <v>2019</v>
      </c>
      <c r="AC168" t="str">
        <f>TEXT(Table1[[#This Row],[Hire Date]],"mmmm")</f>
        <v>نوامبر</v>
      </c>
      <c r="AD168" t="str">
        <f>IF(Table1[[#This Row],[Resigned]]="yes","former","active")</f>
        <v>active</v>
      </c>
    </row>
    <row r="169" spans="1:30" x14ac:dyDescent="0.3">
      <c r="A169" t="s">
        <v>403</v>
      </c>
      <c r="B169" t="s">
        <v>404</v>
      </c>
      <c r="C169" t="s">
        <v>39</v>
      </c>
      <c r="D169">
        <v>51</v>
      </c>
      <c r="E169" t="s">
        <v>73</v>
      </c>
      <c r="F169" t="s">
        <v>74</v>
      </c>
      <c r="G169" t="s">
        <v>49</v>
      </c>
      <c r="H169" t="s">
        <v>31</v>
      </c>
      <c r="I169" t="s">
        <v>50</v>
      </c>
      <c r="J169" s="1">
        <v>43130</v>
      </c>
      <c r="K169">
        <v>8</v>
      </c>
      <c r="L169">
        <v>27929886</v>
      </c>
      <c r="M169">
        <v>2124535</v>
      </c>
      <c r="N169" t="s">
        <v>33</v>
      </c>
      <c r="O169">
        <v>4.3</v>
      </c>
      <c r="P169">
        <v>2</v>
      </c>
      <c r="Q169">
        <v>3</v>
      </c>
      <c r="R169">
        <v>5</v>
      </c>
      <c r="S169">
        <v>5</v>
      </c>
      <c r="T169" t="s">
        <v>33</v>
      </c>
      <c r="U169" t="s">
        <v>33</v>
      </c>
      <c r="V169" t="s">
        <v>35</v>
      </c>
      <c r="W169" t="s">
        <v>34</v>
      </c>
      <c r="X169" t="s">
        <v>36</v>
      </c>
      <c r="Y169" t="s">
        <v>75</v>
      </c>
      <c r="Z169" t="str">
        <f>IF(Table1[[#This Row],[Age]]&lt;30,"20-29",IF(Table1[[#This Row],[Age]]&lt;40,"30-39",IF(Table1[[#This Row],[Age]]&lt;50,"40-49","50+")))</f>
        <v>50+</v>
      </c>
      <c r="AA169" t="str">
        <f>IF(Table1[[#This Row],[Salary]]&lt;20000000,"low",IF(Table1[[#This Row],[Salary]]&lt;40000000,"medium","high"))</f>
        <v>medium</v>
      </c>
      <c r="AB169">
        <f>YEAR(Table1[[#This Row],[Hire Date]])</f>
        <v>2018</v>
      </c>
      <c r="AC169" t="str">
        <f>TEXT(Table1[[#This Row],[Hire Date]],"mmmm")</f>
        <v>ژانويه</v>
      </c>
      <c r="AD169" t="str">
        <f>IF(Table1[[#This Row],[Resigned]]="yes","former","active")</f>
        <v>former</v>
      </c>
    </row>
    <row r="170" spans="1:30" x14ac:dyDescent="0.3">
      <c r="A170" t="s">
        <v>405</v>
      </c>
      <c r="B170" t="s">
        <v>406</v>
      </c>
      <c r="C170" t="s">
        <v>39</v>
      </c>
      <c r="D170">
        <v>28</v>
      </c>
      <c r="E170" t="s">
        <v>73</v>
      </c>
      <c r="F170" t="s">
        <v>127</v>
      </c>
      <c r="G170" t="s">
        <v>58</v>
      </c>
      <c r="H170" t="s">
        <v>31</v>
      </c>
      <c r="I170" t="s">
        <v>81</v>
      </c>
      <c r="J170" s="1">
        <v>45332</v>
      </c>
      <c r="K170">
        <v>2</v>
      </c>
      <c r="L170">
        <v>41824722</v>
      </c>
      <c r="M170">
        <v>9881923</v>
      </c>
      <c r="N170" t="s">
        <v>34</v>
      </c>
      <c r="O170">
        <v>4.7</v>
      </c>
      <c r="P170">
        <v>71</v>
      </c>
      <c r="Q170">
        <v>4</v>
      </c>
      <c r="R170">
        <v>5</v>
      </c>
      <c r="S170">
        <v>5</v>
      </c>
      <c r="T170" t="s">
        <v>34</v>
      </c>
      <c r="U170" t="s">
        <v>34</v>
      </c>
      <c r="V170" t="s">
        <v>70</v>
      </c>
      <c r="W170" t="s">
        <v>34</v>
      </c>
      <c r="X170" t="s">
        <v>52</v>
      </c>
      <c r="Z170" t="str">
        <f>IF(Table1[[#This Row],[Age]]&lt;30,"20-29",IF(Table1[[#This Row],[Age]]&lt;40,"30-39",IF(Table1[[#This Row],[Age]]&lt;50,"40-49","50+")))</f>
        <v>20-29</v>
      </c>
      <c r="AA170" t="str">
        <f>IF(Table1[[#This Row],[Salary]]&lt;20000000,"low",IF(Table1[[#This Row],[Salary]]&lt;40000000,"medium","high"))</f>
        <v>high</v>
      </c>
      <c r="AB170">
        <f>YEAR(Table1[[#This Row],[Hire Date]])</f>
        <v>2024</v>
      </c>
      <c r="AC170" t="str">
        <f>TEXT(Table1[[#This Row],[Hire Date]],"mmmm")</f>
        <v>فوريه</v>
      </c>
      <c r="AD170" t="str">
        <f>IF(Table1[[#This Row],[Resigned]]="yes","former","active")</f>
        <v>active</v>
      </c>
    </row>
    <row r="171" spans="1:30" x14ac:dyDescent="0.3">
      <c r="A171" t="s">
        <v>407</v>
      </c>
      <c r="B171" t="s">
        <v>408</v>
      </c>
      <c r="C171" t="s">
        <v>39</v>
      </c>
      <c r="D171">
        <v>25</v>
      </c>
      <c r="E171" t="s">
        <v>56</v>
      </c>
      <c r="F171" t="s">
        <v>84</v>
      </c>
      <c r="G171" t="s">
        <v>30</v>
      </c>
      <c r="H171" t="s">
        <v>31</v>
      </c>
      <c r="I171" t="s">
        <v>81</v>
      </c>
      <c r="J171" s="1">
        <v>45026</v>
      </c>
      <c r="K171">
        <v>3</v>
      </c>
      <c r="L171">
        <v>33632258</v>
      </c>
      <c r="M171">
        <v>7733615</v>
      </c>
      <c r="N171" t="s">
        <v>34</v>
      </c>
      <c r="O171">
        <v>3.53</v>
      </c>
      <c r="P171">
        <v>33</v>
      </c>
      <c r="Q171">
        <v>4</v>
      </c>
      <c r="R171">
        <v>1</v>
      </c>
      <c r="S171">
        <v>10</v>
      </c>
      <c r="T171" t="s">
        <v>34</v>
      </c>
      <c r="U171" t="s">
        <v>34</v>
      </c>
      <c r="V171" t="s">
        <v>59</v>
      </c>
      <c r="W171" t="s">
        <v>34</v>
      </c>
      <c r="X171" t="s">
        <v>36</v>
      </c>
      <c r="Z171" t="str">
        <f>IF(Table1[[#This Row],[Age]]&lt;30,"20-29",IF(Table1[[#This Row],[Age]]&lt;40,"30-39",IF(Table1[[#This Row],[Age]]&lt;50,"40-49","50+")))</f>
        <v>20-29</v>
      </c>
      <c r="AA171" t="str">
        <f>IF(Table1[[#This Row],[Salary]]&lt;20000000,"low",IF(Table1[[#This Row],[Salary]]&lt;40000000,"medium","high"))</f>
        <v>medium</v>
      </c>
      <c r="AB171">
        <f>YEAR(Table1[[#This Row],[Hire Date]])</f>
        <v>2023</v>
      </c>
      <c r="AC171" t="str">
        <f>TEXT(Table1[[#This Row],[Hire Date]],"mmmm")</f>
        <v>آوريل</v>
      </c>
      <c r="AD171" t="str">
        <f>IF(Table1[[#This Row],[Resigned]]="yes","former","active")</f>
        <v>active</v>
      </c>
    </row>
    <row r="172" spans="1:30" x14ac:dyDescent="0.3">
      <c r="A172" t="s">
        <v>409</v>
      </c>
      <c r="B172" t="s">
        <v>410</v>
      </c>
      <c r="C172" t="s">
        <v>39</v>
      </c>
      <c r="D172">
        <v>57</v>
      </c>
      <c r="E172" t="s">
        <v>56</v>
      </c>
      <c r="F172" t="s">
        <v>84</v>
      </c>
      <c r="G172" t="s">
        <v>49</v>
      </c>
      <c r="H172" t="s">
        <v>42</v>
      </c>
      <c r="I172" t="s">
        <v>32</v>
      </c>
      <c r="J172" s="1">
        <v>42982</v>
      </c>
      <c r="K172">
        <v>9</v>
      </c>
      <c r="L172">
        <v>33332680</v>
      </c>
      <c r="M172">
        <v>821579</v>
      </c>
      <c r="N172" t="s">
        <v>33</v>
      </c>
      <c r="O172">
        <v>4.3499999999999996</v>
      </c>
      <c r="P172">
        <v>60</v>
      </c>
      <c r="Q172">
        <v>1</v>
      </c>
      <c r="R172">
        <v>5</v>
      </c>
      <c r="S172">
        <v>15</v>
      </c>
      <c r="T172" t="s">
        <v>33</v>
      </c>
      <c r="U172" t="s">
        <v>34</v>
      </c>
      <c r="V172" t="s">
        <v>70</v>
      </c>
      <c r="W172" t="s">
        <v>33</v>
      </c>
      <c r="X172" t="s">
        <v>36</v>
      </c>
      <c r="Z172" t="str">
        <f>IF(Table1[[#This Row],[Age]]&lt;30,"20-29",IF(Table1[[#This Row],[Age]]&lt;40,"30-39",IF(Table1[[#This Row],[Age]]&lt;50,"40-49","50+")))</f>
        <v>50+</v>
      </c>
      <c r="AA172" t="str">
        <f>IF(Table1[[#This Row],[Salary]]&lt;20000000,"low",IF(Table1[[#This Row],[Salary]]&lt;40000000,"medium","high"))</f>
        <v>medium</v>
      </c>
      <c r="AB172">
        <f>YEAR(Table1[[#This Row],[Hire Date]])</f>
        <v>2017</v>
      </c>
      <c r="AC172" t="str">
        <f>TEXT(Table1[[#This Row],[Hire Date]],"mmmm")</f>
        <v>سپتامبر</v>
      </c>
      <c r="AD172" t="str">
        <f>IF(Table1[[#This Row],[Resigned]]="yes","former","active")</f>
        <v>active</v>
      </c>
    </row>
    <row r="173" spans="1:30" x14ac:dyDescent="0.3">
      <c r="A173" t="s">
        <v>411</v>
      </c>
      <c r="B173" t="s">
        <v>412</v>
      </c>
      <c r="C173" t="s">
        <v>39</v>
      </c>
      <c r="D173">
        <v>41</v>
      </c>
      <c r="E173" t="s">
        <v>28</v>
      </c>
      <c r="F173" t="s">
        <v>29</v>
      </c>
      <c r="G173" t="s">
        <v>49</v>
      </c>
      <c r="H173" t="s">
        <v>31</v>
      </c>
      <c r="I173" t="s">
        <v>43</v>
      </c>
      <c r="J173" s="1">
        <v>45425</v>
      </c>
      <c r="K173">
        <v>2</v>
      </c>
      <c r="L173">
        <v>17556284</v>
      </c>
      <c r="M173">
        <v>4533780</v>
      </c>
      <c r="N173" t="s">
        <v>33</v>
      </c>
      <c r="O173">
        <v>2.75</v>
      </c>
      <c r="P173">
        <v>3</v>
      </c>
      <c r="Q173">
        <v>4</v>
      </c>
      <c r="R173">
        <v>4</v>
      </c>
      <c r="S173">
        <v>5</v>
      </c>
      <c r="T173" t="s">
        <v>34</v>
      </c>
      <c r="U173" t="s">
        <v>34</v>
      </c>
      <c r="V173" t="s">
        <v>70</v>
      </c>
      <c r="W173" t="s">
        <v>33</v>
      </c>
      <c r="X173" t="s">
        <v>36</v>
      </c>
      <c r="Z173" t="str">
        <f>IF(Table1[[#This Row],[Age]]&lt;30,"20-29",IF(Table1[[#This Row],[Age]]&lt;40,"30-39",IF(Table1[[#This Row],[Age]]&lt;50,"40-49","50+")))</f>
        <v>40-49</v>
      </c>
      <c r="AA173" t="str">
        <f>IF(Table1[[#This Row],[Salary]]&lt;20000000,"low",IF(Table1[[#This Row],[Salary]]&lt;40000000,"medium","high"))</f>
        <v>low</v>
      </c>
      <c r="AB173">
        <f>YEAR(Table1[[#This Row],[Hire Date]])</f>
        <v>2024</v>
      </c>
      <c r="AC173" t="str">
        <f>TEXT(Table1[[#This Row],[Hire Date]],"mmmm")</f>
        <v>مه</v>
      </c>
      <c r="AD173" t="str">
        <f>IF(Table1[[#This Row],[Resigned]]="yes","former","active")</f>
        <v>active</v>
      </c>
    </row>
    <row r="174" spans="1:30" x14ac:dyDescent="0.3">
      <c r="A174" t="s">
        <v>413</v>
      </c>
      <c r="B174" t="s">
        <v>414</v>
      </c>
      <c r="C174" t="s">
        <v>39</v>
      </c>
      <c r="D174">
        <v>49</v>
      </c>
      <c r="E174" t="s">
        <v>56</v>
      </c>
      <c r="F174" t="s">
        <v>57</v>
      </c>
      <c r="G174" t="s">
        <v>30</v>
      </c>
      <c r="H174" t="s">
        <v>31</v>
      </c>
      <c r="I174" t="s">
        <v>65</v>
      </c>
      <c r="J174" s="1">
        <v>44566</v>
      </c>
      <c r="K174">
        <v>4</v>
      </c>
      <c r="L174">
        <v>57218402</v>
      </c>
      <c r="M174">
        <v>7146453</v>
      </c>
      <c r="N174" t="s">
        <v>34</v>
      </c>
      <c r="O174">
        <v>3.94</v>
      </c>
      <c r="P174">
        <v>7</v>
      </c>
      <c r="Q174">
        <v>5</v>
      </c>
      <c r="R174">
        <v>2</v>
      </c>
      <c r="S174">
        <v>8</v>
      </c>
      <c r="T174" t="s">
        <v>34</v>
      </c>
      <c r="U174" t="s">
        <v>34</v>
      </c>
      <c r="V174" t="s">
        <v>44</v>
      </c>
      <c r="W174" t="s">
        <v>33</v>
      </c>
      <c r="X174" t="s">
        <v>45</v>
      </c>
      <c r="Z174" t="str">
        <f>IF(Table1[[#This Row],[Age]]&lt;30,"20-29",IF(Table1[[#This Row],[Age]]&lt;40,"30-39",IF(Table1[[#This Row],[Age]]&lt;50,"40-49","50+")))</f>
        <v>40-49</v>
      </c>
      <c r="AA174" t="str">
        <f>IF(Table1[[#This Row],[Salary]]&lt;20000000,"low",IF(Table1[[#This Row],[Salary]]&lt;40000000,"medium","high"))</f>
        <v>high</v>
      </c>
      <c r="AB174">
        <f>YEAR(Table1[[#This Row],[Hire Date]])</f>
        <v>2022</v>
      </c>
      <c r="AC174" t="str">
        <f>TEXT(Table1[[#This Row],[Hire Date]],"mmmm")</f>
        <v>ژانويه</v>
      </c>
      <c r="AD174" t="str">
        <f>IF(Table1[[#This Row],[Resigned]]="yes","former","active")</f>
        <v>active</v>
      </c>
    </row>
    <row r="175" spans="1:30" x14ac:dyDescent="0.3">
      <c r="A175" t="s">
        <v>415</v>
      </c>
      <c r="B175" t="s">
        <v>416</v>
      </c>
      <c r="C175" t="s">
        <v>27</v>
      </c>
      <c r="D175">
        <v>35</v>
      </c>
      <c r="E175" t="s">
        <v>73</v>
      </c>
      <c r="F175" t="s">
        <v>74</v>
      </c>
      <c r="G175" t="s">
        <v>30</v>
      </c>
      <c r="H175" t="s">
        <v>42</v>
      </c>
      <c r="I175" t="s">
        <v>65</v>
      </c>
      <c r="J175" s="1">
        <v>43314</v>
      </c>
      <c r="K175">
        <v>8</v>
      </c>
      <c r="L175">
        <v>33452289</v>
      </c>
      <c r="M175">
        <v>9849697</v>
      </c>
      <c r="N175" t="s">
        <v>34</v>
      </c>
      <c r="O175">
        <v>4.47</v>
      </c>
      <c r="P175">
        <v>4</v>
      </c>
      <c r="Q175">
        <v>3</v>
      </c>
      <c r="R175">
        <v>1</v>
      </c>
      <c r="S175">
        <v>14</v>
      </c>
      <c r="T175" t="s">
        <v>33</v>
      </c>
      <c r="U175" t="s">
        <v>34</v>
      </c>
      <c r="V175" t="s">
        <v>59</v>
      </c>
      <c r="W175" t="s">
        <v>34</v>
      </c>
      <c r="X175" t="s">
        <v>36</v>
      </c>
      <c r="Z175" t="str">
        <f>IF(Table1[[#This Row],[Age]]&lt;30,"20-29",IF(Table1[[#This Row],[Age]]&lt;40,"30-39",IF(Table1[[#This Row],[Age]]&lt;50,"40-49","50+")))</f>
        <v>30-39</v>
      </c>
      <c r="AA175" t="str">
        <f>IF(Table1[[#This Row],[Salary]]&lt;20000000,"low",IF(Table1[[#This Row],[Salary]]&lt;40000000,"medium","high"))</f>
        <v>medium</v>
      </c>
      <c r="AB175">
        <f>YEAR(Table1[[#This Row],[Hire Date]])</f>
        <v>2018</v>
      </c>
      <c r="AC175" t="str">
        <f>TEXT(Table1[[#This Row],[Hire Date]],"mmmm")</f>
        <v>اوت</v>
      </c>
      <c r="AD175" t="str">
        <f>IF(Table1[[#This Row],[Resigned]]="yes","former","active")</f>
        <v>active</v>
      </c>
    </row>
    <row r="176" spans="1:30" x14ac:dyDescent="0.3">
      <c r="A176" t="s">
        <v>417</v>
      </c>
      <c r="B176" t="s">
        <v>418</v>
      </c>
      <c r="C176" t="s">
        <v>27</v>
      </c>
      <c r="D176">
        <v>55</v>
      </c>
      <c r="E176" t="s">
        <v>56</v>
      </c>
      <c r="F176" t="s">
        <v>84</v>
      </c>
      <c r="G176" t="s">
        <v>49</v>
      </c>
      <c r="H176" t="s">
        <v>42</v>
      </c>
      <c r="I176" t="s">
        <v>81</v>
      </c>
      <c r="J176" s="1">
        <v>45032</v>
      </c>
      <c r="K176">
        <v>3</v>
      </c>
      <c r="L176">
        <v>12316336</v>
      </c>
      <c r="M176">
        <v>8030252</v>
      </c>
      <c r="N176" t="s">
        <v>33</v>
      </c>
      <c r="O176">
        <v>4.13</v>
      </c>
      <c r="P176">
        <v>16</v>
      </c>
      <c r="Q176">
        <v>5</v>
      </c>
      <c r="R176">
        <v>4</v>
      </c>
      <c r="S176">
        <v>4</v>
      </c>
      <c r="T176" t="s">
        <v>33</v>
      </c>
      <c r="U176" t="s">
        <v>34</v>
      </c>
      <c r="V176" t="s">
        <v>51</v>
      </c>
      <c r="W176" t="s">
        <v>33</v>
      </c>
      <c r="X176" t="s">
        <v>45</v>
      </c>
      <c r="Z176" t="str">
        <f>IF(Table1[[#This Row],[Age]]&lt;30,"20-29",IF(Table1[[#This Row],[Age]]&lt;40,"30-39",IF(Table1[[#This Row],[Age]]&lt;50,"40-49","50+")))</f>
        <v>50+</v>
      </c>
      <c r="AA176" t="str">
        <f>IF(Table1[[#This Row],[Salary]]&lt;20000000,"low",IF(Table1[[#This Row],[Salary]]&lt;40000000,"medium","high"))</f>
        <v>low</v>
      </c>
      <c r="AB176">
        <f>YEAR(Table1[[#This Row],[Hire Date]])</f>
        <v>2023</v>
      </c>
      <c r="AC176" t="str">
        <f>TEXT(Table1[[#This Row],[Hire Date]],"mmmm")</f>
        <v>آوريل</v>
      </c>
      <c r="AD176" t="str">
        <f>IF(Table1[[#This Row],[Resigned]]="yes","former","active")</f>
        <v>active</v>
      </c>
    </row>
    <row r="177" spans="1:30" x14ac:dyDescent="0.3">
      <c r="A177" t="s">
        <v>419</v>
      </c>
      <c r="B177" t="s">
        <v>420</v>
      </c>
      <c r="C177" t="s">
        <v>27</v>
      </c>
      <c r="D177">
        <v>38</v>
      </c>
      <c r="E177" t="s">
        <v>28</v>
      </c>
      <c r="F177" t="s">
        <v>80</v>
      </c>
      <c r="G177" t="s">
        <v>58</v>
      </c>
      <c r="H177" t="s">
        <v>31</v>
      </c>
      <c r="I177" t="s">
        <v>65</v>
      </c>
      <c r="J177" s="1">
        <v>45634</v>
      </c>
      <c r="K177">
        <v>2</v>
      </c>
      <c r="L177">
        <v>43511198</v>
      </c>
      <c r="M177">
        <v>9837723</v>
      </c>
      <c r="N177" t="s">
        <v>34</v>
      </c>
      <c r="O177">
        <v>3.15</v>
      </c>
      <c r="P177">
        <v>21</v>
      </c>
      <c r="Q177">
        <v>1</v>
      </c>
      <c r="R177">
        <v>4</v>
      </c>
      <c r="S177">
        <v>11</v>
      </c>
      <c r="T177" t="s">
        <v>34</v>
      </c>
      <c r="U177" t="s">
        <v>34</v>
      </c>
      <c r="V177" t="s">
        <v>70</v>
      </c>
      <c r="W177" t="s">
        <v>34</v>
      </c>
      <c r="X177" t="s">
        <v>45</v>
      </c>
      <c r="Z177" t="str">
        <f>IF(Table1[[#This Row],[Age]]&lt;30,"20-29",IF(Table1[[#This Row],[Age]]&lt;40,"30-39",IF(Table1[[#This Row],[Age]]&lt;50,"40-49","50+")))</f>
        <v>30-39</v>
      </c>
      <c r="AA177" t="str">
        <f>IF(Table1[[#This Row],[Salary]]&lt;20000000,"low",IF(Table1[[#This Row],[Salary]]&lt;40000000,"medium","high"))</f>
        <v>high</v>
      </c>
      <c r="AB177">
        <f>YEAR(Table1[[#This Row],[Hire Date]])</f>
        <v>2024</v>
      </c>
      <c r="AC177" t="str">
        <f>TEXT(Table1[[#This Row],[Hire Date]],"mmmm")</f>
        <v>دسامبر</v>
      </c>
      <c r="AD177" t="str">
        <f>IF(Table1[[#This Row],[Resigned]]="yes","former","active")</f>
        <v>active</v>
      </c>
    </row>
    <row r="178" spans="1:30" x14ac:dyDescent="0.3">
      <c r="A178" t="s">
        <v>421</v>
      </c>
      <c r="B178" t="s">
        <v>422</v>
      </c>
      <c r="C178" t="s">
        <v>39</v>
      </c>
      <c r="D178">
        <v>45</v>
      </c>
      <c r="E178" t="s">
        <v>73</v>
      </c>
      <c r="F178" t="s">
        <v>127</v>
      </c>
      <c r="G178" t="s">
        <v>58</v>
      </c>
      <c r="H178" t="s">
        <v>31</v>
      </c>
      <c r="I178" t="s">
        <v>43</v>
      </c>
      <c r="J178" s="1">
        <v>43448</v>
      </c>
      <c r="K178">
        <v>8</v>
      </c>
      <c r="L178">
        <v>13600955</v>
      </c>
      <c r="M178">
        <v>497413</v>
      </c>
      <c r="N178" t="s">
        <v>34</v>
      </c>
      <c r="O178">
        <v>4.2699999999999996</v>
      </c>
      <c r="P178">
        <v>62</v>
      </c>
      <c r="Q178">
        <v>3</v>
      </c>
      <c r="R178">
        <v>2</v>
      </c>
      <c r="S178">
        <v>0</v>
      </c>
      <c r="T178" t="s">
        <v>33</v>
      </c>
      <c r="U178" t="s">
        <v>34</v>
      </c>
      <c r="V178" t="s">
        <v>35</v>
      </c>
      <c r="W178" t="s">
        <v>34</v>
      </c>
      <c r="X178" t="s">
        <v>45</v>
      </c>
      <c r="Z178" t="str">
        <f>IF(Table1[[#This Row],[Age]]&lt;30,"20-29",IF(Table1[[#This Row],[Age]]&lt;40,"30-39",IF(Table1[[#This Row],[Age]]&lt;50,"40-49","50+")))</f>
        <v>40-49</v>
      </c>
      <c r="AA178" t="str">
        <f>IF(Table1[[#This Row],[Salary]]&lt;20000000,"low",IF(Table1[[#This Row],[Salary]]&lt;40000000,"medium","high"))</f>
        <v>low</v>
      </c>
      <c r="AB178">
        <f>YEAR(Table1[[#This Row],[Hire Date]])</f>
        <v>2018</v>
      </c>
      <c r="AC178" t="str">
        <f>TEXT(Table1[[#This Row],[Hire Date]],"mmmm")</f>
        <v>دسامبر</v>
      </c>
      <c r="AD178" t="str">
        <f>IF(Table1[[#This Row],[Resigned]]="yes","former","active")</f>
        <v>active</v>
      </c>
    </row>
    <row r="179" spans="1:30" x14ac:dyDescent="0.3">
      <c r="A179" t="s">
        <v>423</v>
      </c>
      <c r="B179" t="s">
        <v>424</v>
      </c>
      <c r="C179" t="s">
        <v>39</v>
      </c>
      <c r="D179">
        <v>26</v>
      </c>
      <c r="E179" t="s">
        <v>73</v>
      </c>
      <c r="F179" t="s">
        <v>74</v>
      </c>
      <c r="G179" t="s">
        <v>58</v>
      </c>
      <c r="H179" t="s">
        <v>31</v>
      </c>
      <c r="I179" t="s">
        <v>50</v>
      </c>
      <c r="J179" s="1">
        <v>44135</v>
      </c>
      <c r="K179">
        <v>6</v>
      </c>
      <c r="L179">
        <v>17497019</v>
      </c>
      <c r="M179">
        <v>5223549</v>
      </c>
      <c r="N179" t="s">
        <v>34</v>
      </c>
      <c r="O179">
        <v>4.16</v>
      </c>
      <c r="P179">
        <v>34</v>
      </c>
      <c r="Q179">
        <v>3</v>
      </c>
      <c r="R179">
        <v>3</v>
      </c>
      <c r="S179">
        <v>2</v>
      </c>
      <c r="T179" t="s">
        <v>34</v>
      </c>
      <c r="U179" t="s">
        <v>34</v>
      </c>
      <c r="V179" t="s">
        <v>59</v>
      </c>
      <c r="W179" t="s">
        <v>33</v>
      </c>
      <c r="X179" t="s">
        <v>52</v>
      </c>
      <c r="Z179" t="str">
        <f>IF(Table1[[#This Row],[Age]]&lt;30,"20-29",IF(Table1[[#This Row],[Age]]&lt;40,"30-39",IF(Table1[[#This Row],[Age]]&lt;50,"40-49","50+")))</f>
        <v>20-29</v>
      </c>
      <c r="AA179" t="str">
        <f>IF(Table1[[#This Row],[Salary]]&lt;20000000,"low",IF(Table1[[#This Row],[Salary]]&lt;40000000,"medium","high"))</f>
        <v>low</v>
      </c>
      <c r="AB179">
        <f>YEAR(Table1[[#This Row],[Hire Date]])</f>
        <v>2020</v>
      </c>
      <c r="AC179" t="str">
        <f>TEXT(Table1[[#This Row],[Hire Date]],"mmmm")</f>
        <v>اُكتبر</v>
      </c>
      <c r="AD179" t="str">
        <f>IF(Table1[[#This Row],[Resigned]]="yes","former","active")</f>
        <v>active</v>
      </c>
    </row>
    <row r="180" spans="1:30" x14ac:dyDescent="0.3">
      <c r="A180" t="s">
        <v>425</v>
      </c>
      <c r="B180" t="s">
        <v>426</v>
      </c>
      <c r="C180" t="s">
        <v>27</v>
      </c>
      <c r="D180">
        <v>25</v>
      </c>
      <c r="E180" t="s">
        <v>110</v>
      </c>
      <c r="F180" t="s">
        <v>111</v>
      </c>
      <c r="G180" t="s">
        <v>58</v>
      </c>
      <c r="H180" t="s">
        <v>31</v>
      </c>
      <c r="I180" t="s">
        <v>43</v>
      </c>
      <c r="J180" s="1">
        <v>45216</v>
      </c>
      <c r="K180">
        <v>3</v>
      </c>
      <c r="L180">
        <v>13490638</v>
      </c>
      <c r="M180">
        <v>5294215</v>
      </c>
      <c r="N180" t="s">
        <v>33</v>
      </c>
      <c r="O180">
        <v>3.78</v>
      </c>
      <c r="P180">
        <v>69</v>
      </c>
      <c r="Q180">
        <v>2</v>
      </c>
      <c r="R180">
        <v>4</v>
      </c>
      <c r="S180">
        <v>19</v>
      </c>
      <c r="T180" t="s">
        <v>34</v>
      </c>
      <c r="U180" t="s">
        <v>34</v>
      </c>
      <c r="V180" t="s">
        <v>70</v>
      </c>
      <c r="W180" t="s">
        <v>33</v>
      </c>
      <c r="X180" t="s">
        <v>45</v>
      </c>
      <c r="Z180" t="str">
        <f>IF(Table1[[#This Row],[Age]]&lt;30,"20-29",IF(Table1[[#This Row],[Age]]&lt;40,"30-39",IF(Table1[[#This Row],[Age]]&lt;50,"40-49","50+")))</f>
        <v>20-29</v>
      </c>
      <c r="AA180" t="str">
        <f>IF(Table1[[#This Row],[Salary]]&lt;20000000,"low",IF(Table1[[#This Row],[Salary]]&lt;40000000,"medium","high"))</f>
        <v>low</v>
      </c>
      <c r="AB180">
        <f>YEAR(Table1[[#This Row],[Hire Date]])</f>
        <v>2023</v>
      </c>
      <c r="AC180" t="str">
        <f>TEXT(Table1[[#This Row],[Hire Date]],"mmmm")</f>
        <v>اُكتبر</v>
      </c>
      <c r="AD180" t="str">
        <f>IF(Table1[[#This Row],[Resigned]]="yes","former","active")</f>
        <v>active</v>
      </c>
    </row>
    <row r="181" spans="1:30" x14ac:dyDescent="0.3">
      <c r="A181" t="s">
        <v>427</v>
      </c>
      <c r="B181" t="s">
        <v>428</v>
      </c>
      <c r="C181" t="s">
        <v>27</v>
      </c>
      <c r="D181">
        <v>46</v>
      </c>
      <c r="E181" t="s">
        <v>56</v>
      </c>
      <c r="F181" t="s">
        <v>57</v>
      </c>
      <c r="G181" t="s">
        <v>30</v>
      </c>
      <c r="H181" t="s">
        <v>42</v>
      </c>
      <c r="I181" t="s">
        <v>81</v>
      </c>
      <c r="J181" s="1">
        <v>42652</v>
      </c>
      <c r="K181">
        <v>10</v>
      </c>
      <c r="L181">
        <v>42554240</v>
      </c>
      <c r="M181">
        <v>6747043</v>
      </c>
      <c r="N181" t="s">
        <v>33</v>
      </c>
      <c r="O181">
        <v>4.72</v>
      </c>
      <c r="P181">
        <v>31</v>
      </c>
      <c r="Q181">
        <v>5</v>
      </c>
      <c r="R181">
        <v>3</v>
      </c>
      <c r="S181">
        <v>4</v>
      </c>
      <c r="T181" t="s">
        <v>33</v>
      </c>
      <c r="U181" t="s">
        <v>34</v>
      </c>
      <c r="V181" t="s">
        <v>51</v>
      </c>
      <c r="W181" t="s">
        <v>33</v>
      </c>
      <c r="X181" t="s">
        <v>52</v>
      </c>
      <c r="Z181" t="str">
        <f>IF(Table1[[#This Row],[Age]]&lt;30,"20-29",IF(Table1[[#This Row],[Age]]&lt;40,"30-39",IF(Table1[[#This Row],[Age]]&lt;50,"40-49","50+")))</f>
        <v>40-49</v>
      </c>
      <c r="AA181" t="str">
        <f>IF(Table1[[#This Row],[Salary]]&lt;20000000,"low",IF(Table1[[#This Row],[Salary]]&lt;40000000,"medium","high"))</f>
        <v>high</v>
      </c>
      <c r="AB181">
        <f>YEAR(Table1[[#This Row],[Hire Date]])</f>
        <v>2016</v>
      </c>
      <c r="AC181" t="str">
        <f>TEXT(Table1[[#This Row],[Hire Date]],"mmmm")</f>
        <v>اُكتبر</v>
      </c>
      <c r="AD181" t="str">
        <f>IF(Table1[[#This Row],[Resigned]]="yes","former","active")</f>
        <v>active</v>
      </c>
    </row>
    <row r="182" spans="1:30" x14ac:dyDescent="0.3">
      <c r="A182" t="s">
        <v>429</v>
      </c>
      <c r="B182" t="s">
        <v>430</v>
      </c>
      <c r="C182" t="s">
        <v>39</v>
      </c>
      <c r="D182">
        <v>36</v>
      </c>
      <c r="E182" t="s">
        <v>56</v>
      </c>
      <c r="F182" t="s">
        <v>84</v>
      </c>
      <c r="G182" t="s">
        <v>30</v>
      </c>
      <c r="H182" t="s">
        <v>31</v>
      </c>
      <c r="I182" t="s">
        <v>81</v>
      </c>
      <c r="J182" s="1">
        <v>43538</v>
      </c>
      <c r="K182">
        <v>7</v>
      </c>
      <c r="L182">
        <v>32217255</v>
      </c>
      <c r="M182">
        <v>7910913</v>
      </c>
      <c r="N182" t="s">
        <v>33</v>
      </c>
      <c r="O182">
        <v>3.49</v>
      </c>
      <c r="P182">
        <v>27</v>
      </c>
      <c r="Q182">
        <v>4</v>
      </c>
      <c r="R182">
        <v>4</v>
      </c>
      <c r="S182">
        <v>1</v>
      </c>
      <c r="T182" t="s">
        <v>34</v>
      </c>
      <c r="U182" t="s">
        <v>34</v>
      </c>
      <c r="V182" t="s">
        <v>59</v>
      </c>
      <c r="W182" t="s">
        <v>33</v>
      </c>
      <c r="X182" t="s">
        <v>52</v>
      </c>
      <c r="Z182" t="str">
        <f>IF(Table1[[#This Row],[Age]]&lt;30,"20-29",IF(Table1[[#This Row],[Age]]&lt;40,"30-39",IF(Table1[[#This Row],[Age]]&lt;50,"40-49","50+")))</f>
        <v>30-39</v>
      </c>
      <c r="AA182" t="str">
        <f>IF(Table1[[#This Row],[Salary]]&lt;20000000,"low",IF(Table1[[#This Row],[Salary]]&lt;40000000,"medium","high"))</f>
        <v>medium</v>
      </c>
      <c r="AB182">
        <f>YEAR(Table1[[#This Row],[Hire Date]])</f>
        <v>2019</v>
      </c>
      <c r="AC182" t="str">
        <f>TEXT(Table1[[#This Row],[Hire Date]],"mmmm")</f>
        <v>مارس</v>
      </c>
      <c r="AD182" t="str">
        <f>IF(Table1[[#This Row],[Resigned]]="yes","former","active")</f>
        <v>active</v>
      </c>
    </row>
    <row r="183" spans="1:30" x14ac:dyDescent="0.3">
      <c r="A183" t="s">
        <v>431</v>
      </c>
      <c r="B183" t="s">
        <v>432</v>
      </c>
      <c r="C183" t="s">
        <v>39</v>
      </c>
      <c r="D183">
        <v>38</v>
      </c>
      <c r="E183" t="s">
        <v>63</v>
      </c>
      <c r="F183" t="s">
        <v>93</v>
      </c>
      <c r="G183" t="s">
        <v>49</v>
      </c>
      <c r="H183" t="s">
        <v>42</v>
      </c>
      <c r="I183" t="s">
        <v>65</v>
      </c>
      <c r="J183" s="1">
        <v>44000</v>
      </c>
      <c r="K183">
        <v>6</v>
      </c>
      <c r="L183">
        <v>46466774</v>
      </c>
      <c r="M183">
        <v>3680547</v>
      </c>
      <c r="N183" t="s">
        <v>33</v>
      </c>
      <c r="O183">
        <v>3.87</v>
      </c>
      <c r="P183">
        <v>37</v>
      </c>
      <c r="Q183">
        <v>4</v>
      </c>
      <c r="R183">
        <v>1</v>
      </c>
      <c r="S183">
        <v>19</v>
      </c>
      <c r="T183" t="s">
        <v>34</v>
      </c>
      <c r="U183" t="s">
        <v>34</v>
      </c>
      <c r="V183" t="s">
        <v>44</v>
      </c>
      <c r="W183" t="s">
        <v>34</v>
      </c>
      <c r="X183" t="s">
        <v>45</v>
      </c>
      <c r="Z183" t="str">
        <f>IF(Table1[[#This Row],[Age]]&lt;30,"20-29",IF(Table1[[#This Row],[Age]]&lt;40,"30-39",IF(Table1[[#This Row],[Age]]&lt;50,"40-49","50+")))</f>
        <v>30-39</v>
      </c>
      <c r="AA183" t="str">
        <f>IF(Table1[[#This Row],[Salary]]&lt;20000000,"low",IF(Table1[[#This Row],[Salary]]&lt;40000000,"medium","high"))</f>
        <v>high</v>
      </c>
      <c r="AB183">
        <f>YEAR(Table1[[#This Row],[Hire Date]])</f>
        <v>2020</v>
      </c>
      <c r="AC183" t="str">
        <f>TEXT(Table1[[#This Row],[Hire Date]],"mmmm")</f>
        <v>ژوئن</v>
      </c>
      <c r="AD183" t="str">
        <f>IF(Table1[[#This Row],[Resigned]]="yes","former","active")</f>
        <v>active</v>
      </c>
    </row>
    <row r="184" spans="1:30" x14ac:dyDescent="0.3">
      <c r="A184" t="s">
        <v>433</v>
      </c>
      <c r="B184" t="s">
        <v>434</v>
      </c>
      <c r="C184" t="s">
        <v>27</v>
      </c>
      <c r="D184">
        <v>22</v>
      </c>
      <c r="E184" t="s">
        <v>28</v>
      </c>
      <c r="F184" t="s">
        <v>80</v>
      </c>
      <c r="G184" t="s">
        <v>49</v>
      </c>
      <c r="H184" t="s">
        <v>31</v>
      </c>
      <c r="I184" t="s">
        <v>32</v>
      </c>
      <c r="J184" s="1">
        <v>42929</v>
      </c>
      <c r="K184">
        <v>9</v>
      </c>
      <c r="L184">
        <v>55103898</v>
      </c>
      <c r="M184">
        <v>4135270</v>
      </c>
      <c r="N184" t="s">
        <v>34</v>
      </c>
      <c r="O184">
        <v>4.8600000000000003</v>
      </c>
      <c r="P184">
        <v>19</v>
      </c>
      <c r="Q184">
        <v>4</v>
      </c>
      <c r="R184">
        <v>5</v>
      </c>
      <c r="S184">
        <v>8</v>
      </c>
      <c r="T184" t="s">
        <v>34</v>
      </c>
      <c r="U184" t="s">
        <v>34</v>
      </c>
      <c r="V184" t="s">
        <v>59</v>
      </c>
      <c r="W184" t="s">
        <v>34</v>
      </c>
      <c r="X184" t="s">
        <v>36</v>
      </c>
      <c r="Z184" t="str">
        <f>IF(Table1[[#This Row],[Age]]&lt;30,"20-29",IF(Table1[[#This Row],[Age]]&lt;40,"30-39",IF(Table1[[#This Row],[Age]]&lt;50,"40-49","50+")))</f>
        <v>20-29</v>
      </c>
      <c r="AA184" t="str">
        <f>IF(Table1[[#This Row],[Salary]]&lt;20000000,"low",IF(Table1[[#This Row],[Salary]]&lt;40000000,"medium","high"))</f>
        <v>high</v>
      </c>
      <c r="AB184">
        <f>YEAR(Table1[[#This Row],[Hire Date]])</f>
        <v>2017</v>
      </c>
      <c r="AC184" t="str">
        <f>TEXT(Table1[[#This Row],[Hire Date]],"mmmm")</f>
        <v>ژوئيه</v>
      </c>
      <c r="AD184" t="str">
        <f>IF(Table1[[#This Row],[Resigned]]="yes","former","active")</f>
        <v>active</v>
      </c>
    </row>
    <row r="185" spans="1:30" x14ac:dyDescent="0.3">
      <c r="A185" t="s">
        <v>435</v>
      </c>
      <c r="B185" t="s">
        <v>436</v>
      </c>
      <c r="C185" t="s">
        <v>27</v>
      </c>
      <c r="D185">
        <v>37</v>
      </c>
      <c r="E185" t="s">
        <v>110</v>
      </c>
      <c r="F185" t="s">
        <v>111</v>
      </c>
      <c r="G185" t="s">
        <v>30</v>
      </c>
      <c r="H185" t="s">
        <v>42</v>
      </c>
      <c r="I185" t="s">
        <v>50</v>
      </c>
      <c r="J185" s="1">
        <v>42763</v>
      </c>
      <c r="K185">
        <v>9</v>
      </c>
      <c r="L185">
        <v>37959908</v>
      </c>
      <c r="M185">
        <v>6361672</v>
      </c>
      <c r="N185" t="s">
        <v>33</v>
      </c>
      <c r="O185">
        <v>3.96</v>
      </c>
      <c r="P185">
        <v>28</v>
      </c>
      <c r="Q185">
        <v>1</v>
      </c>
      <c r="R185">
        <v>1</v>
      </c>
      <c r="S185">
        <v>8</v>
      </c>
      <c r="T185" t="s">
        <v>33</v>
      </c>
      <c r="U185" t="s">
        <v>34</v>
      </c>
      <c r="V185" t="s">
        <v>70</v>
      </c>
      <c r="W185" t="s">
        <v>34</v>
      </c>
      <c r="X185" t="s">
        <v>52</v>
      </c>
      <c r="Z185" t="str">
        <f>IF(Table1[[#This Row],[Age]]&lt;30,"20-29",IF(Table1[[#This Row],[Age]]&lt;40,"30-39",IF(Table1[[#This Row],[Age]]&lt;50,"40-49","50+")))</f>
        <v>30-39</v>
      </c>
      <c r="AA185" t="str">
        <f>IF(Table1[[#This Row],[Salary]]&lt;20000000,"low",IF(Table1[[#This Row],[Salary]]&lt;40000000,"medium","high"))</f>
        <v>medium</v>
      </c>
      <c r="AB185">
        <f>YEAR(Table1[[#This Row],[Hire Date]])</f>
        <v>2017</v>
      </c>
      <c r="AC185" t="str">
        <f>TEXT(Table1[[#This Row],[Hire Date]],"mmmm")</f>
        <v>ژانويه</v>
      </c>
      <c r="AD185" t="str">
        <f>IF(Table1[[#This Row],[Resigned]]="yes","former","active")</f>
        <v>active</v>
      </c>
    </row>
    <row r="186" spans="1:30" x14ac:dyDescent="0.3">
      <c r="A186" t="s">
        <v>437</v>
      </c>
      <c r="B186" t="s">
        <v>438</v>
      </c>
      <c r="C186" t="s">
        <v>39</v>
      </c>
      <c r="D186">
        <v>54</v>
      </c>
      <c r="E186" t="s">
        <v>56</v>
      </c>
      <c r="F186" t="s">
        <v>57</v>
      </c>
      <c r="G186" t="s">
        <v>30</v>
      </c>
      <c r="H186" t="s">
        <v>31</v>
      </c>
      <c r="I186" t="s">
        <v>50</v>
      </c>
      <c r="J186" s="1">
        <v>44579</v>
      </c>
      <c r="K186">
        <v>4</v>
      </c>
      <c r="L186">
        <v>51137171</v>
      </c>
      <c r="M186">
        <v>656159</v>
      </c>
      <c r="N186" t="s">
        <v>34</v>
      </c>
      <c r="O186">
        <v>3.92</v>
      </c>
      <c r="P186">
        <v>63</v>
      </c>
      <c r="Q186">
        <v>5</v>
      </c>
      <c r="R186">
        <v>3</v>
      </c>
      <c r="S186">
        <v>12</v>
      </c>
      <c r="T186" t="s">
        <v>34</v>
      </c>
      <c r="U186" t="s">
        <v>34</v>
      </c>
      <c r="V186" t="s">
        <v>44</v>
      </c>
      <c r="W186" t="s">
        <v>33</v>
      </c>
      <c r="X186" t="s">
        <v>45</v>
      </c>
      <c r="Z186" t="str">
        <f>IF(Table1[[#This Row],[Age]]&lt;30,"20-29",IF(Table1[[#This Row],[Age]]&lt;40,"30-39",IF(Table1[[#This Row],[Age]]&lt;50,"40-49","50+")))</f>
        <v>50+</v>
      </c>
      <c r="AA186" t="str">
        <f>IF(Table1[[#This Row],[Salary]]&lt;20000000,"low",IF(Table1[[#This Row],[Salary]]&lt;40000000,"medium","high"))</f>
        <v>high</v>
      </c>
      <c r="AB186">
        <f>YEAR(Table1[[#This Row],[Hire Date]])</f>
        <v>2022</v>
      </c>
      <c r="AC186" t="str">
        <f>TEXT(Table1[[#This Row],[Hire Date]],"mmmm")</f>
        <v>ژانويه</v>
      </c>
      <c r="AD186" t="str">
        <f>IF(Table1[[#This Row],[Resigned]]="yes","former","active")</f>
        <v>active</v>
      </c>
    </row>
    <row r="187" spans="1:30" x14ac:dyDescent="0.3">
      <c r="A187" t="s">
        <v>439</v>
      </c>
      <c r="B187" t="s">
        <v>440</v>
      </c>
      <c r="C187" t="s">
        <v>27</v>
      </c>
      <c r="D187">
        <v>37</v>
      </c>
      <c r="E187" t="s">
        <v>28</v>
      </c>
      <c r="F187" t="s">
        <v>80</v>
      </c>
      <c r="G187" t="s">
        <v>58</v>
      </c>
      <c r="H187" t="s">
        <v>42</v>
      </c>
      <c r="I187" t="s">
        <v>81</v>
      </c>
      <c r="J187" s="1">
        <v>44830</v>
      </c>
      <c r="K187">
        <v>4</v>
      </c>
      <c r="L187">
        <v>44375505</v>
      </c>
      <c r="M187">
        <v>5323592</v>
      </c>
      <c r="N187" t="s">
        <v>34</v>
      </c>
      <c r="O187">
        <v>3.67</v>
      </c>
      <c r="P187">
        <v>70</v>
      </c>
      <c r="Q187">
        <v>4</v>
      </c>
      <c r="R187">
        <v>4</v>
      </c>
      <c r="S187">
        <v>4</v>
      </c>
      <c r="T187" t="s">
        <v>33</v>
      </c>
      <c r="U187" t="s">
        <v>34</v>
      </c>
      <c r="V187" t="s">
        <v>59</v>
      </c>
      <c r="W187" t="s">
        <v>34</v>
      </c>
      <c r="X187" t="s">
        <v>52</v>
      </c>
      <c r="Z187" t="str">
        <f>IF(Table1[[#This Row],[Age]]&lt;30,"20-29",IF(Table1[[#This Row],[Age]]&lt;40,"30-39",IF(Table1[[#This Row],[Age]]&lt;50,"40-49","50+")))</f>
        <v>30-39</v>
      </c>
      <c r="AA187" t="str">
        <f>IF(Table1[[#This Row],[Salary]]&lt;20000000,"low",IF(Table1[[#This Row],[Salary]]&lt;40000000,"medium","high"))</f>
        <v>high</v>
      </c>
      <c r="AB187">
        <f>YEAR(Table1[[#This Row],[Hire Date]])</f>
        <v>2022</v>
      </c>
      <c r="AC187" t="str">
        <f>TEXT(Table1[[#This Row],[Hire Date]],"mmmm")</f>
        <v>سپتامبر</v>
      </c>
      <c r="AD187" t="str">
        <f>IF(Table1[[#This Row],[Resigned]]="yes","former","active")</f>
        <v>active</v>
      </c>
    </row>
    <row r="188" spans="1:30" x14ac:dyDescent="0.3">
      <c r="A188" t="s">
        <v>441</v>
      </c>
      <c r="B188" t="s">
        <v>442</v>
      </c>
      <c r="C188" t="s">
        <v>39</v>
      </c>
      <c r="D188">
        <v>37</v>
      </c>
      <c r="E188" t="s">
        <v>40</v>
      </c>
      <c r="F188" t="s">
        <v>48</v>
      </c>
      <c r="G188" t="s">
        <v>30</v>
      </c>
      <c r="H188" t="s">
        <v>42</v>
      </c>
      <c r="I188" t="s">
        <v>32</v>
      </c>
      <c r="J188" s="1">
        <v>45480</v>
      </c>
      <c r="K188">
        <v>2</v>
      </c>
      <c r="L188">
        <v>30389366</v>
      </c>
      <c r="M188">
        <v>6798694</v>
      </c>
      <c r="N188" t="s">
        <v>34</v>
      </c>
      <c r="O188">
        <v>3.54</v>
      </c>
      <c r="P188">
        <v>9</v>
      </c>
      <c r="Q188">
        <v>3</v>
      </c>
      <c r="R188">
        <v>5</v>
      </c>
      <c r="S188">
        <v>18</v>
      </c>
      <c r="T188" t="s">
        <v>33</v>
      </c>
      <c r="U188" t="s">
        <v>34</v>
      </c>
      <c r="V188" t="s">
        <v>70</v>
      </c>
      <c r="W188" t="s">
        <v>34</v>
      </c>
      <c r="X188" t="s">
        <v>45</v>
      </c>
      <c r="Z188" t="str">
        <f>IF(Table1[[#This Row],[Age]]&lt;30,"20-29",IF(Table1[[#This Row],[Age]]&lt;40,"30-39",IF(Table1[[#This Row],[Age]]&lt;50,"40-49","50+")))</f>
        <v>30-39</v>
      </c>
      <c r="AA188" t="str">
        <f>IF(Table1[[#This Row],[Salary]]&lt;20000000,"low",IF(Table1[[#This Row],[Salary]]&lt;40000000,"medium","high"))</f>
        <v>medium</v>
      </c>
      <c r="AB188">
        <f>YEAR(Table1[[#This Row],[Hire Date]])</f>
        <v>2024</v>
      </c>
      <c r="AC188" t="str">
        <f>TEXT(Table1[[#This Row],[Hire Date]],"mmmm")</f>
        <v>ژوئيه</v>
      </c>
      <c r="AD188" t="str">
        <f>IF(Table1[[#This Row],[Resigned]]="yes","former","active")</f>
        <v>active</v>
      </c>
    </row>
    <row r="189" spans="1:30" x14ac:dyDescent="0.3">
      <c r="A189" t="s">
        <v>443</v>
      </c>
      <c r="B189" t="s">
        <v>444</v>
      </c>
      <c r="C189" t="s">
        <v>39</v>
      </c>
      <c r="D189">
        <v>32</v>
      </c>
      <c r="E189" t="s">
        <v>73</v>
      </c>
      <c r="F189" t="s">
        <v>74</v>
      </c>
      <c r="G189" t="s">
        <v>58</v>
      </c>
      <c r="H189" t="s">
        <v>42</v>
      </c>
      <c r="I189" t="s">
        <v>43</v>
      </c>
      <c r="J189" s="1">
        <v>43437</v>
      </c>
      <c r="K189">
        <v>8</v>
      </c>
      <c r="L189">
        <v>56191716</v>
      </c>
      <c r="M189">
        <v>8853662</v>
      </c>
      <c r="N189" t="s">
        <v>34</v>
      </c>
      <c r="O189">
        <v>4.2</v>
      </c>
      <c r="P189">
        <v>46</v>
      </c>
      <c r="Q189">
        <v>2</v>
      </c>
      <c r="R189">
        <v>3</v>
      </c>
      <c r="S189">
        <v>17</v>
      </c>
      <c r="T189" t="s">
        <v>33</v>
      </c>
      <c r="U189" t="s">
        <v>34</v>
      </c>
      <c r="V189" t="s">
        <v>35</v>
      </c>
      <c r="W189" t="s">
        <v>33</v>
      </c>
      <c r="X189" t="s">
        <v>52</v>
      </c>
      <c r="Z189" t="str">
        <f>IF(Table1[[#This Row],[Age]]&lt;30,"20-29",IF(Table1[[#This Row],[Age]]&lt;40,"30-39",IF(Table1[[#This Row],[Age]]&lt;50,"40-49","50+")))</f>
        <v>30-39</v>
      </c>
      <c r="AA189" t="str">
        <f>IF(Table1[[#This Row],[Salary]]&lt;20000000,"low",IF(Table1[[#This Row],[Salary]]&lt;40000000,"medium","high"))</f>
        <v>high</v>
      </c>
      <c r="AB189">
        <f>YEAR(Table1[[#This Row],[Hire Date]])</f>
        <v>2018</v>
      </c>
      <c r="AC189" t="str">
        <f>TEXT(Table1[[#This Row],[Hire Date]],"mmmm")</f>
        <v>دسامبر</v>
      </c>
      <c r="AD189" t="str">
        <f>IF(Table1[[#This Row],[Resigned]]="yes","former","active")</f>
        <v>active</v>
      </c>
    </row>
    <row r="190" spans="1:30" x14ac:dyDescent="0.3">
      <c r="A190" t="s">
        <v>445</v>
      </c>
      <c r="B190" t="s">
        <v>446</v>
      </c>
      <c r="C190" t="s">
        <v>27</v>
      </c>
      <c r="D190">
        <v>55</v>
      </c>
      <c r="E190" t="s">
        <v>40</v>
      </c>
      <c r="F190" t="s">
        <v>48</v>
      </c>
      <c r="G190" t="s">
        <v>49</v>
      </c>
      <c r="H190" t="s">
        <v>31</v>
      </c>
      <c r="I190" t="s">
        <v>43</v>
      </c>
      <c r="J190" s="1">
        <v>44943</v>
      </c>
      <c r="K190">
        <v>3</v>
      </c>
      <c r="L190">
        <v>28793157</v>
      </c>
      <c r="M190">
        <v>7445244</v>
      </c>
      <c r="N190" t="s">
        <v>34</v>
      </c>
      <c r="O190">
        <v>3.95</v>
      </c>
      <c r="P190">
        <v>64</v>
      </c>
      <c r="Q190">
        <v>5</v>
      </c>
      <c r="R190">
        <v>5</v>
      </c>
      <c r="S190">
        <v>15</v>
      </c>
      <c r="T190" t="s">
        <v>34</v>
      </c>
      <c r="U190" t="s">
        <v>34</v>
      </c>
      <c r="V190" t="s">
        <v>51</v>
      </c>
      <c r="W190" t="s">
        <v>33</v>
      </c>
      <c r="X190" t="s">
        <v>45</v>
      </c>
      <c r="Z190" t="str">
        <f>IF(Table1[[#This Row],[Age]]&lt;30,"20-29",IF(Table1[[#This Row],[Age]]&lt;40,"30-39",IF(Table1[[#This Row],[Age]]&lt;50,"40-49","50+")))</f>
        <v>50+</v>
      </c>
      <c r="AA190" t="str">
        <f>IF(Table1[[#This Row],[Salary]]&lt;20000000,"low",IF(Table1[[#This Row],[Salary]]&lt;40000000,"medium","high"))</f>
        <v>medium</v>
      </c>
      <c r="AB190">
        <f>YEAR(Table1[[#This Row],[Hire Date]])</f>
        <v>2023</v>
      </c>
      <c r="AC190" t="str">
        <f>TEXT(Table1[[#This Row],[Hire Date]],"mmmm")</f>
        <v>ژانويه</v>
      </c>
      <c r="AD190" t="str">
        <f>IF(Table1[[#This Row],[Resigned]]="yes","former","active")</f>
        <v>active</v>
      </c>
    </row>
    <row r="191" spans="1:30" x14ac:dyDescent="0.3">
      <c r="A191" t="s">
        <v>447</v>
      </c>
      <c r="B191" t="s">
        <v>448</v>
      </c>
      <c r="C191" t="s">
        <v>39</v>
      </c>
      <c r="D191">
        <v>50</v>
      </c>
      <c r="E191" t="s">
        <v>110</v>
      </c>
      <c r="F191" t="s">
        <v>120</v>
      </c>
      <c r="G191" t="s">
        <v>30</v>
      </c>
      <c r="H191" t="s">
        <v>31</v>
      </c>
      <c r="I191" t="s">
        <v>81</v>
      </c>
      <c r="J191" s="1">
        <v>42648</v>
      </c>
      <c r="K191">
        <v>10</v>
      </c>
      <c r="L191">
        <v>56595093</v>
      </c>
      <c r="M191">
        <v>3538408</v>
      </c>
      <c r="N191" t="s">
        <v>34</v>
      </c>
      <c r="O191">
        <v>4.21</v>
      </c>
      <c r="P191">
        <v>8</v>
      </c>
      <c r="Q191">
        <v>5</v>
      </c>
      <c r="R191">
        <v>5</v>
      </c>
      <c r="S191">
        <v>15</v>
      </c>
      <c r="T191" t="s">
        <v>34</v>
      </c>
      <c r="U191" t="s">
        <v>34</v>
      </c>
      <c r="V191" t="s">
        <v>70</v>
      </c>
      <c r="W191" t="s">
        <v>33</v>
      </c>
      <c r="X191" t="s">
        <v>52</v>
      </c>
      <c r="Z191" t="str">
        <f>IF(Table1[[#This Row],[Age]]&lt;30,"20-29",IF(Table1[[#This Row],[Age]]&lt;40,"30-39",IF(Table1[[#This Row],[Age]]&lt;50,"40-49","50+")))</f>
        <v>50+</v>
      </c>
      <c r="AA191" t="str">
        <f>IF(Table1[[#This Row],[Salary]]&lt;20000000,"low",IF(Table1[[#This Row],[Salary]]&lt;40000000,"medium","high"))</f>
        <v>high</v>
      </c>
      <c r="AB191">
        <f>YEAR(Table1[[#This Row],[Hire Date]])</f>
        <v>2016</v>
      </c>
      <c r="AC191" t="str">
        <f>TEXT(Table1[[#This Row],[Hire Date]],"mmmm")</f>
        <v>اُكتبر</v>
      </c>
      <c r="AD191" t="str">
        <f>IF(Table1[[#This Row],[Resigned]]="yes","former","active")</f>
        <v>active</v>
      </c>
    </row>
    <row r="192" spans="1:30" x14ac:dyDescent="0.3">
      <c r="A192" t="s">
        <v>449</v>
      </c>
      <c r="B192" t="s">
        <v>450</v>
      </c>
      <c r="C192" t="s">
        <v>27</v>
      </c>
      <c r="D192">
        <v>49</v>
      </c>
      <c r="E192" t="s">
        <v>40</v>
      </c>
      <c r="F192" t="s">
        <v>41</v>
      </c>
      <c r="G192" t="s">
        <v>58</v>
      </c>
      <c r="H192" t="s">
        <v>31</v>
      </c>
      <c r="I192" t="s">
        <v>32</v>
      </c>
      <c r="J192" s="1">
        <v>43935</v>
      </c>
      <c r="K192">
        <v>6</v>
      </c>
      <c r="L192">
        <v>19967226</v>
      </c>
      <c r="M192">
        <v>3246447</v>
      </c>
      <c r="N192" t="s">
        <v>33</v>
      </c>
      <c r="O192">
        <v>4.45</v>
      </c>
      <c r="P192">
        <v>72</v>
      </c>
      <c r="Q192">
        <v>4</v>
      </c>
      <c r="R192">
        <v>5</v>
      </c>
      <c r="S192">
        <v>2</v>
      </c>
      <c r="T192" t="s">
        <v>34</v>
      </c>
      <c r="U192" t="s">
        <v>34</v>
      </c>
      <c r="V192" t="s">
        <v>59</v>
      </c>
      <c r="W192" t="s">
        <v>34</v>
      </c>
      <c r="X192" t="s">
        <v>52</v>
      </c>
      <c r="Z192" t="str">
        <f>IF(Table1[[#This Row],[Age]]&lt;30,"20-29",IF(Table1[[#This Row],[Age]]&lt;40,"30-39",IF(Table1[[#This Row],[Age]]&lt;50,"40-49","50+")))</f>
        <v>40-49</v>
      </c>
      <c r="AA192" t="str">
        <f>IF(Table1[[#This Row],[Salary]]&lt;20000000,"low",IF(Table1[[#This Row],[Salary]]&lt;40000000,"medium","high"))</f>
        <v>low</v>
      </c>
      <c r="AB192">
        <f>YEAR(Table1[[#This Row],[Hire Date]])</f>
        <v>2020</v>
      </c>
      <c r="AC192" t="str">
        <f>TEXT(Table1[[#This Row],[Hire Date]],"mmmm")</f>
        <v>آوريل</v>
      </c>
      <c r="AD192" t="str">
        <f>IF(Table1[[#This Row],[Resigned]]="yes","former","active")</f>
        <v>active</v>
      </c>
    </row>
    <row r="193" spans="1:30" x14ac:dyDescent="0.3">
      <c r="A193" t="s">
        <v>451</v>
      </c>
      <c r="B193" t="s">
        <v>452</v>
      </c>
      <c r="C193" t="s">
        <v>27</v>
      </c>
      <c r="D193">
        <v>51</v>
      </c>
      <c r="E193" t="s">
        <v>63</v>
      </c>
      <c r="F193" t="s">
        <v>64</v>
      </c>
      <c r="G193" t="s">
        <v>49</v>
      </c>
      <c r="H193" t="s">
        <v>31</v>
      </c>
      <c r="I193" t="s">
        <v>81</v>
      </c>
      <c r="J193" s="1">
        <v>44286</v>
      </c>
      <c r="K193">
        <v>5</v>
      </c>
      <c r="L193">
        <v>12234571</v>
      </c>
      <c r="M193">
        <v>7388195</v>
      </c>
      <c r="N193" t="s">
        <v>34</v>
      </c>
      <c r="O193">
        <v>5</v>
      </c>
      <c r="P193">
        <v>76</v>
      </c>
      <c r="Q193">
        <v>3</v>
      </c>
      <c r="R193">
        <v>2</v>
      </c>
      <c r="S193">
        <v>14</v>
      </c>
      <c r="T193" t="s">
        <v>33</v>
      </c>
      <c r="U193" t="s">
        <v>33</v>
      </c>
      <c r="V193" t="s">
        <v>59</v>
      </c>
      <c r="W193" t="s">
        <v>33</v>
      </c>
      <c r="X193" t="s">
        <v>36</v>
      </c>
      <c r="Y193" t="s">
        <v>162</v>
      </c>
      <c r="Z193" t="str">
        <f>IF(Table1[[#This Row],[Age]]&lt;30,"20-29",IF(Table1[[#This Row],[Age]]&lt;40,"30-39",IF(Table1[[#This Row],[Age]]&lt;50,"40-49","50+")))</f>
        <v>50+</v>
      </c>
      <c r="AA193" t="str">
        <f>IF(Table1[[#This Row],[Salary]]&lt;20000000,"low",IF(Table1[[#This Row],[Salary]]&lt;40000000,"medium","high"))</f>
        <v>low</v>
      </c>
      <c r="AB193">
        <f>YEAR(Table1[[#This Row],[Hire Date]])</f>
        <v>2021</v>
      </c>
      <c r="AC193" t="str">
        <f>TEXT(Table1[[#This Row],[Hire Date]],"mmmm")</f>
        <v>مارس</v>
      </c>
      <c r="AD193" t="str">
        <f>IF(Table1[[#This Row],[Resigned]]="yes","former","active")</f>
        <v>former</v>
      </c>
    </row>
    <row r="194" spans="1:30" x14ac:dyDescent="0.3">
      <c r="A194" t="s">
        <v>453</v>
      </c>
      <c r="B194" t="s">
        <v>454</v>
      </c>
      <c r="C194" t="s">
        <v>27</v>
      </c>
      <c r="D194">
        <v>39</v>
      </c>
      <c r="E194" t="s">
        <v>73</v>
      </c>
      <c r="F194" t="s">
        <v>127</v>
      </c>
      <c r="G194" t="s">
        <v>30</v>
      </c>
      <c r="H194" t="s">
        <v>31</v>
      </c>
      <c r="I194" t="s">
        <v>50</v>
      </c>
      <c r="J194" s="1">
        <v>44109</v>
      </c>
      <c r="K194">
        <v>6</v>
      </c>
      <c r="L194">
        <v>14423001</v>
      </c>
      <c r="M194">
        <v>4227923</v>
      </c>
      <c r="N194" t="s">
        <v>34</v>
      </c>
      <c r="O194">
        <v>4.29</v>
      </c>
      <c r="P194">
        <v>75</v>
      </c>
      <c r="Q194">
        <v>3</v>
      </c>
      <c r="R194">
        <v>4</v>
      </c>
      <c r="S194">
        <v>2</v>
      </c>
      <c r="T194" t="s">
        <v>34</v>
      </c>
      <c r="U194" t="s">
        <v>34</v>
      </c>
      <c r="V194" t="s">
        <v>35</v>
      </c>
      <c r="W194" t="s">
        <v>33</v>
      </c>
      <c r="X194" t="s">
        <v>52</v>
      </c>
      <c r="Z194" t="str">
        <f>IF(Table1[[#This Row],[Age]]&lt;30,"20-29",IF(Table1[[#This Row],[Age]]&lt;40,"30-39",IF(Table1[[#This Row],[Age]]&lt;50,"40-49","50+")))</f>
        <v>30-39</v>
      </c>
      <c r="AA194" t="str">
        <f>IF(Table1[[#This Row],[Salary]]&lt;20000000,"low",IF(Table1[[#This Row],[Salary]]&lt;40000000,"medium","high"))</f>
        <v>low</v>
      </c>
      <c r="AB194">
        <f>YEAR(Table1[[#This Row],[Hire Date]])</f>
        <v>2020</v>
      </c>
      <c r="AC194" t="str">
        <f>TEXT(Table1[[#This Row],[Hire Date]],"mmmm")</f>
        <v>اُكتبر</v>
      </c>
      <c r="AD194" t="str">
        <f>IF(Table1[[#This Row],[Resigned]]="yes","former","active")</f>
        <v>active</v>
      </c>
    </row>
    <row r="195" spans="1:30" x14ac:dyDescent="0.3">
      <c r="A195" t="s">
        <v>455</v>
      </c>
      <c r="B195" t="s">
        <v>456</v>
      </c>
      <c r="C195" t="s">
        <v>39</v>
      </c>
      <c r="D195">
        <v>56</v>
      </c>
      <c r="E195" t="s">
        <v>40</v>
      </c>
      <c r="F195" t="s">
        <v>41</v>
      </c>
      <c r="G195" t="s">
        <v>58</v>
      </c>
      <c r="H195" t="s">
        <v>42</v>
      </c>
      <c r="I195" t="s">
        <v>65</v>
      </c>
      <c r="J195" s="1">
        <v>43314</v>
      </c>
      <c r="K195">
        <v>8</v>
      </c>
      <c r="L195">
        <v>34912978</v>
      </c>
      <c r="M195">
        <v>9477540</v>
      </c>
      <c r="N195" t="s">
        <v>33</v>
      </c>
      <c r="O195">
        <v>4.5199999999999996</v>
      </c>
      <c r="P195">
        <v>3</v>
      </c>
      <c r="Q195">
        <v>4</v>
      </c>
      <c r="R195">
        <v>4</v>
      </c>
      <c r="S195">
        <v>3</v>
      </c>
      <c r="T195" t="s">
        <v>33</v>
      </c>
      <c r="U195" t="s">
        <v>34</v>
      </c>
      <c r="V195" t="s">
        <v>59</v>
      </c>
      <c r="W195" t="s">
        <v>33</v>
      </c>
      <c r="X195" t="s">
        <v>36</v>
      </c>
      <c r="Z195" t="str">
        <f>IF(Table1[[#This Row],[Age]]&lt;30,"20-29",IF(Table1[[#This Row],[Age]]&lt;40,"30-39",IF(Table1[[#This Row],[Age]]&lt;50,"40-49","50+")))</f>
        <v>50+</v>
      </c>
      <c r="AA195" t="str">
        <f>IF(Table1[[#This Row],[Salary]]&lt;20000000,"low",IF(Table1[[#This Row],[Salary]]&lt;40000000,"medium","high"))</f>
        <v>medium</v>
      </c>
      <c r="AB195">
        <f>YEAR(Table1[[#This Row],[Hire Date]])</f>
        <v>2018</v>
      </c>
      <c r="AC195" t="str">
        <f>TEXT(Table1[[#This Row],[Hire Date]],"mmmm")</f>
        <v>اوت</v>
      </c>
      <c r="AD195" t="str">
        <f>IF(Table1[[#This Row],[Resigned]]="yes","former","active")</f>
        <v>active</v>
      </c>
    </row>
    <row r="196" spans="1:30" x14ac:dyDescent="0.3">
      <c r="A196" t="s">
        <v>457</v>
      </c>
      <c r="B196" t="s">
        <v>458</v>
      </c>
      <c r="C196" t="s">
        <v>27</v>
      </c>
      <c r="D196">
        <v>58</v>
      </c>
      <c r="E196" t="s">
        <v>73</v>
      </c>
      <c r="F196" t="s">
        <v>74</v>
      </c>
      <c r="G196" t="s">
        <v>58</v>
      </c>
      <c r="H196" t="s">
        <v>42</v>
      </c>
      <c r="I196" t="s">
        <v>32</v>
      </c>
      <c r="J196" s="1">
        <v>45197</v>
      </c>
      <c r="K196">
        <v>3</v>
      </c>
      <c r="L196">
        <v>50905067</v>
      </c>
      <c r="M196">
        <v>8114746</v>
      </c>
      <c r="N196" t="s">
        <v>34</v>
      </c>
      <c r="O196">
        <v>2.54</v>
      </c>
      <c r="P196">
        <v>32</v>
      </c>
      <c r="Q196">
        <v>5</v>
      </c>
      <c r="R196">
        <v>1</v>
      </c>
      <c r="S196">
        <v>5</v>
      </c>
      <c r="T196" t="s">
        <v>34</v>
      </c>
      <c r="U196" t="s">
        <v>33</v>
      </c>
      <c r="V196" t="s">
        <v>51</v>
      </c>
      <c r="W196" t="s">
        <v>33</v>
      </c>
      <c r="X196" t="s">
        <v>45</v>
      </c>
      <c r="Y196" t="s">
        <v>162</v>
      </c>
      <c r="Z196" t="str">
        <f>IF(Table1[[#This Row],[Age]]&lt;30,"20-29",IF(Table1[[#This Row],[Age]]&lt;40,"30-39",IF(Table1[[#This Row],[Age]]&lt;50,"40-49","50+")))</f>
        <v>50+</v>
      </c>
      <c r="AA196" t="str">
        <f>IF(Table1[[#This Row],[Salary]]&lt;20000000,"low",IF(Table1[[#This Row],[Salary]]&lt;40000000,"medium","high"))</f>
        <v>high</v>
      </c>
      <c r="AB196">
        <f>YEAR(Table1[[#This Row],[Hire Date]])</f>
        <v>2023</v>
      </c>
      <c r="AC196" t="str">
        <f>TEXT(Table1[[#This Row],[Hire Date]],"mmmm")</f>
        <v>سپتامبر</v>
      </c>
      <c r="AD196" t="str">
        <f>IF(Table1[[#This Row],[Resigned]]="yes","former","active")</f>
        <v>former</v>
      </c>
    </row>
    <row r="197" spans="1:30" x14ac:dyDescent="0.3">
      <c r="A197" t="s">
        <v>459</v>
      </c>
      <c r="B197" t="s">
        <v>460</v>
      </c>
      <c r="C197" t="s">
        <v>27</v>
      </c>
      <c r="D197">
        <v>36</v>
      </c>
      <c r="E197" t="s">
        <v>63</v>
      </c>
      <c r="F197" t="s">
        <v>64</v>
      </c>
      <c r="G197" t="s">
        <v>30</v>
      </c>
      <c r="H197" t="s">
        <v>42</v>
      </c>
      <c r="I197" t="s">
        <v>32</v>
      </c>
      <c r="J197" s="1">
        <v>44436</v>
      </c>
      <c r="K197">
        <v>5</v>
      </c>
      <c r="L197">
        <v>40391123</v>
      </c>
      <c r="M197">
        <v>6690980</v>
      </c>
      <c r="N197" t="s">
        <v>33</v>
      </c>
      <c r="O197">
        <v>4.1500000000000004</v>
      </c>
      <c r="P197">
        <v>33</v>
      </c>
      <c r="Q197">
        <v>1</v>
      </c>
      <c r="R197">
        <v>3</v>
      </c>
      <c r="S197">
        <v>12</v>
      </c>
      <c r="T197" t="s">
        <v>33</v>
      </c>
      <c r="U197" t="s">
        <v>34</v>
      </c>
      <c r="V197" t="s">
        <v>59</v>
      </c>
      <c r="W197" t="s">
        <v>33</v>
      </c>
      <c r="X197" t="s">
        <v>45</v>
      </c>
      <c r="Z197" t="str">
        <f>IF(Table1[[#This Row],[Age]]&lt;30,"20-29",IF(Table1[[#This Row],[Age]]&lt;40,"30-39",IF(Table1[[#This Row],[Age]]&lt;50,"40-49","50+")))</f>
        <v>30-39</v>
      </c>
      <c r="AA197" t="str">
        <f>IF(Table1[[#This Row],[Salary]]&lt;20000000,"low",IF(Table1[[#This Row],[Salary]]&lt;40000000,"medium","high"))</f>
        <v>high</v>
      </c>
      <c r="AB197">
        <f>YEAR(Table1[[#This Row],[Hire Date]])</f>
        <v>2021</v>
      </c>
      <c r="AC197" t="str">
        <f>TEXT(Table1[[#This Row],[Hire Date]],"mmmm")</f>
        <v>اوت</v>
      </c>
      <c r="AD197" t="str">
        <f>IF(Table1[[#This Row],[Resigned]]="yes","former","active")</f>
        <v>active</v>
      </c>
    </row>
    <row r="198" spans="1:30" x14ac:dyDescent="0.3">
      <c r="A198" t="s">
        <v>461</v>
      </c>
      <c r="B198" t="s">
        <v>462</v>
      </c>
      <c r="C198" t="s">
        <v>27</v>
      </c>
      <c r="D198">
        <v>33</v>
      </c>
      <c r="E198" t="s">
        <v>73</v>
      </c>
      <c r="F198" t="s">
        <v>74</v>
      </c>
      <c r="G198" t="s">
        <v>49</v>
      </c>
      <c r="H198" t="s">
        <v>42</v>
      </c>
      <c r="I198" t="s">
        <v>65</v>
      </c>
      <c r="J198" s="1">
        <v>43474</v>
      </c>
      <c r="K198">
        <v>7</v>
      </c>
      <c r="L198">
        <v>50345582</v>
      </c>
      <c r="M198">
        <v>9258896</v>
      </c>
      <c r="N198" t="s">
        <v>34</v>
      </c>
      <c r="O198">
        <v>3.35</v>
      </c>
      <c r="P198">
        <v>69</v>
      </c>
      <c r="Q198">
        <v>3</v>
      </c>
      <c r="R198">
        <v>1</v>
      </c>
      <c r="S198">
        <v>8</v>
      </c>
      <c r="T198" t="s">
        <v>33</v>
      </c>
      <c r="U198" t="s">
        <v>33</v>
      </c>
      <c r="V198" t="s">
        <v>35</v>
      </c>
      <c r="W198" t="s">
        <v>34</v>
      </c>
      <c r="X198" t="s">
        <v>52</v>
      </c>
      <c r="Y198" t="s">
        <v>75</v>
      </c>
      <c r="Z198" t="str">
        <f>IF(Table1[[#This Row],[Age]]&lt;30,"20-29",IF(Table1[[#This Row],[Age]]&lt;40,"30-39",IF(Table1[[#This Row],[Age]]&lt;50,"40-49","50+")))</f>
        <v>30-39</v>
      </c>
      <c r="AA198" t="str">
        <f>IF(Table1[[#This Row],[Salary]]&lt;20000000,"low",IF(Table1[[#This Row],[Salary]]&lt;40000000,"medium","high"))</f>
        <v>high</v>
      </c>
      <c r="AB198">
        <f>YEAR(Table1[[#This Row],[Hire Date]])</f>
        <v>2019</v>
      </c>
      <c r="AC198" t="str">
        <f>TEXT(Table1[[#This Row],[Hire Date]],"mmmm")</f>
        <v>ژانويه</v>
      </c>
      <c r="AD198" t="str">
        <f>IF(Table1[[#This Row],[Resigned]]="yes","former","active")</f>
        <v>former</v>
      </c>
    </row>
    <row r="199" spans="1:30" x14ac:dyDescent="0.3">
      <c r="A199" t="s">
        <v>463</v>
      </c>
      <c r="B199" t="s">
        <v>464</v>
      </c>
      <c r="C199" t="s">
        <v>39</v>
      </c>
      <c r="D199">
        <v>37</v>
      </c>
      <c r="E199" t="s">
        <v>28</v>
      </c>
      <c r="F199" t="s">
        <v>80</v>
      </c>
      <c r="G199" t="s">
        <v>49</v>
      </c>
      <c r="H199" t="s">
        <v>42</v>
      </c>
      <c r="I199" t="s">
        <v>32</v>
      </c>
      <c r="J199" s="1">
        <v>44947</v>
      </c>
      <c r="K199">
        <v>3</v>
      </c>
      <c r="L199">
        <v>14641963</v>
      </c>
      <c r="M199">
        <v>6511994</v>
      </c>
      <c r="N199" t="s">
        <v>33</v>
      </c>
      <c r="O199">
        <v>4.0599999999999996</v>
      </c>
      <c r="P199">
        <v>53</v>
      </c>
      <c r="Q199">
        <v>4</v>
      </c>
      <c r="R199">
        <v>4</v>
      </c>
      <c r="S199">
        <v>10</v>
      </c>
      <c r="T199" t="s">
        <v>34</v>
      </c>
      <c r="U199" t="s">
        <v>34</v>
      </c>
      <c r="V199" t="s">
        <v>59</v>
      </c>
      <c r="W199" t="s">
        <v>33</v>
      </c>
      <c r="X199" t="s">
        <v>45</v>
      </c>
      <c r="Z199" t="str">
        <f>IF(Table1[[#This Row],[Age]]&lt;30,"20-29",IF(Table1[[#This Row],[Age]]&lt;40,"30-39",IF(Table1[[#This Row],[Age]]&lt;50,"40-49","50+")))</f>
        <v>30-39</v>
      </c>
      <c r="AA199" t="str">
        <f>IF(Table1[[#This Row],[Salary]]&lt;20000000,"low",IF(Table1[[#This Row],[Salary]]&lt;40000000,"medium","high"))</f>
        <v>low</v>
      </c>
      <c r="AB199">
        <f>YEAR(Table1[[#This Row],[Hire Date]])</f>
        <v>2023</v>
      </c>
      <c r="AC199" t="str">
        <f>TEXT(Table1[[#This Row],[Hire Date]],"mmmm")</f>
        <v>ژانويه</v>
      </c>
      <c r="AD199" t="str">
        <f>IF(Table1[[#This Row],[Resigned]]="yes","former","active")</f>
        <v>active</v>
      </c>
    </row>
    <row r="200" spans="1:30" x14ac:dyDescent="0.3">
      <c r="A200" t="s">
        <v>465</v>
      </c>
      <c r="B200" t="s">
        <v>466</v>
      </c>
      <c r="C200" t="s">
        <v>27</v>
      </c>
      <c r="D200">
        <v>54</v>
      </c>
      <c r="E200" t="s">
        <v>28</v>
      </c>
      <c r="F200" t="s">
        <v>80</v>
      </c>
      <c r="G200" t="s">
        <v>49</v>
      </c>
      <c r="H200" t="s">
        <v>31</v>
      </c>
      <c r="I200" t="s">
        <v>32</v>
      </c>
      <c r="J200" s="1">
        <v>45752</v>
      </c>
      <c r="K200">
        <v>1</v>
      </c>
      <c r="L200">
        <v>16330401</v>
      </c>
      <c r="M200">
        <v>2831714</v>
      </c>
      <c r="N200" t="s">
        <v>34</v>
      </c>
      <c r="O200">
        <v>4.68</v>
      </c>
      <c r="P200">
        <v>65</v>
      </c>
      <c r="Q200">
        <v>3</v>
      </c>
      <c r="R200">
        <v>3</v>
      </c>
      <c r="S200">
        <v>19</v>
      </c>
      <c r="T200" t="s">
        <v>33</v>
      </c>
      <c r="U200" t="s">
        <v>34</v>
      </c>
      <c r="V200" t="s">
        <v>51</v>
      </c>
      <c r="W200" t="s">
        <v>33</v>
      </c>
      <c r="X200" t="s">
        <v>45</v>
      </c>
      <c r="Z200" t="str">
        <f>IF(Table1[[#This Row],[Age]]&lt;30,"20-29",IF(Table1[[#This Row],[Age]]&lt;40,"30-39",IF(Table1[[#This Row],[Age]]&lt;50,"40-49","50+")))</f>
        <v>50+</v>
      </c>
      <c r="AA200" t="str">
        <f>IF(Table1[[#This Row],[Salary]]&lt;20000000,"low",IF(Table1[[#This Row],[Salary]]&lt;40000000,"medium","high"))</f>
        <v>low</v>
      </c>
      <c r="AB200">
        <f>YEAR(Table1[[#This Row],[Hire Date]])</f>
        <v>2025</v>
      </c>
      <c r="AC200" t="str">
        <f>TEXT(Table1[[#This Row],[Hire Date]],"mmmm")</f>
        <v>آوريل</v>
      </c>
      <c r="AD200" t="str">
        <f>IF(Table1[[#This Row],[Resigned]]="yes","former","active")</f>
        <v>active</v>
      </c>
    </row>
    <row r="201" spans="1:30" x14ac:dyDescent="0.3">
      <c r="A201" t="s">
        <v>467</v>
      </c>
      <c r="B201" t="s">
        <v>468</v>
      </c>
      <c r="C201" t="s">
        <v>39</v>
      </c>
      <c r="D201">
        <v>30</v>
      </c>
      <c r="E201" t="s">
        <v>40</v>
      </c>
      <c r="F201" t="s">
        <v>48</v>
      </c>
      <c r="G201" t="s">
        <v>30</v>
      </c>
      <c r="H201" t="s">
        <v>31</v>
      </c>
      <c r="I201" t="s">
        <v>32</v>
      </c>
      <c r="J201" s="1">
        <v>44420</v>
      </c>
      <c r="K201">
        <v>5</v>
      </c>
      <c r="L201">
        <v>52218364</v>
      </c>
      <c r="M201">
        <v>5193456</v>
      </c>
      <c r="N201" t="s">
        <v>33</v>
      </c>
      <c r="O201">
        <v>2.79</v>
      </c>
      <c r="P201">
        <v>47</v>
      </c>
      <c r="Q201">
        <v>3</v>
      </c>
      <c r="R201">
        <v>2</v>
      </c>
      <c r="S201">
        <v>5</v>
      </c>
      <c r="T201" t="s">
        <v>34</v>
      </c>
      <c r="U201" t="s">
        <v>34</v>
      </c>
      <c r="V201" t="s">
        <v>51</v>
      </c>
      <c r="W201" t="s">
        <v>33</v>
      </c>
      <c r="X201" t="s">
        <v>45</v>
      </c>
      <c r="Z201" t="str">
        <f>IF(Table1[[#This Row],[Age]]&lt;30,"20-29",IF(Table1[[#This Row],[Age]]&lt;40,"30-39",IF(Table1[[#This Row],[Age]]&lt;50,"40-49","50+")))</f>
        <v>30-39</v>
      </c>
      <c r="AA201" t="str">
        <f>IF(Table1[[#This Row],[Salary]]&lt;20000000,"low",IF(Table1[[#This Row],[Salary]]&lt;40000000,"medium","high"))</f>
        <v>high</v>
      </c>
      <c r="AB201">
        <f>YEAR(Table1[[#This Row],[Hire Date]])</f>
        <v>2021</v>
      </c>
      <c r="AC201" t="str">
        <f>TEXT(Table1[[#This Row],[Hire Date]],"mmmm")</f>
        <v>اوت</v>
      </c>
      <c r="AD201" t="str">
        <f>IF(Table1[[#This Row],[Resigned]]="yes","former","active")</f>
        <v>active</v>
      </c>
    </row>
    <row r="202" spans="1:30" x14ac:dyDescent="0.3">
      <c r="A202" t="s">
        <v>469</v>
      </c>
      <c r="B202" t="s">
        <v>470</v>
      </c>
      <c r="C202" t="s">
        <v>39</v>
      </c>
      <c r="D202">
        <v>23</v>
      </c>
      <c r="E202" t="s">
        <v>40</v>
      </c>
      <c r="F202" t="s">
        <v>48</v>
      </c>
      <c r="G202" t="s">
        <v>30</v>
      </c>
      <c r="H202" t="s">
        <v>42</v>
      </c>
      <c r="I202" t="s">
        <v>81</v>
      </c>
      <c r="J202" s="1">
        <v>44429</v>
      </c>
      <c r="K202">
        <v>5</v>
      </c>
      <c r="L202">
        <v>23963654</v>
      </c>
      <c r="M202">
        <v>8516286</v>
      </c>
      <c r="N202" t="s">
        <v>33</v>
      </c>
      <c r="O202">
        <v>3.41</v>
      </c>
      <c r="P202">
        <v>20</v>
      </c>
      <c r="Q202">
        <v>1</v>
      </c>
      <c r="R202">
        <v>2</v>
      </c>
      <c r="S202">
        <v>8</v>
      </c>
      <c r="T202" t="s">
        <v>34</v>
      </c>
      <c r="U202" t="s">
        <v>34</v>
      </c>
      <c r="V202" t="s">
        <v>35</v>
      </c>
      <c r="W202" t="s">
        <v>34</v>
      </c>
      <c r="X202" t="s">
        <v>45</v>
      </c>
      <c r="Z202" t="str">
        <f>IF(Table1[[#This Row],[Age]]&lt;30,"20-29",IF(Table1[[#This Row],[Age]]&lt;40,"30-39",IF(Table1[[#This Row],[Age]]&lt;50,"40-49","50+")))</f>
        <v>20-29</v>
      </c>
      <c r="AA202" t="str">
        <f>IF(Table1[[#This Row],[Salary]]&lt;20000000,"low",IF(Table1[[#This Row],[Salary]]&lt;40000000,"medium","high"))</f>
        <v>medium</v>
      </c>
      <c r="AB202">
        <f>YEAR(Table1[[#This Row],[Hire Date]])</f>
        <v>2021</v>
      </c>
      <c r="AC202" t="str">
        <f>TEXT(Table1[[#This Row],[Hire Date]],"mmmm")</f>
        <v>اوت</v>
      </c>
      <c r="AD202" t="str">
        <f>IF(Table1[[#This Row],[Resigned]]="yes","former","active")</f>
        <v>active</v>
      </c>
    </row>
    <row r="203" spans="1:30" x14ac:dyDescent="0.3">
      <c r="A203" t="s">
        <v>471</v>
      </c>
      <c r="B203" t="s">
        <v>472</v>
      </c>
      <c r="C203" t="s">
        <v>39</v>
      </c>
      <c r="D203">
        <v>48</v>
      </c>
      <c r="E203" t="s">
        <v>110</v>
      </c>
      <c r="F203" t="s">
        <v>111</v>
      </c>
      <c r="G203" t="s">
        <v>49</v>
      </c>
      <c r="H203" t="s">
        <v>42</v>
      </c>
      <c r="I203" t="s">
        <v>43</v>
      </c>
      <c r="J203" s="1">
        <v>44158</v>
      </c>
      <c r="K203">
        <v>6</v>
      </c>
      <c r="L203">
        <v>35700440</v>
      </c>
      <c r="M203">
        <v>7128296</v>
      </c>
      <c r="N203" t="s">
        <v>33</v>
      </c>
      <c r="O203">
        <v>4.16</v>
      </c>
      <c r="P203">
        <v>19</v>
      </c>
      <c r="Q203">
        <v>3</v>
      </c>
      <c r="R203">
        <v>3</v>
      </c>
      <c r="S203">
        <v>19</v>
      </c>
      <c r="T203" t="s">
        <v>33</v>
      </c>
      <c r="U203" t="s">
        <v>34</v>
      </c>
      <c r="V203" t="s">
        <v>59</v>
      </c>
      <c r="W203" t="s">
        <v>34</v>
      </c>
      <c r="X203" t="s">
        <v>52</v>
      </c>
      <c r="Z203" t="str">
        <f>IF(Table1[[#This Row],[Age]]&lt;30,"20-29",IF(Table1[[#This Row],[Age]]&lt;40,"30-39",IF(Table1[[#This Row],[Age]]&lt;50,"40-49","50+")))</f>
        <v>40-49</v>
      </c>
      <c r="AA203" t="str">
        <f>IF(Table1[[#This Row],[Salary]]&lt;20000000,"low",IF(Table1[[#This Row],[Salary]]&lt;40000000,"medium","high"))</f>
        <v>medium</v>
      </c>
      <c r="AB203">
        <f>YEAR(Table1[[#This Row],[Hire Date]])</f>
        <v>2020</v>
      </c>
      <c r="AC203" t="str">
        <f>TEXT(Table1[[#This Row],[Hire Date]],"mmmm")</f>
        <v>نوامبر</v>
      </c>
      <c r="AD203" t="str">
        <f>IF(Table1[[#This Row],[Resigned]]="yes","former","active")</f>
        <v>active</v>
      </c>
    </row>
    <row r="204" spans="1:30" x14ac:dyDescent="0.3">
      <c r="A204" t="s">
        <v>473</v>
      </c>
      <c r="B204" t="s">
        <v>474</v>
      </c>
      <c r="C204" t="s">
        <v>27</v>
      </c>
      <c r="D204">
        <v>40</v>
      </c>
      <c r="E204" t="s">
        <v>73</v>
      </c>
      <c r="F204" t="s">
        <v>74</v>
      </c>
      <c r="G204" t="s">
        <v>30</v>
      </c>
      <c r="H204" t="s">
        <v>31</v>
      </c>
      <c r="I204" t="s">
        <v>50</v>
      </c>
      <c r="J204" s="1">
        <v>43789</v>
      </c>
      <c r="K204">
        <v>7</v>
      </c>
      <c r="L204">
        <v>27145670</v>
      </c>
      <c r="M204">
        <v>4002121</v>
      </c>
      <c r="N204" t="s">
        <v>34</v>
      </c>
      <c r="O204">
        <v>4.43</v>
      </c>
      <c r="P204">
        <v>53</v>
      </c>
      <c r="Q204">
        <v>2</v>
      </c>
      <c r="R204">
        <v>2</v>
      </c>
      <c r="S204">
        <v>0</v>
      </c>
      <c r="T204" t="s">
        <v>33</v>
      </c>
      <c r="U204" t="s">
        <v>34</v>
      </c>
      <c r="V204" t="s">
        <v>51</v>
      </c>
      <c r="W204" t="s">
        <v>34</v>
      </c>
      <c r="X204" t="s">
        <v>45</v>
      </c>
      <c r="Z204" t="str">
        <f>IF(Table1[[#This Row],[Age]]&lt;30,"20-29",IF(Table1[[#This Row],[Age]]&lt;40,"30-39",IF(Table1[[#This Row],[Age]]&lt;50,"40-49","50+")))</f>
        <v>40-49</v>
      </c>
      <c r="AA204" t="str">
        <f>IF(Table1[[#This Row],[Salary]]&lt;20000000,"low",IF(Table1[[#This Row],[Salary]]&lt;40000000,"medium","high"))</f>
        <v>medium</v>
      </c>
      <c r="AB204">
        <f>YEAR(Table1[[#This Row],[Hire Date]])</f>
        <v>2019</v>
      </c>
      <c r="AC204" t="str">
        <f>TEXT(Table1[[#This Row],[Hire Date]],"mmmm")</f>
        <v>نوامبر</v>
      </c>
      <c r="AD204" t="str">
        <f>IF(Table1[[#This Row],[Resigned]]="yes","former","active")</f>
        <v>active</v>
      </c>
    </row>
    <row r="205" spans="1:30" x14ac:dyDescent="0.3">
      <c r="A205" t="s">
        <v>475</v>
      </c>
      <c r="B205" t="s">
        <v>476</v>
      </c>
      <c r="C205" t="s">
        <v>39</v>
      </c>
      <c r="D205">
        <v>31</v>
      </c>
      <c r="E205" t="s">
        <v>56</v>
      </c>
      <c r="F205" t="s">
        <v>57</v>
      </c>
      <c r="G205" t="s">
        <v>49</v>
      </c>
      <c r="H205" t="s">
        <v>42</v>
      </c>
      <c r="I205" t="s">
        <v>50</v>
      </c>
      <c r="J205" s="1">
        <v>45452</v>
      </c>
      <c r="K205">
        <v>2</v>
      </c>
      <c r="L205">
        <v>42212652</v>
      </c>
      <c r="M205">
        <v>3029582</v>
      </c>
      <c r="N205" t="s">
        <v>34</v>
      </c>
      <c r="O205">
        <v>3.44</v>
      </c>
      <c r="P205">
        <v>41</v>
      </c>
      <c r="Q205">
        <v>1</v>
      </c>
      <c r="R205">
        <v>3</v>
      </c>
      <c r="S205">
        <v>19</v>
      </c>
      <c r="T205" t="s">
        <v>34</v>
      </c>
      <c r="U205" t="s">
        <v>34</v>
      </c>
      <c r="V205" t="s">
        <v>44</v>
      </c>
      <c r="W205" t="s">
        <v>33</v>
      </c>
      <c r="X205" t="s">
        <v>45</v>
      </c>
      <c r="Z205" t="str">
        <f>IF(Table1[[#This Row],[Age]]&lt;30,"20-29",IF(Table1[[#This Row],[Age]]&lt;40,"30-39",IF(Table1[[#This Row],[Age]]&lt;50,"40-49","50+")))</f>
        <v>30-39</v>
      </c>
      <c r="AA205" t="str">
        <f>IF(Table1[[#This Row],[Salary]]&lt;20000000,"low",IF(Table1[[#This Row],[Salary]]&lt;40000000,"medium","high"))</f>
        <v>high</v>
      </c>
      <c r="AB205">
        <f>YEAR(Table1[[#This Row],[Hire Date]])</f>
        <v>2024</v>
      </c>
      <c r="AC205" t="str">
        <f>TEXT(Table1[[#This Row],[Hire Date]],"mmmm")</f>
        <v>ژوئن</v>
      </c>
      <c r="AD205" t="str">
        <f>IF(Table1[[#This Row],[Resigned]]="yes","former","active")</f>
        <v>active</v>
      </c>
    </row>
    <row r="206" spans="1:30" x14ac:dyDescent="0.3">
      <c r="A206" t="s">
        <v>477</v>
      </c>
      <c r="B206" t="s">
        <v>478</v>
      </c>
      <c r="C206" t="s">
        <v>27</v>
      </c>
      <c r="D206">
        <v>54</v>
      </c>
      <c r="E206" t="s">
        <v>110</v>
      </c>
      <c r="F206" t="s">
        <v>111</v>
      </c>
      <c r="G206" t="s">
        <v>30</v>
      </c>
      <c r="H206" t="s">
        <v>42</v>
      </c>
      <c r="I206" t="s">
        <v>43</v>
      </c>
      <c r="J206" s="1">
        <v>44842</v>
      </c>
      <c r="K206">
        <v>4</v>
      </c>
      <c r="L206">
        <v>36490276</v>
      </c>
      <c r="M206">
        <v>3799705</v>
      </c>
      <c r="N206" t="s">
        <v>34</v>
      </c>
      <c r="O206">
        <v>4.51</v>
      </c>
      <c r="P206">
        <v>61</v>
      </c>
      <c r="Q206">
        <v>5</v>
      </c>
      <c r="R206">
        <v>5</v>
      </c>
      <c r="S206">
        <v>7</v>
      </c>
      <c r="T206" t="s">
        <v>33</v>
      </c>
      <c r="U206" t="s">
        <v>34</v>
      </c>
      <c r="V206" t="s">
        <v>59</v>
      </c>
      <c r="W206" t="s">
        <v>34</v>
      </c>
      <c r="X206" t="s">
        <v>52</v>
      </c>
      <c r="Z206" t="str">
        <f>IF(Table1[[#This Row],[Age]]&lt;30,"20-29",IF(Table1[[#This Row],[Age]]&lt;40,"30-39",IF(Table1[[#This Row],[Age]]&lt;50,"40-49","50+")))</f>
        <v>50+</v>
      </c>
      <c r="AA206" t="str">
        <f>IF(Table1[[#This Row],[Salary]]&lt;20000000,"low",IF(Table1[[#This Row],[Salary]]&lt;40000000,"medium","high"))</f>
        <v>medium</v>
      </c>
      <c r="AB206">
        <f>YEAR(Table1[[#This Row],[Hire Date]])</f>
        <v>2022</v>
      </c>
      <c r="AC206" t="str">
        <f>TEXT(Table1[[#This Row],[Hire Date]],"mmmm")</f>
        <v>اُكتبر</v>
      </c>
      <c r="AD206" t="str">
        <f>IF(Table1[[#This Row],[Resigned]]="yes","former","active")</f>
        <v>active</v>
      </c>
    </row>
    <row r="207" spans="1:30" x14ac:dyDescent="0.3">
      <c r="A207" t="s">
        <v>479</v>
      </c>
      <c r="B207" t="s">
        <v>480</v>
      </c>
      <c r="C207" t="s">
        <v>39</v>
      </c>
      <c r="D207">
        <v>52</v>
      </c>
      <c r="E207" t="s">
        <v>28</v>
      </c>
      <c r="F207" t="s">
        <v>80</v>
      </c>
      <c r="G207" t="s">
        <v>30</v>
      </c>
      <c r="H207" t="s">
        <v>42</v>
      </c>
      <c r="I207" t="s">
        <v>81</v>
      </c>
      <c r="J207" s="1">
        <v>43681</v>
      </c>
      <c r="K207">
        <v>7</v>
      </c>
      <c r="L207">
        <v>20718209</v>
      </c>
      <c r="M207">
        <v>7196021</v>
      </c>
      <c r="N207" t="s">
        <v>34</v>
      </c>
      <c r="O207">
        <v>2.58</v>
      </c>
      <c r="P207">
        <v>4</v>
      </c>
      <c r="Q207">
        <v>3</v>
      </c>
      <c r="R207">
        <v>1</v>
      </c>
      <c r="S207">
        <v>19</v>
      </c>
      <c r="T207" t="s">
        <v>34</v>
      </c>
      <c r="U207" t="s">
        <v>34</v>
      </c>
      <c r="V207" t="s">
        <v>44</v>
      </c>
      <c r="W207" t="s">
        <v>33</v>
      </c>
      <c r="X207" t="s">
        <v>45</v>
      </c>
      <c r="Z207" t="str">
        <f>IF(Table1[[#This Row],[Age]]&lt;30,"20-29",IF(Table1[[#This Row],[Age]]&lt;40,"30-39",IF(Table1[[#This Row],[Age]]&lt;50,"40-49","50+")))</f>
        <v>50+</v>
      </c>
      <c r="AA207" t="str">
        <f>IF(Table1[[#This Row],[Salary]]&lt;20000000,"low",IF(Table1[[#This Row],[Salary]]&lt;40000000,"medium","high"))</f>
        <v>medium</v>
      </c>
      <c r="AB207">
        <f>YEAR(Table1[[#This Row],[Hire Date]])</f>
        <v>2019</v>
      </c>
      <c r="AC207" t="str">
        <f>TEXT(Table1[[#This Row],[Hire Date]],"mmmm")</f>
        <v>اوت</v>
      </c>
      <c r="AD207" t="str">
        <f>IF(Table1[[#This Row],[Resigned]]="yes","former","active")</f>
        <v>active</v>
      </c>
    </row>
    <row r="208" spans="1:30" x14ac:dyDescent="0.3">
      <c r="A208" t="s">
        <v>481</v>
      </c>
      <c r="B208" t="s">
        <v>482</v>
      </c>
      <c r="C208" t="s">
        <v>27</v>
      </c>
      <c r="D208">
        <v>35</v>
      </c>
      <c r="E208" t="s">
        <v>63</v>
      </c>
      <c r="F208" t="s">
        <v>64</v>
      </c>
      <c r="G208" t="s">
        <v>58</v>
      </c>
      <c r="H208" t="s">
        <v>31</v>
      </c>
      <c r="I208" t="s">
        <v>65</v>
      </c>
      <c r="J208" s="1">
        <v>44528</v>
      </c>
      <c r="K208">
        <v>5</v>
      </c>
      <c r="L208">
        <v>32602995</v>
      </c>
      <c r="M208">
        <v>2940736</v>
      </c>
      <c r="N208" t="s">
        <v>33</v>
      </c>
      <c r="O208">
        <v>4.5999999999999996</v>
      </c>
      <c r="P208">
        <v>27</v>
      </c>
      <c r="Q208">
        <v>3</v>
      </c>
      <c r="R208">
        <v>5</v>
      </c>
      <c r="S208">
        <v>1</v>
      </c>
      <c r="T208" t="s">
        <v>33</v>
      </c>
      <c r="U208" t="s">
        <v>33</v>
      </c>
      <c r="V208" t="s">
        <v>70</v>
      </c>
      <c r="W208" t="s">
        <v>34</v>
      </c>
      <c r="X208" t="s">
        <v>36</v>
      </c>
      <c r="Y208" t="s">
        <v>53</v>
      </c>
      <c r="Z208" t="str">
        <f>IF(Table1[[#This Row],[Age]]&lt;30,"20-29",IF(Table1[[#This Row],[Age]]&lt;40,"30-39",IF(Table1[[#This Row],[Age]]&lt;50,"40-49","50+")))</f>
        <v>30-39</v>
      </c>
      <c r="AA208" t="str">
        <f>IF(Table1[[#This Row],[Salary]]&lt;20000000,"low",IF(Table1[[#This Row],[Salary]]&lt;40000000,"medium","high"))</f>
        <v>medium</v>
      </c>
      <c r="AB208">
        <f>YEAR(Table1[[#This Row],[Hire Date]])</f>
        <v>2021</v>
      </c>
      <c r="AC208" t="str">
        <f>TEXT(Table1[[#This Row],[Hire Date]],"mmmm")</f>
        <v>نوامبر</v>
      </c>
      <c r="AD208" t="str">
        <f>IF(Table1[[#This Row],[Resigned]]="yes","former","active")</f>
        <v>former</v>
      </c>
    </row>
    <row r="209" spans="1:30" x14ac:dyDescent="0.3">
      <c r="A209" t="s">
        <v>483</v>
      </c>
      <c r="B209" t="s">
        <v>484</v>
      </c>
      <c r="C209" t="s">
        <v>27</v>
      </c>
      <c r="D209">
        <v>22</v>
      </c>
      <c r="E209" t="s">
        <v>110</v>
      </c>
      <c r="F209" t="s">
        <v>120</v>
      </c>
      <c r="G209" t="s">
        <v>30</v>
      </c>
      <c r="H209" t="s">
        <v>31</v>
      </c>
      <c r="I209" t="s">
        <v>65</v>
      </c>
      <c r="J209" s="1">
        <v>45853</v>
      </c>
      <c r="K209">
        <v>1</v>
      </c>
      <c r="L209">
        <v>47408582</v>
      </c>
      <c r="M209">
        <v>551884</v>
      </c>
      <c r="N209" t="s">
        <v>33</v>
      </c>
      <c r="O209">
        <v>4.32</v>
      </c>
      <c r="P209">
        <v>8</v>
      </c>
      <c r="Q209">
        <v>1</v>
      </c>
      <c r="R209">
        <v>1</v>
      </c>
      <c r="S209">
        <v>14</v>
      </c>
      <c r="T209" t="s">
        <v>34</v>
      </c>
      <c r="U209" t="s">
        <v>34</v>
      </c>
      <c r="V209" t="s">
        <v>59</v>
      </c>
      <c r="W209" t="s">
        <v>34</v>
      </c>
      <c r="X209" t="s">
        <v>52</v>
      </c>
      <c r="Z209" t="str">
        <f>IF(Table1[[#This Row],[Age]]&lt;30,"20-29",IF(Table1[[#This Row],[Age]]&lt;40,"30-39",IF(Table1[[#This Row],[Age]]&lt;50,"40-49","50+")))</f>
        <v>20-29</v>
      </c>
      <c r="AA209" t="str">
        <f>IF(Table1[[#This Row],[Salary]]&lt;20000000,"low",IF(Table1[[#This Row],[Salary]]&lt;40000000,"medium","high"))</f>
        <v>high</v>
      </c>
      <c r="AB209">
        <f>YEAR(Table1[[#This Row],[Hire Date]])</f>
        <v>2025</v>
      </c>
      <c r="AC209" t="str">
        <f>TEXT(Table1[[#This Row],[Hire Date]],"mmmm")</f>
        <v>ژوئيه</v>
      </c>
      <c r="AD209" t="str">
        <f>IF(Table1[[#This Row],[Resigned]]="yes","former","active")</f>
        <v>active</v>
      </c>
    </row>
    <row r="210" spans="1:30" x14ac:dyDescent="0.3">
      <c r="A210" t="s">
        <v>485</v>
      </c>
      <c r="B210" t="s">
        <v>486</v>
      </c>
      <c r="C210" t="s">
        <v>39</v>
      </c>
      <c r="D210">
        <v>56</v>
      </c>
      <c r="E210" t="s">
        <v>63</v>
      </c>
      <c r="F210" t="s">
        <v>64</v>
      </c>
      <c r="G210" t="s">
        <v>58</v>
      </c>
      <c r="H210" t="s">
        <v>42</v>
      </c>
      <c r="I210" t="s">
        <v>81</v>
      </c>
      <c r="J210" s="1">
        <v>43974</v>
      </c>
      <c r="K210">
        <v>6</v>
      </c>
      <c r="L210">
        <v>36619982</v>
      </c>
      <c r="M210">
        <v>9499380</v>
      </c>
      <c r="N210" t="s">
        <v>34</v>
      </c>
      <c r="O210">
        <v>2.78</v>
      </c>
      <c r="P210">
        <v>46</v>
      </c>
      <c r="Q210">
        <v>1</v>
      </c>
      <c r="R210">
        <v>5</v>
      </c>
      <c r="S210">
        <v>8</v>
      </c>
      <c r="T210" t="s">
        <v>33</v>
      </c>
      <c r="U210" t="s">
        <v>34</v>
      </c>
      <c r="V210" t="s">
        <v>44</v>
      </c>
      <c r="W210" t="s">
        <v>33</v>
      </c>
      <c r="X210" t="s">
        <v>52</v>
      </c>
      <c r="Z210" t="str">
        <f>IF(Table1[[#This Row],[Age]]&lt;30,"20-29",IF(Table1[[#This Row],[Age]]&lt;40,"30-39",IF(Table1[[#This Row],[Age]]&lt;50,"40-49","50+")))</f>
        <v>50+</v>
      </c>
      <c r="AA210" t="str">
        <f>IF(Table1[[#This Row],[Salary]]&lt;20000000,"low",IF(Table1[[#This Row],[Salary]]&lt;40000000,"medium","high"))</f>
        <v>medium</v>
      </c>
      <c r="AB210">
        <f>YEAR(Table1[[#This Row],[Hire Date]])</f>
        <v>2020</v>
      </c>
      <c r="AC210" t="str">
        <f>TEXT(Table1[[#This Row],[Hire Date]],"mmmm")</f>
        <v>مه</v>
      </c>
      <c r="AD210" t="str">
        <f>IF(Table1[[#This Row],[Resigned]]="yes","former","active")</f>
        <v>active</v>
      </c>
    </row>
    <row r="211" spans="1:30" x14ac:dyDescent="0.3">
      <c r="A211" t="s">
        <v>487</v>
      </c>
      <c r="B211" t="s">
        <v>488</v>
      </c>
      <c r="C211" t="s">
        <v>27</v>
      </c>
      <c r="D211">
        <v>36</v>
      </c>
      <c r="E211" t="s">
        <v>73</v>
      </c>
      <c r="F211" t="s">
        <v>127</v>
      </c>
      <c r="G211" t="s">
        <v>30</v>
      </c>
      <c r="H211" t="s">
        <v>31</v>
      </c>
      <c r="I211" t="s">
        <v>32</v>
      </c>
      <c r="J211" s="1">
        <v>45498</v>
      </c>
      <c r="K211">
        <v>2</v>
      </c>
      <c r="L211">
        <v>48985258</v>
      </c>
      <c r="M211">
        <v>6797962</v>
      </c>
      <c r="N211" t="s">
        <v>34</v>
      </c>
      <c r="O211">
        <v>2.83</v>
      </c>
      <c r="P211">
        <v>2</v>
      </c>
      <c r="Q211">
        <v>3</v>
      </c>
      <c r="R211">
        <v>5</v>
      </c>
      <c r="S211">
        <v>17</v>
      </c>
      <c r="T211" t="s">
        <v>33</v>
      </c>
      <c r="U211" t="s">
        <v>33</v>
      </c>
      <c r="V211" t="s">
        <v>44</v>
      </c>
      <c r="W211" t="s">
        <v>34</v>
      </c>
      <c r="X211" t="s">
        <v>45</v>
      </c>
      <c r="Y211" t="s">
        <v>75</v>
      </c>
      <c r="Z211" t="str">
        <f>IF(Table1[[#This Row],[Age]]&lt;30,"20-29",IF(Table1[[#This Row],[Age]]&lt;40,"30-39",IF(Table1[[#This Row],[Age]]&lt;50,"40-49","50+")))</f>
        <v>30-39</v>
      </c>
      <c r="AA211" t="str">
        <f>IF(Table1[[#This Row],[Salary]]&lt;20000000,"low",IF(Table1[[#This Row],[Salary]]&lt;40000000,"medium","high"))</f>
        <v>high</v>
      </c>
      <c r="AB211">
        <f>YEAR(Table1[[#This Row],[Hire Date]])</f>
        <v>2024</v>
      </c>
      <c r="AC211" t="str">
        <f>TEXT(Table1[[#This Row],[Hire Date]],"mmmm")</f>
        <v>ژوئيه</v>
      </c>
      <c r="AD211" t="str">
        <f>IF(Table1[[#This Row],[Resigned]]="yes","former","active")</f>
        <v>former</v>
      </c>
    </row>
    <row r="212" spans="1:30" x14ac:dyDescent="0.3">
      <c r="A212" t="s">
        <v>489</v>
      </c>
      <c r="B212" t="s">
        <v>490</v>
      </c>
      <c r="C212" t="s">
        <v>27</v>
      </c>
      <c r="D212">
        <v>48</v>
      </c>
      <c r="E212" t="s">
        <v>63</v>
      </c>
      <c r="F212" t="s">
        <v>64</v>
      </c>
      <c r="G212" t="s">
        <v>49</v>
      </c>
      <c r="H212" t="s">
        <v>31</v>
      </c>
      <c r="I212" t="s">
        <v>43</v>
      </c>
      <c r="J212" s="1">
        <v>45789</v>
      </c>
      <c r="K212">
        <v>1</v>
      </c>
      <c r="L212">
        <v>36204822</v>
      </c>
      <c r="M212">
        <v>622089</v>
      </c>
      <c r="N212" t="s">
        <v>33</v>
      </c>
      <c r="O212">
        <v>3.7</v>
      </c>
      <c r="P212">
        <v>18</v>
      </c>
      <c r="Q212">
        <v>5</v>
      </c>
      <c r="R212">
        <v>5</v>
      </c>
      <c r="S212">
        <v>9</v>
      </c>
      <c r="T212" t="s">
        <v>33</v>
      </c>
      <c r="U212" t="s">
        <v>33</v>
      </c>
      <c r="V212" t="s">
        <v>51</v>
      </c>
      <c r="W212" t="s">
        <v>34</v>
      </c>
      <c r="X212" t="s">
        <v>45</v>
      </c>
      <c r="Y212" t="s">
        <v>162</v>
      </c>
      <c r="Z212" t="str">
        <f>IF(Table1[[#This Row],[Age]]&lt;30,"20-29",IF(Table1[[#This Row],[Age]]&lt;40,"30-39",IF(Table1[[#This Row],[Age]]&lt;50,"40-49","50+")))</f>
        <v>40-49</v>
      </c>
      <c r="AA212" t="str">
        <f>IF(Table1[[#This Row],[Salary]]&lt;20000000,"low",IF(Table1[[#This Row],[Salary]]&lt;40000000,"medium","high"))</f>
        <v>medium</v>
      </c>
      <c r="AB212">
        <f>YEAR(Table1[[#This Row],[Hire Date]])</f>
        <v>2025</v>
      </c>
      <c r="AC212" t="str">
        <f>TEXT(Table1[[#This Row],[Hire Date]],"mmmm")</f>
        <v>مه</v>
      </c>
      <c r="AD212" t="str">
        <f>IF(Table1[[#This Row],[Resigned]]="yes","former","active")</f>
        <v>former</v>
      </c>
    </row>
    <row r="213" spans="1:30" x14ac:dyDescent="0.3">
      <c r="A213" t="s">
        <v>491</v>
      </c>
      <c r="B213" t="s">
        <v>492</v>
      </c>
      <c r="C213" t="s">
        <v>27</v>
      </c>
      <c r="D213">
        <v>56</v>
      </c>
      <c r="E213" t="s">
        <v>56</v>
      </c>
      <c r="F213" t="s">
        <v>57</v>
      </c>
      <c r="G213" t="s">
        <v>30</v>
      </c>
      <c r="H213" t="s">
        <v>42</v>
      </c>
      <c r="I213" t="s">
        <v>65</v>
      </c>
      <c r="J213" s="1">
        <v>45023</v>
      </c>
      <c r="K213">
        <v>3</v>
      </c>
      <c r="L213">
        <v>59340094</v>
      </c>
      <c r="M213">
        <v>8446850</v>
      </c>
      <c r="N213" t="s">
        <v>33</v>
      </c>
      <c r="O213">
        <v>4.5</v>
      </c>
      <c r="P213">
        <v>37</v>
      </c>
      <c r="Q213">
        <v>2</v>
      </c>
      <c r="R213">
        <v>5</v>
      </c>
      <c r="S213">
        <v>15</v>
      </c>
      <c r="T213" t="s">
        <v>34</v>
      </c>
      <c r="U213" t="s">
        <v>33</v>
      </c>
      <c r="V213" t="s">
        <v>51</v>
      </c>
      <c r="W213" t="s">
        <v>33</v>
      </c>
      <c r="X213" t="s">
        <v>45</v>
      </c>
      <c r="Y213" t="s">
        <v>162</v>
      </c>
      <c r="Z213" t="str">
        <f>IF(Table1[[#This Row],[Age]]&lt;30,"20-29",IF(Table1[[#This Row],[Age]]&lt;40,"30-39",IF(Table1[[#This Row],[Age]]&lt;50,"40-49","50+")))</f>
        <v>50+</v>
      </c>
      <c r="AA213" t="str">
        <f>IF(Table1[[#This Row],[Salary]]&lt;20000000,"low",IF(Table1[[#This Row],[Salary]]&lt;40000000,"medium","high"))</f>
        <v>high</v>
      </c>
      <c r="AB213">
        <f>YEAR(Table1[[#This Row],[Hire Date]])</f>
        <v>2023</v>
      </c>
      <c r="AC213" t="str">
        <f>TEXT(Table1[[#This Row],[Hire Date]],"mmmm")</f>
        <v>آوريل</v>
      </c>
      <c r="AD213" t="str">
        <f>IF(Table1[[#This Row],[Resigned]]="yes","former","active")</f>
        <v>former</v>
      </c>
    </row>
    <row r="214" spans="1:30" x14ac:dyDescent="0.3">
      <c r="A214" t="s">
        <v>493</v>
      </c>
      <c r="B214" t="s">
        <v>494</v>
      </c>
      <c r="C214" t="s">
        <v>39</v>
      </c>
      <c r="D214">
        <v>22</v>
      </c>
      <c r="E214" t="s">
        <v>110</v>
      </c>
      <c r="F214" t="s">
        <v>111</v>
      </c>
      <c r="G214" t="s">
        <v>58</v>
      </c>
      <c r="H214" t="s">
        <v>31</v>
      </c>
      <c r="I214" t="s">
        <v>43</v>
      </c>
      <c r="J214" s="1">
        <v>43893</v>
      </c>
      <c r="K214">
        <v>6</v>
      </c>
      <c r="L214">
        <v>28011344</v>
      </c>
      <c r="M214">
        <v>4723011</v>
      </c>
      <c r="N214" t="s">
        <v>33</v>
      </c>
      <c r="O214">
        <v>3.11</v>
      </c>
      <c r="P214">
        <v>46</v>
      </c>
      <c r="Q214">
        <v>1</v>
      </c>
      <c r="R214">
        <v>4</v>
      </c>
      <c r="S214">
        <v>1</v>
      </c>
      <c r="T214" t="s">
        <v>34</v>
      </c>
      <c r="U214" t="s">
        <v>34</v>
      </c>
      <c r="V214" t="s">
        <v>35</v>
      </c>
      <c r="W214" t="s">
        <v>33</v>
      </c>
      <c r="X214" t="s">
        <v>36</v>
      </c>
      <c r="Z214" t="str">
        <f>IF(Table1[[#This Row],[Age]]&lt;30,"20-29",IF(Table1[[#This Row],[Age]]&lt;40,"30-39",IF(Table1[[#This Row],[Age]]&lt;50,"40-49","50+")))</f>
        <v>20-29</v>
      </c>
      <c r="AA214" t="str">
        <f>IF(Table1[[#This Row],[Salary]]&lt;20000000,"low",IF(Table1[[#This Row],[Salary]]&lt;40000000,"medium","high"))</f>
        <v>medium</v>
      </c>
      <c r="AB214">
        <f>YEAR(Table1[[#This Row],[Hire Date]])</f>
        <v>2020</v>
      </c>
      <c r="AC214" t="str">
        <f>TEXT(Table1[[#This Row],[Hire Date]],"mmmm")</f>
        <v>مارس</v>
      </c>
      <c r="AD214" t="str">
        <f>IF(Table1[[#This Row],[Resigned]]="yes","former","active")</f>
        <v>active</v>
      </c>
    </row>
    <row r="215" spans="1:30" x14ac:dyDescent="0.3">
      <c r="A215" t="s">
        <v>495</v>
      </c>
      <c r="B215" t="s">
        <v>496</v>
      </c>
      <c r="C215" t="s">
        <v>27</v>
      </c>
      <c r="D215">
        <v>43</v>
      </c>
      <c r="E215" t="s">
        <v>63</v>
      </c>
      <c r="F215" t="s">
        <v>93</v>
      </c>
      <c r="G215" t="s">
        <v>49</v>
      </c>
      <c r="H215" t="s">
        <v>31</v>
      </c>
      <c r="I215" t="s">
        <v>65</v>
      </c>
      <c r="J215" s="1">
        <v>43509</v>
      </c>
      <c r="K215">
        <v>7</v>
      </c>
      <c r="L215">
        <v>26482734</v>
      </c>
      <c r="M215">
        <v>2127739</v>
      </c>
      <c r="N215" t="s">
        <v>33</v>
      </c>
      <c r="O215">
        <v>3.67</v>
      </c>
      <c r="P215">
        <v>39</v>
      </c>
      <c r="Q215">
        <v>3</v>
      </c>
      <c r="R215">
        <v>3</v>
      </c>
      <c r="S215">
        <v>17</v>
      </c>
      <c r="T215" t="s">
        <v>34</v>
      </c>
      <c r="U215" t="s">
        <v>34</v>
      </c>
      <c r="V215" t="s">
        <v>44</v>
      </c>
      <c r="W215" t="s">
        <v>34</v>
      </c>
      <c r="X215" t="s">
        <v>45</v>
      </c>
      <c r="Z215" t="str">
        <f>IF(Table1[[#This Row],[Age]]&lt;30,"20-29",IF(Table1[[#This Row],[Age]]&lt;40,"30-39",IF(Table1[[#This Row],[Age]]&lt;50,"40-49","50+")))</f>
        <v>40-49</v>
      </c>
      <c r="AA215" t="str">
        <f>IF(Table1[[#This Row],[Salary]]&lt;20000000,"low",IF(Table1[[#This Row],[Salary]]&lt;40000000,"medium","high"))</f>
        <v>medium</v>
      </c>
      <c r="AB215">
        <f>YEAR(Table1[[#This Row],[Hire Date]])</f>
        <v>2019</v>
      </c>
      <c r="AC215" t="str">
        <f>TEXT(Table1[[#This Row],[Hire Date]],"mmmm")</f>
        <v>فوريه</v>
      </c>
      <c r="AD215" t="str">
        <f>IF(Table1[[#This Row],[Resigned]]="yes","former","active")</f>
        <v>active</v>
      </c>
    </row>
    <row r="216" spans="1:30" x14ac:dyDescent="0.3">
      <c r="A216" t="s">
        <v>497</v>
      </c>
      <c r="B216" t="s">
        <v>498</v>
      </c>
      <c r="C216" t="s">
        <v>27</v>
      </c>
      <c r="D216">
        <v>22</v>
      </c>
      <c r="E216" t="s">
        <v>56</v>
      </c>
      <c r="F216" t="s">
        <v>57</v>
      </c>
      <c r="G216" t="s">
        <v>49</v>
      </c>
      <c r="H216" t="s">
        <v>42</v>
      </c>
      <c r="I216" t="s">
        <v>32</v>
      </c>
      <c r="J216" s="1">
        <v>45720</v>
      </c>
      <c r="K216">
        <v>1</v>
      </c>
      <c r="L216">
        <v>39545026</v>
      </c>
      <c r="M216">
        <v>8805303</v>
      </c>
      <c r="N216" t="s">
        <v>33</v>
      </c>
      <c r="O216">
        <v>4.43</v>
      </c>
      <c r="P216">
        <v>64</v>
      </c>
      <c r="Q216">
        <v>5</v>
      </c>
      <c r="R216">
        <v>5</v>
      </c>
      <c r="S216">
        <v>8</v>
      </c>
      <c r="T216" t="s">
        <v>34</v>
      </c>
      <c r="U216" t="s">
        <v>33</v>
      </c>
      <c r="V216" t="s">
        <v>35</v>
      </c>
      <c r="W216" t="s">
        <v>34</v>
      </c>
      <c r="X216" t="s">
        <v>45</v>
      </c>
      <c r="Y216" t="s">
        <v>162</v>
      </c>
      <c r="Z216" t="str">
        <f>IF(Table1[[#This Row],[Age]]&lt;30,"20-29",IF(Table1[[#This Row],[Age]]&lt;40,"30-39",IF(Table1[[#This Row],[Age]]&lt;50,"40-49","50+")))</f>
        <v>20-29</v>
      </c>
      <c r="AA216" t="str">
        <f>IF(Table1[[#This Row],[Salary]]&lt;20000000,"low",IF(Table1[[#This Row],[Salary]]&lt;40000000,"medium","high"))</f>
        <v>medium</v>
      </c>
      <c r="AB216">
        <f>YEAR(Table1[[#This Row],[Hire Date]])</f>
        <v>2025</v>
      </c>
      <c r="AC216" t="str">
        <f>TEXT(Table1[[#This Row],[Hire Date]],"mmmm")</f>
        <v>مارس</v>
      </c>
      <c r="AD216" t="str">
        <f>IF(Table1[[#This Row],[Resigned]]="yes","former","active")</f>
        <v>former</v>
      </c>
    </row>
    <row r="217" spans="1:30" x14ac:dyDescent="0.3">
      <c r="A217" t="s">
        <v>499</v>
      </c>
      <c r="B217" t="s">
        <v>500</v>
      </c>
      <c r="C217" t="s">
        <v>27</v>
      </c>
      <c r="D217">
        <v>46</v>
      </c>
      <c r="E217" t="s">
        <v>40</v>
      </c>
      <c r="F217" t="s">
        <v>41</v>
      </c>
      <c r="G217" t="s">
        <v>58</v>
      </c>
      <c r="H217" t="s">
        <v>31</v>
      </c>
      <c r="I217" t="s">
        <v>65</v>
      </c>
      <c r="J217" s="1">
        <v>42578</v>
      </c>
      <c r="K217">
        <v>10</v>
      </c>
      <c r="L217">
        <v>27274696</v>
      </c>
      <c r="M217">
        <v>8881006</v>
      </c>
      <c r="N217" t="s">
        <v>34</v>
      </c>
      <c r="O217">
        <v>4.6100000000000003</v>
      </c>
      <c r="P217">
        <v>13</v>
      </c>
      <c r="Q217">
        <v>4</v>
      </c>
      <c r="R217">
        <v>1</v>
      </c>
      <c r="S217">
        <v>17</v>
      </c>
      <c r="T217" t="s">
        <v>34</v>
      </c>
      <c r="U217" t="s">
        <v>34</v>
      </c>
      <c r="V217" t="s">
        <v>35</v>
      </c>
      <c r="W217" t="s">
        <v>34</v>
      </c>
      <c r="X217" t="s">
        <v>52</v>
      </c>
      <c r="Z217" t="str">
        <f>IF(Table1[[#This Row],[Age]]&lt;30,"20-29",IF(Table1[[#This Row],[Age]]&lt;40,"30-39",IF(Table1[[#This Row],[Age]]&lt;50,"40-49","50+")))</f>
        <v>40-49</v>
      </c>
      <c r="AA217" t="str">
        <f>IF(Table1[[#This Row],[Salary]]&lt;20000000,"low",IF(Table1[[#This Row],[Salary]]&lt;40000000,"medium","high"))</f>
        <v>medium</v>
      </c>
      <c r="AB217">
        <f>YEAR(Table1[[#This Row],[Hire Date]])</f>
        <v>2016</v>
      </c>
      <c r="AC217" t="str">
        <f>TEXT(Table1[[#This Row],[Hire Date]],"mmmm")</f>
        <v>ژوئيه</v>
      </c>
      <c r="AD217" t="str">
        <f>IF(Table1[[#This Row],[Resigned]]="yes","former","active")</f>
        <v>active</v>
      </c>
    </row>
    <row r="218" spans="1:30" x14ac:dyDescent="0.3">
      <c r="A218" t="s">
        <v>501</v>
      </c>
      <c r="B218" t="s">
        <v>502</v>
      </c>
      <c r="C218" t="s">
        <v>39</v>
      </c>
      <c r="D218">
        <v>48</v>
      </c>
      <c r="E218" t="s">
        <v>73</v>
      </c>
      <c r="F218" t="s">
        <v>74</v>
      </c>
      <c r="G218" t="s">
        <v>30</v>
      </c>
      <c r="H218" t="s">
        <v>42</v>
      </c>
      <c r="I218" t="s">
        <v>65</v>
      </c>
      <c r="J218" s="1">
        <v>43363</v>
      </c>
      <c r="K218">
        <v>8</v>
      </c>
      <c r="L218">
        <v>30539591</v>
      </c>
      <c r="M218">
        <v>9031569</v>
      </c>
      <c r="N218" t="s">
        <v>33</v>
      </c>
      <c r="O218">
        <v>4.1500000000000004</v>
      </c>
      <c r="P218">
        <v>60</v>
      </c>
      <c r="Q218">
        <v>2</v>
      </c>
      <c r="R218">
        <v>5</v>
      </c>
      <c r="S218">
        <v>18</v>
      </c>
      <c r="T218" t="s">
        <v>33</v>
      </c>
      <c r="U218" t="s">
        <v>34</v>
      </c>
      <c r="V218" t="s">
        <v>51</v>
      </c>
      <c r="W218" t="s">
        <v>33</v>
      </c>
      <c r="X218" t="s">
        <v>52</v>
      </c>
      <c r="Z218" t="str">
        <f>IF(Table1[[#This Row],[Age]]&lt;30,"20-29",IF(Table1[[#This Row],[Age]]&lt;40,"30-39",IF(Table1[[#This Row],[Age]]&lt;50,"40-49","50+")))</f>
        <v>40-49</v>
      </c>
      <c r="AA218" t="str">
        <f>IF(Table1[[#This Row],[Salary]]&lt;20000000,"low",IF(Table1[[#This Row],[Salary]]&lt;40000000,"medium","high"))</f>
        <v>medium</v>
      </c>
      <c r="AB218">
        <f>YEAR(Table1[[#This Row],[Hire Date]])</f>
        <v>2018</v>
      </c>
      <c r="AC218" t="str">
        <f>TEXT(Table1[[#This Row],[Hire Date]],"mmmm")</f>
        <v>سپتامبر</v>
      </c>
      <c r="AD218" t="str">
        <f>IF(Table1[[#This Row],[Resigned]]="yes","former","active")</f>
        <v>active</v>
      </c>
    </row>
    <row r="219" spans="1:30" x14ac:dyDescent="0.3">
      <c r="A219" t="s">
        <v>503</v>
      </c>
      <c r="B219" t="s">
        <v>504</v>
      </c>
      <c r="C219" t="s">
        <v>27</v>
      </c>
      <c r="D219">
        <v>55</v>
      </c>
      <c r="E219" t="s">
        <v>110</v>
      </c>
      <c r="F219" t="s">
        <v>120</v>
      </c>
      <c r="G219" t="s">
        <v>58</v>
      </c>
      <c r="H219" t="s">
        <v>31</v>
      </c>
      <c r="I219" t="s">
        <v>65</v>
      </c>
      <c r="J219" s="1">
        <v>45186</v>
      </c>
      <c r="K219">
        <v>3</v>
      </c>
      <c r="L219">
        <v>30354902</v>
      </c>
      <c r="M219">
        <v>1243448</v>
      </c>
      <c r="N219" t="s">
        <v>34</v>
      </c>
      <c r="O219">
        <v>3.87</v>
      </c>
      <c r="P219">
        <v>48</v>
      </c>
      <c r="Q219">
        <v>5</v>
      </c>
      <c r="R219">
        <v>4</v>
      </c>
      <c r="S219">
        <v>12</v>
      </c>
      <c r="T219" t="s">
        <v>33</v>
      </c>
      <c r="U219" t="s">
        <v>34</v>
      </c>
      <c r="V219" t="s">
        <v>35</v>
      </c>
      <c r="W219" t="s">
        <v>34</v>
      </c>
      <c r="X219" t="s">
        <v>45</v>
      </c>
      <c r="Z219" t="str">
        <f>IF(Table1[[#This Row],[Age]]&lt;30,"20-29",IF(Table1[[#This Row],[Age]]&lt;40,"30-39",IF(Table1[[#This Row],[Age]]&lt;50,"40-49","50+")))</f>
        <v>50+</v>
      </c>
      <c r="AA219" t="str">
        <f>IF(Table1[[#This Row],[Salary]]&lt;20000000,"low",IF(Table1[[#This Row],[Salary]]&lt;40000000,"medium","high"))</f>
        <v>medium</v>
      </c>
      <c r="AB219">
        <f>YEAR(Table1[[#This Row],[Hire Date]])</f>
        <v>2023</v>
      </c>
      <c r="AC219" t="str">
        <f>TEXT(Table1[[#This Row],[Hire Date]],"mmmm")</f>
        <v>سپتامبر</v>
      </c>
      <c r="AD219" t="str">
        <f>IF(Table1[[#This Row],[Resigned]]="yes","former","active")</f>
        <v>active</v>
      </c>
    </row>
    <row r="220" spans="1:30" x14ac:dyDescent="0.3">
      <c r="A220" t="s">
        <v>505</v>
      </c>
      <c r="B220" t="s">
        <v>506</v>
      </c>
      <c r="C220" t="s">
        <v>27</v>
      </c>
      <c r="D220">
        <v>35</v>
      </c>
      <c r="E220" t="s">
        <v>63</v>
      </c>
      <c r="F220" t="s">
        <v>93</v>
      </c>
      <c r="G220" t="s">
        <v>30</v>
      </c>
      <c r="H220" t="s">
        <v>42</v>
      </c>
      <c r="I220" t="s">
        <v>43</v>
      </c>
      <c r="J220" s="1">
        <v>45490</v>
      </c>
      <c r="K220">
        <v>2</v>
      </c>
      <c r="L220">
        <v>45927541</v>
      </c>
      <c r="M220">
        <v>176163</v>
      </c>
      <c r="N220" t="s">
        <v>33</v>
      </c>
      <c r="O220">
        <v>3.7</v>
      </c>
      <c r="P220">
        <v>5</v>
      </c>
      <c r="Q220">
        <v>5</v>
      </c>
      <c r="R220">
        <v>4</v>
      </c>
      <c r="S220">
        <v>15</v>
      </c>
      <c r="T220" t="s">
        <v>34</v>
      </c>
      <c r="U220" t="s">
        <v>34</v>
      </c>
      <c r="V220" t="s">
        <v>70</v>
      </c>
      <c r="W220" t="s">
        <v>33</v>
      </c>
      <c r="X220" t="s">
        <v>45</v>
      </c>
      <c r="Z220" t="str">
        <f>IF(Table1[[#This Row],[Age]]&lt;30,"20-29",IF(Table1[[#This Row],[Age]]&lt;40,"30-39",IF(Table1[[#This Row],[Age]]&lt;50,"40-49","50+")))</f>
        <v>30-39</v>
      </c>
      <c r="AA220" t="str">
        <f>IF(Table1[[#This Row],[Salary]]&lt;20000000,"low",IF(Table1[[#This Row],[Salary]]&lt;40000000,"medium","high"))</f>
        <v>high</v>
      </c>
      <c r="AB220">
        <f>YEAR(Table1[[#This Row],[Hire Date]])</f>
        <v>2024</v>
      </c>
      <c r="AC220" t="str">
        <f>TEXT(Table1[[#This Row],[Hire Date]],"mmmm")</f>
        <v>ژوئيه</v>
      </c>
      <c r="AD220" t="str">
        <f>IF(Table1[[#This Row],[Resigned]]="yes","former","active")</f>
        <v>active</v>
      </c>
    </row>
    <row r="221" spans="1:30" x14ac:dyDescent="0.3">
      <c r="A221" t="s">
        <v>507</v>
      </c>
      <c r="B221" t="s">
        <v>508</v>
      </c>
      <c r="C221" t="s">
        <v>39</v>
      </c>
      <c r="D221">
        <v>44</v>
      </c>
      <c r="E221" t="s">
        <v>28</v>
      </c>
      <c r="F221" t="s">
        <v>80</v>
      </c>
      <c r="G221" t="s">
        <v>58</v>
      </c>
      <c r="H221" t="s">
        <v>31</v>
      </c>
      <c r="I221" t="s">
        <v>50</v>
      </c>
      <c r="J221" s="1">
        <v>44384</v>
      </c>
      <c r="K221">
        <v>5</v>
      </c>
      <c r="L221">
        <v>18198777</v>
      </c>
      <c r="M221">
        <v>7858047</v>
      </c>
      <c r="N221" t="s">
        <v>34</v>
      </c>
      <c r="O221">
        <v>3.15</v>
      </c>
      <c r="P221">
        <v>73</v>
      </c>
      <c r="Q221">
        <v>3</v>
      </c>
      <c r="R221">
        <v>3</v>
      </c>
      <c r="S221">
        <v>2</v>
      </c>
      <c r="T221" t="s">
        <v>33</v>
      </c>
      <c r="U221" t="s">
        <v>33</v>
      </c>
      <c r="V221" t="s">
        <v>51</v>
      </c>
      <c r="W221" t="s">
        <v>33</v>
      </c>
      <c r="X221" t="s">
        <v>52</v>
      </c>
      <c r="Y221" t="s">
        <v>53</v>
      </c>
      <c r="Z221" t="str">
        <f>IF(Table1[[#This Row],[Age]]&lt;30,"20-29",IF(Table1[[#This Row],[Age]]&lt;40,"30-39",IF(Table1[[#This Row],[Age]]&lt;50,"40-49","50+")))</f>
        <v>40-49</v>
      </c>
      <c r="AA221" t="str">
        <f>IF(Table1[[#This Row],[Salary]]&lt;20000000,"low",IF(Table1[[#This Row],[Salary]]&lt;40000000,"medium","high"))</f>
        <v>low</v>
      </c>
      <c r="AB221">
        <f>YEAR(Table1[[#This Row],[Hire Date]])</f>
        <v>2021</v>
      </c>
      <c r="AC221" t="str">
        <f>TEXT(Table1[[#This Row],[Hire Date]],"mmmm")</f>
        <v>ژوئيه</v>
      </c>
      <c r="AD221" t="str">
        <f>IF(Table1[[#This Row],[Resigned]]="yes","former","active")</f>
        <v>former</v>
      </c>
    </row>
    <row r="222" spans="1:30" x14ac:dyDescent="0.3">
      <c r="A222" t="s">
        <v>509</v>
      </c>
      <c r="B222" t="s">
        <v>510</v>
      </c>
      <c r="C222" t="s">
        <v>27</v>
      </c>
      <c r="D222">
        <v>53</v>
      </c>
      <c r="E222" t="s">
        <v>56</v>
      </c>
      <c r="F222" t="s">
        <v>57</v>
      </c>
      <c r="G222" t="s">
        <v>58</v>
      </c>
      <c r="H222" t="s">
        <v>31</v>
      </c>
      <c r="I222" t="s">
        <v>65</v>
      </c>
      <c r="J222" s="1">
        <v>45042</v>
      </c>
      <c r="K222">
        <v>3</v>
      </c>
      <c r="L222">
        <v>42107886</v>
      </c>
      <c r="M222">
        <v>8385331</v>
      </c>
      <c r="N222" t="s">
        <v>34</v>
      </c>
      <c r="O222">
        <v>3.22</v>
      </c>
      <c r="P222">
        <v>20</v>
      </c>
      <c r="Q222">
        <v>2</v>
      </c>
      <c r="R222">
        <v>1</v>
      </c>
      <c r="S222">
        <v>4</v>
      </c>
      <c r="T222" t="s">
        <v>33</v>
      </c>
      <c r="U222" t="s">
        <v>34</v>
      </c>
      <c r="V222" t="s">
        <v>59</v>
      </c>
      <c r="W222" t="s">
        <v>33</v>
      </c>
      <c r="X222" t="s">
        <v>45</v>
      </c>
      <c r="Z222" t="str">
        <f>IF(Table1[[#This Row],[Age]]&lt;30,"20-29",IF(Table1[[#This Row],[Age]]&lt;40,"30-39",IF(Table1[[#This Row],[Age]]&lt;50,"40-49","50+")))</f>
        <v>50+</v>
      </c>
      <c r="AA222" t="str">
        <f>IF(Table1[[#This Row],[Salary]]&lt;20000000,"low",IF(Table1[[#This Row],[Salary]]&lt;40000000,"medium","high"))</f>
        <v>high</v>
      </c>
      <c r="AB222">
        <f>YEAR(Table1[[#This Row],[Hire Date]])</f>
        <v>2023</v>
      </c>
      <c r="AC222" t="str">
        <f>TEXT(Table1[[#This Row],[Hire Date]],"mmmm")</f>
        <v>آوريل</v>
      </c>
      <c r="AD222" t="str">
        <f>IF(Table1[[#This Row],[Resigned]]="yes","former","active")</f>
        <v>active</v>
      </c>
    </row>
    <row r="223" spans="1:30" x14ac:dyDescent="0.3">
      <c r="A223" t="s">
        <v>511</v>
      </c>
      <c r="B223" t="s">
        <v>512</v>
      </c>
      <c r="C223" t="s">
        <v>39</v>
      </c>
      <c r="D223">
        <v>34</v>
      </c>
      <c r="E223" t="s">
        <v>73</v>
      </c>
      <c r="F223" t="s">
        <v>74</v>
      </c>
      <c r="G223" t="s">
        <v>49</v>
      </c>
      <c r="H223" t="s">
        <v>31</v>
      </c>
      <c r="I223" t="s">
        <v>43</v>
      </c>
      <c r="J223" s="1">
        <v>45099</v>
      </c>
      <c r="K223">
        <v>3</v>
      </c>
      <c r="L223">
        <v>46912213</v>
      </c>
      <c r="M223">
        <v>9990369</v>
      </c>
      <c r="N223" t="s">
        <v>34</v>
      </c>
      <c r="O223">
        <v>4.5</v>
      </c>
      <c r="P223">
        <v>14</v>
      </c>
      <c r="Q223">
        <v>4</v>
      </c>
      <c r="R223">
        <v>4</v>
      </c>
      <c r="S223">
        <v>20</v>
      </c>
      <c r="T223" t="s">
        <v>33</v>
      </c>
      <c r="U223" t="s">
        <v>34</v>
      </c>
      <c r="V223" t="s">
        <v>51</v>
      </c>
      <c r="W223" t="s">
        <v>33</v>
      </c>
      <c r="X223" t="s">
        <v>45</v>
      </c>
      <c r="Z223" t="str">
        <f>IF(Table1[[#This Row],[Age]]&lt;30,"20-29",IF(Table1[[#This Row],[Age]]&lt;40,"30-39",IF(Table1[[#This Row],[Age]]&lt;50,"40-49","50+")))</f>
        <v>30-39</v>
      </c>
      <c r="AA223" t="str">
        <f>IF(Table1[[#This Row],[Salary]]&lt;20000000,"low",IF(Table1[[#This Row],[Salary]]&lt;40000000,"medium","high"))</f>
        <v>high</v>
      </c>
      <c r="AB223">
        <f>YEAR(Table1[[#This Row],[Hire Date]])</f>
        <v>2023</v>
      </c>
      <c r="AC223" t="str">
        <f>TEXT(Table1[[#This Row],[Hire Date]],"mmmm")</f>
        <v>ژوئن</v>
      </c>
      <c r="AD223" t="str">
        <f>IF(Table1[[#This Row],[Resigned]]="yes","former","active")</f>
        <v>active</v>
      </c>
    </row>
    <row r="224" spans="1:30" x14ac:dyDescent="0.3">
      <c r="A224" t="s">
        <v>513</v>
      </c>
      <c r="B224" t="s">
        <v>514</v>
      </c>
      <c r="C224" t="s">
        <v>39</v>
      </c>
      <c r="D224">
        <v>43</v>
      </c>
      <c r="E224" t="s">
        <v>63</v>
      </c>
      <c r="F224" t="s">
        <v>93</v>
      </c>
      <c r="G224" t="s">
        <v>49</v>
      </c>
      <c r="H224" t="s">
        <v>42</v>
      </c>
      <c r="I224" t="s">
        <v>43</v>
      </c>
      <c r="J224" s="1">
        <v>44550</v>
      </c>
      <c r="K224">
        <v>5</v>
      </c>
      <c r="L224">
        <v>46029006</v>
      </c>
      <c r="M224">
        <v>7134246</v>
      </c>
      <c r="N224" t="s">
        <v>33</v>
      </c>
      <c r="O224">
        <v>4.95</v>
      </c>
      <c r="P224">
        <v>47</v>
      </c>
      <c r="Q224">
        <v>5</v>
      </c>
      <c r="R224">
        <v>2</v>
      </c>
      <c r="S224">
        <v>20</v>
      </c>
      <c r="T224" t="s">
        <v>34</v>
      </c>
      <c r="U224" t="s">
        <v>33</v>
      </c>
      <c r="V224" t="s">
        <v>35</v>
      </c>
      <c r="W224" t="s">
        <v>34</v>
      </c>
      <c r="X224" t="s">
        <v>36</v>
      </c>
      <c r="Y224" t="s">
        <v>162</v>
      </c>
      <c r="Z224" t="str">
        <f>IF(Table1[[#This Row],[Age]]&lt;30,"20-29",IF(Table1[[#This Row],[Age]]&lt;40,"30-39",IF(Table1[[#This Row],[Age]]&lt;50,"40-49","50+")))</f>
        <v>40-49</v>
      </c>
      <c r="AA224" t="str">
        <f>IF(Table1[[#This Row],[Salary]]&lt;20000000,"low",IF(Table1[[#This Row],[Salary]]&lt;40000000,"medium","high"))</f>
        <v>high</v>
      </c>
      <c r="AB224">
        <f>YEAR(Table1[[#This Row],[Hire Date]])</f>
        <v>2021</v>
      </c>
      <c r="AC224" t="str">
        <f>TEXT(Table1[[#This Row],[Hire Date]],"mmmm")</f>
        <v>دسامبر</v>
      </c>
      <c r="AD224" t="str">
        <f>IF(Table1[[#This Row],[Resigned]]="yes","former","active")</f>
        <v>former</v>
      </c>
    </row>
    <row r="225" spans="1:30" x14ac:dyDescent="0.3">
      <c r="A225" t="s">
        <v>515</v>
      </c>
      <c r="B225" t="s">
        <v>516</v>
      </c>
      <c r="C225" t="s">
        <v>39</v>
      </c>
      <c r="D225">
        <v>25</v>
      </c>
      <c r="E225" t="s">
        <v>56</v>
      </c>
      <c r="F225" t="s">
        <v>57</v>
      </c>
      <c r="G225" t="s">
        <v>49</v>
      </c>
      <c r="H225" t="s">
        <v>42</v>
      </c>
      <c r="I225" t="s">
        <v>43</v>
      </c>
      <c r="J225" s="1">
        <v>43391</v>
      </c>
      <c r="K225">
        <v>8</v>
      </c>
      <c r="L225">
        <v>37099192</v>
      </c>
      <c r="M225">
        <v>1948224</v>
      </c>
      <c r="N225" t="s">
        <v>34</v>
      </c>
      <c r="O225">
        <v>4.95</v>
      </c>
      <c r="P225">
        <v>5</v>
      </c>
      <c r="Q225">
        <v>4</v>
      </c>
      <c r="R225">
        <v>3</v>
      </c>
      <c r="S225">
        <v>15</v>
      </c>
      <c r="T225" t="s">
        <v>34</v>
      </c>
      <c r="U225" t="s">
        <v>34</v>
      </c>
      <c r="V225" t="s">
        <v>70</v>
      </c>
      <c r="W225" t="s">
        <v>34</v>
      </c>
      <c r="X225" t="s">
        <v>36</v>
      </c>
      <c r="Z225" t="str">
        <f>IF(Table1[[#This Row],[Age]]&lt;30,"20-29",IF(Table1[[#This Row],[Age]]&lt;40,"30-39",IF(Table1[[#This Row],[Age]]&lt;50,"40-49","50+")))</f>
        <v>20-29</v>
      </c>
      <c r="AA225" t="str">
        <f>IF(Table1[[#This Row],[Salary]]&lt;20000000,"low",IF(Table1[[#This Row],[Salary]]&lt;40000000,"medium","high"))</f>
        <v>medium</v>
      </c>
      <c r="AB225">
        <f>YEAR(Table1[[#This Row],[Hire Date]])</f>
        <v>2018</v>
      </c>
      <c r="AC225" t="str">
        <f>TEXT(Table1[[#This Row],[Hire Date]],"mmmm")</f>
        <v>اُكتبر</v>
      </c>
      <c r="AD225" t="str">
        <f>IF(Table1[[#This Row],[Resigned]]="yes","former","active")</f>
        <v>active</v>
      </c>
    </row>
    <row r="226" spans="1:30" x14ac:dyDescent="0.3">
      <c r="A226" t="s">
        <v>517</v>
      </c>
      <c r="B226" t="s">
        <v>518</v>
      </c>
      <c r="C226" t="s">
        <v>39</v>
      </c>
      <c r="D226">
        <v>44</v>
      </c>
      <c r="E226" t="s">
        <v>63</v>
      </c>
      <c r="F226" t="s">
        <v>64</v>
      </c>
      <c r="G226" t="s">
        <v>49</v>
      </c>
      <c r="H226" t="s">
        <v>42</v>
      </c>
      <c r="I226" t="s">
        <v>43</v>
      </c>
      <c r="J226" s="1">
        <v>45866</v>
      </c>
      <c r="K226">
        <v>1</v>
      </c>
      <c r="L226">
        <v>49186986</v>
      </c>
      <c r="M226">
        <v>454656</v>
      </c>
      <c r="N226" t="s">
        <v>34</v>
      </c>
      <c r="O226">
        <v>3.91</v>
      </c>
      <c r="P226">
        <v>10</v>
      </c>
      <c r="Q226">
        <v>1</v>
      </c>
      <c r="R226">
        <v>3</v>
      </c>
      <c r="S226">
        <v>10</v>
      </c>
      <c r="T226" t="s">
        <v>34</v>
      </c>
      <c r="U226" t="s">
        <v>34</v>
      </c>
      <c r="V226" t="s">
        <v>59</v>
      </c>
      <c r="W226" t="s">
        <v>33</v>
      </c>
      <c r="X226" t="s">
        <v>36</v>
      </c>
      <c r="Z226" t="str">
        <f>IF(Table1[[#This Row],[Age]]&lt;30,"20-29",IF(Table1[[#This Row],[Age]]&lt;40,"30-39",IF(Table1[[#This Row],[Age]]&lt;50,"40-49","50+")))</f>
        <v>40-49</v>
      </c>
      <c r="AA226" t="str">
        <f>IF(Table1[[#This Row],[Salary]]&lt;20000000,"low",IF(Table1[[#This Row],[Salary]]&lt;40000000,"medium","high"))</f>
        <v>high</v>
      </c>
      <c r="AB226">
        <f>YEAR(Table1[[#This Row],[Hire Date]])</f>
        <v>2025</v>
      </c>
      <c r="AC226" t="str">
        <f>TEXT(Table1[[#This Row],[Hire Date]],"mmmm")</f>
        <v>ژوئيه</v>
      </c>
      <c r="AD226" t="str">
        <f>IF(Table1[[#This Row],[Resigned]]="yes","former","active")</f>
        <v>active</v>
      </c>
    </row>
    <row r="227" spans="1:30" x14ac:dyDescent="0.3">
      <c r="A227" t="s">
        <v>519</v>
      </c>
      <c r="B227" t="s">
        <v>520</v>
      </c>
      <c r="C227" t="s">
        <v>27</v>
      </c>
      <c r="D227">
        <v>32</v>
      </c>
      <c r="E227" t="s">
        <v>56</v>
      </c>
      <c r="F227" t="s">
        <v>84</v>
      </c>
      <c r="G227" t="s">
        <v>49</v>
      </c>
      <c r="H227" t="s">
        <v>31</v>
      </c>
      <c r="I227" t="s">
        <v>50</v>
      </c>
      <c r="J227" s="1">
        <v>44099</v>
      </c>
      <c r="K227">
        <v>6</v>
      </c>
      <c r="L227">
        <v>52108784</v>
      </c>
      <c r="M227">
        <v>291258</v>
      </c>
      <c r="N227" t="s">
        <v>34</v>
      </c>
      <c r="O227">
        <v>4.9800000000000004</v>
      </c>
      <c r="P227">
        <v>77</v>
      </c>
      <c r="Q227">
        <v>5</v>
      </c>
      <c r="R227">
        <v>2</v>
      </c>
      <c r="S227">
        <v>16</v>
      </c>
      <c r="T227" t="s">
        <v>33</v>
      </c>
      <c r="U227" t="s">
        <v>34</v>
      </c>
      <c r="V227" t="s">
        <v>59</v>
      </c>
      <c r="W227" t="s">
        <v>33</v>
      </c>
      <c r="X227" t="s">
        <v>52</v>
      </c>
      <c r="Z227" t="str">
        <f>IF(Table1[[#This Row],[Age]]&lt;30,"20-29",IF(Table1[[#This Row],[Age]]&lt;40,"30-39",IF(Table1[[#This Row],[Age]]&lt;50,"40-49","50+")))</f>
        <v>30-39</v>
      </c>
      <c r="AA227" t="str">
        <f>IF(Table1[[#This Row],[Salary]]&lt;20000000,"low",IF(Table1[[#This Row],[Salary]]&lt;40000000,"medium","high"))</f>
        <v>high</v>
      </c>
      <c r="AB227">
        <f>YEAR(Table1[[#This Row],[Hire Date]])</f>
        <v>2020</v>
      </c>
      <c r="AC227" t="str">
        <f>TEXT(Table1[[#This Row],[Hire Date]],"mmmm")</f>
        <v>سپتامبر</v>
      </c>
      <c r="AD227" t="str">
        <f>IF(Table1[[#This Row],[Resigned]]="yes","former","active")</f>
        <v>active</v>
      </c>
    </row>
    <row r="228" spans="1:30" x14ac:dyDescent="0.3">
      <c r="A228" t="s">
        <v>521</v>
      </c>
      <c r="B228" t="s">
        <v>522</v>
      </c>
      <c r="C228" t="s">
        <v>27</v>
      </c>
      <c r="D228">
        <v>53</v>
      </c>
      <c r="E228" t="s">
        <v>73</v>
      </c>
      <c r="F228" t="s">
        <v>74</v>
      </c>
      <c r="G228" t="s">
        <v>49</v>
      </c>
      <c r="H228" t="s">
        <v>42</v>
      </c>
      <c r="I228" t="s">
        <v>65</v>
      </c>
      <c r="J228" s="1">
        <v>43707</v>
      </c>
      <c r="K228">
        <v>7</v>
      </c>
      <c r="L228">
        <v>22451809</v>
      </c>
      <c r="M228">
        <v>5495366</v>
      </c>
      <c r="N228" t="s">
        <v>34</v>
      </c>
      <c r="O228">
        <v>4.26</v>
      </c>
      <c r="P228">
        <v>70</v>
      </c>
      <c r="Q228">
        <v>3</v>
      </c>
      <c r="R228">
        <v>4</v>
      </c>
      <c r="S228">
        <v>14</v>
      </c>
      <c r="T228" t="s">
        <v>34</v>
      </c>
      <c r="U228" t="s">
        <v>34</v>
      </c>
      <c r="V228" t="s">
        <v>70</v>
      </c>
      <c r="W228" t="s">
        <v>34</v>
      </c>
      <c r="X228" t="s">
        <v>52</v>
      </c>
      <c r="Z228" t="str">
        <f>IF(Table1[[#This Row],[Age]]&lt;30,"20-29",IF(Table1[[#This Row],[Age]]&lt;40,"30-39",IF(Table1[[#This Row],[Age]]&lt;50,"40-49","50+")))</f>
        <v>50+</v>
      </c>
      <c r="AA228" t="str">
        <f>IF(Table1[[#This Row],[Salary]]&lt;20000000,"low",IF(Table1[[#This Row],[Salary]]&lt;40000000,"medium","high"))</f>
        <v>medium</v>
      </c>
      <c r="AB228">
        <f>YEAR(Table1[[#This Row],[Hire Date]])</f>
        <v>2019</v>
      </c>
      <c r="AC228" t="str">
        <f>TEXT(Table1[[#This Row],[Hire Date]],"mmmm")</f>
        <v>اوت</v>
      </c>
      <c r="AD228" t="str">
        <f>IF(Table1[[#This Row],[Resigned]]="yes","former","active")</f>
        <v>active</v>
      </c>
    </row>
    <row r="229" spans="1:30" x14ac:dyDescent="0.3">
      <c r="A229" t="s">
        <v>523</v>
      </c>
      <c r="B229" t="s">
        <v>524</v>
      </c>
      <c r="C229" t="s">
        <v>27</v>
      </c>
      <c r="D229">
        <v>23</v>
      </c>
      <c r="E229" t="s">
        <v>40</v>
      </c>
      <c r="F229" t="s">
        <v>48</v>
      </c>
      <c r="G229" t="s">
        <v>58</v>
      </c>
      <c r="H229" t="s">
        <v>31</v>
      </c>
      <c r="I229" t="s">
        <v>65</v>
      </c>
      <c r="J229" s="1">
        <v>44906</v>
      </c>
      <c r="K229">
        <v>4</v>
      </c>
      <c r="L229">
        <v>43895071</v>
      </c>
      <c r="M229">
        <v>8423454</v>
      </c>
      <c r="N229" t="s">
        <v>34</v>
      </c>
      <c r="O229">
        <v>3.81</v>
      </c>
      <c r="P229">
        <v>10</v>
      </c>
      <c r="Q229">
        <v>4</v>
      </c>
      <c r="R229">
        <v>1</v>
      </c>
      <c r="S229">
        <v>11</v>
      </c>
      <c r="T229" t="s">
        <v>34</v>
      </c>
      <c r="U229" t="s">
        <v>33</v>
      </c>
      <c r="V229" t="s">
        <v>44</v>
      </c>
      <c r="W229" t="s">
        <v>33</v>
      </c>
      <c r="X229" t="s">
        <v>52</v>
      </c>
      <c r="Y229" t="s">
        <v>162</v>
      </c>
      <c r="Z229" t="str">
        <f>IF(Table1[[#This Row],[Age]]&lt;30,"20-29",IF(Table1[[#This Row],[Age]]&lt;40,"30-39",IF(Table1[[#This Row],[Age]]&lt;50,"40-49","50+")))</f>
        <v>20-29</v>
      </c>
      <c r="AA229" t="str">
        <f>IF(Table1[[#This Row],[Salary]]&lt;20000000,"low",IF(Table1[[#This Row],[Salary]]&lt;40000000,"medium","high"))</f>
        <v>high</v>
      </c>
      <c r="AB229">
        <f>YEAR(Table1[[#This Row],[Hire Date]])</f>
        <v>2022</v>
      </c>
      <c r="AC229" t="str">
        <f>TEXT(Table1[[#This Row],[Hire Date]],"mmmm")</f>
        <v>دسامبر</v>
      </c>
      <c r="AD229" t="str">
        <f>IF(Table1[[#This Row],[Resigned]]="yes","former","active")</f>
        <v>former</v>
      </c>
    </row>
    <row r="230" spans="1:30" x14ac:dyDescent="0.3">
      <c r="A230" t="s">
        <v>525</v>
      </c>
      <c r="B230" t="s">
        <v>526</v>
      </c>
      <c r="C230" t="s">
        <v>27</v>
      </c>
      <c r="D230">
        <v>57</v>
      </c>
      <c r="E230" t="s">
        <v>40</v>
      </c>
      <c r="F230" t="s">
        <v>41</v>
      </c>
      <c r="G230" t="s">
        <v>30</v>
      </c>
      <c r="H230" t="s">
        <v>42</v>
      </c>
      <c r="I230" t="s">
        <v>81</v>
      </c>
      <c r="J230" s="1">
        <v>45433</v>
      </c>
      <c r="K230">
        <v>2</v>
      </c>
      <c r="L230">
        <v>47746492</v>
      </c>
      <c r="M230">
        <v>4696272</v>
      </c>
      <c r="N230" t="s">
        <v>33</v>
      </c>
      <c r="O230">
        <v>4.32</v>
      </c>
      <c r="P230">
        <v>52</v>
      </c>
      <c r="Q230">
        <v>2</v>
      </c>
      <c r="R230">
        <v>2</v>
      </c>
      <c r="S230">
        <v>19</v>
      </c>
      <c r="T230" t="s">
        <v>33</v>
      </c>
      <c r="U230" t="s">
        <v>34</v>
      </c>
      <c r="V230" t="s">
        <v>44</v>
      </c>
      <c r="W230" t="s">
        <v>33</v>
      </c>
      <c r="X230" t="s">
        <v>52</v>
      </c>
      <c r="Z230" t="str">
        <f>IF(Table1[[#This Row],[Age]]&lt;30,"20-29",IF(Table1[[#This Row],[Age]]&lt;40,"30-39",IF(Table1[[#This Row],[Age]]&lt;50,"40-49","50+")))</f>
        <v>50+</v>
      </c>
      <c r="AA230" t="str">
        <f>IF(Table1[[#This Row],[Salary]]&lt;20000000,"low",IF(Table1[[#This Row],[Salary]]&lt;40000000,"medium","high"))</f>
        <v>high</v>
      </c>
      <c r="AB230">
        <f>YEAR(Table1[[#This Row],[Hire Date]])</f>
        <v>2024</v>
      </c>
      <c r="AC230" t="str">
        <f>TEXT(Table1[[#This Row],[Hire Date]],"mmmm")</f>
        <v>مه</v>
      </c>
      <c r="AD230" t="str">
        <f>IF(Table1[[#This Row],[Resigned]]="yes","former","active")</f>
        <v>active</v>
      </c>
    </row>
    <row r="231" spans="1:30" x14ac:dyDescent="0.3">
      <c r="A231" t="s">
        <v>527</v>
      </c>
      <c r="B231" t="s">
        <v>528</v>
      </c>
      <c r="C231" t="s">
        <v>39</v>
      </c>
      <c r="D231">
        <v>44</v>
      </c>
      <c r="E231" t="s">
        <v>28</v>
      </c>
      <c r="F231" t="s">
        <v>80</v>
      </c>
      <c r="G231" t="s">
        <v>30</v>
      </c>
      <c r="H231" t="s">
        <v>31</v>
      </c>
      <c r="I231" t="s">
        <v>32</v>
      </c>
      <c r="J231" s="1">
        <v>45226</v>
      </c>
      <c r="K231">
        <v>3</v>
      </c>
      <c r="L231">
        <v>26941569</v>
      </c>
      <c r="M231">
        <v>9312091</v>
      </c>
      <c r="N231" t="s">
        <v>34</v>
      </c>
      <c r="O231">
        <v>3.1</v>
      </c>
      <c r="P231">
        <v>57</v>
      </c>
      <c r="Q231">
        <v>4</v>
      </c>
      <c r="R231">
        <v>3</v>
      </c>
      <c r="S231">
        <v>11</v>
      </c>
      <c r="T231" t="s">
        <v>33</v>
      </c>
      <c r="U231" t="s">
        <v>33</v>
      </c>
      <c r="V231" t="s">
        <v>51</v>
      </c>
      <c r="W231" t="s">
        <v>33</v>
      </c>
      <c r="X231" t="s">
        <v>36</v>
      </c>
      <c r="Y231" t="s">
        <v>162</v>
      </c>
      <c r="Z231" t="str">
        <f>IF(Table1[[#This Row],[Age]]&lt;30,"20-29",IF(Table1[[#This Row],[Age]]&lt;40,"30-39",IF(Table1[[#This Row],[Age]]&lt;50,"40-49","50+")))</f>
        <v>40-49</v>
      </c>
      <c r="AA231" t="str">
        <f>IF(Table1[[#This Row],[Salary]]&lt;20000000,"low",IF(Table1[[#This Row],[Salary]]&lt;40000000,"medium","high"))</f>
        <v>medium</v>
      </c>
      <c r="AB231">
        <f>YEAR(Table1[[#This Row],[Hire Date]])</f>
        <v>2023</v>
      </c>
      <c r="AC231" t="str">
        <f>TEXT(Table1[[#This Row],[Hire Date]],"mmmm")</f>
        <v>اُكتبر</v>
      </c>
      <c r="AD231" t="str">
        <f>IF(Table1[[#This Row],[Resigned]]="yes","former","active")</f>
        <v>former</v>
      </c>
    </row>
    <row r="232" spans="1:30" x14ac:dyDescent="0.3">
      <c r="A232" t="s">
        <v>529</v>
      </c>
      <c r="B232" t="s">
        <v>530</v>
      </c>
      <c r="C232" t="s">
        <v>27</v>
      </c>
      <c r="D232">
        <v>50</v>
      </c>
      <c r="E232" t="s">
        <v>28</v>
      </c>
      <c r="F232" t="s">
        <v>80</v>
      </c>
      <c r="G232" t="s">
        <v>49</v>
      </c>
      <c r="H232" t="s">
        <v>42</v>
      </c>
      <c r="I232" t="s">
        <v>43</v>
      </c>
      <c r="J232" s="1">
        <v>43706</v>
      </c>
      <c r="K232">
        <v>7</v>
      </c>
      <c r="L232">
        <v>14740856</v>
      </c>
      <c r="M232">
        <v>1846253</v>
      </c>
      <c r="N232" t="s">
        <v>34</v>
      </c>
      <c r="O232">
        <v>4.45</v>
      </c>
      <c r="P232">
        <v>47</v>
      </c>
      <c r="Q232">
        <v>5</v>
      </c>
      <c r="R232">
        <v>5</v>
      </c>
      <c r="S232">
        <v>14</v>
      </c>
      <c r="T232" t="s">
        <v>33</v>
      </c>
      <c r="U232" t="s">
        <v>33</v>
      </c>
      <c r="V232" t="s">
        <v>59</v>
      </c>
      <c r="W232" t="s">
        <v>33</v>
      </c>
      <c r="X232" t="s">
        <v>36</v>
      </c>
      <c r="Y232" t="s">
        <v>75</v>
      </c>
      <c r="Z232" t="str">
        <f>IF(Table1[[#This Row],[Age]]&lt;30,"20-29",IF(Table1[[#This Row],[Age]]&lt;40,"30-39",IF(Table1[[#This Row],[Age]]&lt;50,"40-49","50+")))</f>
        <v>50+</v>
      </c>
      <c r="AA232" t="str">
        <f>IF(Table1[[#This Row],[Salary]]&lt;20000000,"low",IF(Table1[[#This Row],[Salary]]&lt;40000000,"medium","high"))</f>
        <v>low</v>
      </c>
      <c r="AB232">
        <f>YEAR(Table1[[#This Row],[Hire Date]])</f>
        <v>2019</v>
      </c>
      <c r="AC232" t="str">
        <f>TEXT(Table1[[#This Row],[Hire Date]],"mmmm")</f>
        <v>اوت</v>
      </c>
      <c r="AD232" t="str">
        <f>IF(Table1[[#This Row],[Resigned]]="yes","former","active")</f>
        <v>former</v>
      </c>
    </row>
    <row r="233" spans="1:30" x14ac:dyDescent="0.3">
      <c r="A233" t="s">
        <v>531</v>
      </c>
      <c r="B233" t="s">
        <v>532</v>
      </c>
      <c r="C233" t="s">
        <v>27</v>
      </c>
      <c r="D233">
        <v>52</v>
      </c>
      <c r="E233" t="s">
        <v>28</v>
      </c>
      <c r="F233" t="s">
        <v>80</v>
      </c>
      <c r="G233" t="s">
        <v>30</v>
      </c>
      <c r="H233" t="s">
        <v>31</v>
      </c>
      <c r="I233" t="s">
        <v>50</v>
      </c>
      <c r="J233" s="1">
        <v>44962</v>
      </c>
      <c r="K233">
        <v>3</v>
      </c>
      <c r="L233">
        <v>58756376</v>
      </c>
      <c r="M233">
        <v>3514020</v>
      </c>
      <c r="N233" t="s">
        <v>33</v>
      </c>
      <c r="O233">
        <v>4.6399999999999997</v>
      </c>
      <c r="P233">
        <v>36</v>
      </c>
      <c r="Q233">
        <v>3</v>
      </c>
      <c r="R233">
        <v>3</v>
      </c>
      <c r="S233">
        <v>10</v>
      </c>
      <c r="T233" t="s">
        <v>33</v>
      </c>
      <c r="U233" t="s">
        <v>34</v>
      </c>
      <c r="V233" t="s">
        <v>44</v>
      </c>
      <c r="W233" t="s">
        <v>34</v>
      </c>
      <c r="X233" t="s">
        <v>36</v>
      </c>
      <c r="Z233" t="str">
        <f>IF(Table1[[#This Row],[Age]]&lt;30,"20-29",IF(Table1[[#This Row],[Age]]&lt;40,"30-39",IF(Table1[[#This Row],[Age]]&lt;50,"40-49","50+")))</f>
        <v>50+</v>
      </c>
      <c r="AA233" t="str">
        <f>IF(Table1[[#This Row],[Salary]]&lt;20000000,"low",IF(Table1[[#This Row],[Salary]]&lt;40000000,"medium","high"))</f>
        <v>high</v>
      </c>
      <c r="AB233">
        <f>YEAR(Table1[[#This Row],[Hire Date]])</f>
        <v>2023</v>
      </c>
      <c r="AC233" t="str">
        <f>TEXT(Table1[[#This Row],[Hire Date]],"mmmm")</f>
        <v>فوريه</v>
      </c>
      <c r="AD233" t="str">
        <f>IF(Table1[[#This Row],[Resigned]]="yes","former","active")</f>
        <v>active</v>
      </c>
    </row>
    <row r="234" spans="1:30" x14ac:dyDescent="0.3">
      <c r="A234" t="s">
        <v>533</v>
      </c>
      <c r="B234" t="s">
        <v>534</v>
      </c>
      <c r="C234" t="s">
        <v>39</v>
      </c>
      <c r="D234">
        <v>33</v>
      </c>
      <c r="E234" t="s">
        <v>63</v>
      </c>
      <c r="F234" t="s">
        <v>64</v>
      </c>
      <c r="G234" t="s">
        <v>58</v>
      </c>
      <c r="H234" t="s">
        <v>42</v>
      </c>
      <c r="I234" t="s">
        <v>43</v>
      </c>
      <c r="J234" s="1">
        <v>44263</v>
      </c>
      <c r="K234">
        <v>5</v>
      </c>
      <c r="L234">
        <v>44208485</v>
      </c>
      <c r="M234">
        <v>285627</v>
      </c>
      <c r="N234" t="s">
        <v>33</v>
      </c>
      <c r="O234">
        <v>3.26</v>
      </c>
      <c r="P234">
        <v>15</v>
      </c>
      <c r="Q234">
        <v>4</v>
      </c>
      <c r="R234">
        <v>3</v>
      </c>
      <c r="S234">
        <v>19</v>
      </c>
      <c r="T234" t="s">
        <v>34</v>
      </c>
      <c r="U234" t="s">
        <v>33</v>
      </c>
      <c r="V234" t="s">
        <v>51</v>
      </c>
      <c r="W234" t="s">
        <v>34</v>
      </c>
      <c r="X234" t="s">
        <v>52</v>
      </c>
      <c r="Y234" t="s">
        <v>162</v>
      </c>
      <c r="Z234" t="str">
        <f>IF(Table1[[#This Row],[Age]]&lt;30,"20-29",IF(Table1[[#This Row],[Age]]&lt;40,"30-39",IF(Table1[[#This Row],[Age]]&lt;50,"40-49","50+")))</f>
        <v>30-39</v>
      </c>
      <c r="AA234" t="str">
        <f>IF(Table1[[#This Row],[Salary]]&lt;20000000,"low",IF(Table1[[#This Row],[Salary]]&lt;40000000,"medium","high"))</f>
        <v>high</v>
      </c>
      <c r="AB234">
        <f>YEAR(Table1[[#This Row],[Hire Date]])</f>
        <v>2021</v>
      </c>
      <c r="AC234" t="str">
        <f>TEXT(Table1[[#This Row],[Hire Date]],"mmmm")</f>
        <v>مارس</v>
      </c>
      <c r="AD234" t="str">
        <f>IF(Table1[[#This Row],[Resigned]]="yes","former","active")</f>
        <v>former</v>
      </c>
    </row>
    <row r="235" spans="1:30" x14ac:dyDescent="0.3">
      <c r="A235" t="s">
        <v>535</v>
      </c>
      <c r="B235" t="s">
        <v>536</v>
      </c>
      <c r="C235" t="s">
        <v>27</v>
      </c>
      <c r="D235">
        <v>53</v>
      </c>
      <c r="E235" t="s">
        <v>63</v>
      </c>
      <c r="F235" t="s">
        <v>64</v>
      </c>
      <c r="G235" t="s">
        <v>30</v>
      </c>
      <c r="H235" t="s">
        <v>42</v>
      </c>
      <c r="I235" t="s">
        <v>50</v>
      </c>
      <c r="J235" s="1">
        <v>45429</v>
      </c>
      <c r="K235">
        <v>2</v>
      </c>
      <c r="L235">
        <v>49825079</v>
      </c>
      <c r="M235">
        <v>9478774</v>
      </c>
      <c r="N235" t="s">
        <v>34</v>
      </c>
      <c r="O235">
        <v>4.42</v>
      </c>
      <c r="P235">
        <v>25</v>
      </c>
      <c r="Q235">
        <v>1</v>
      </c>
      <c r="R235">
        <v>5</v>
      </c>
      <c r="S235">
        <v>15</v>
      </c>
      <c r="T235" t="s">
        <v>34</v>
      </c>
      <c r="U235" t="s">
        <v>34</v>
      </c>
      <c r="V235" t="s">
        <v>35</v>
      </c>
      <c r="W235" t="s">
        <v>33</v>
      </c>
      <c r="X235" t="s">
        <v>45</v>
      </c>
      <c r="Z235" t="str">
        <f>IF(Table1[[#This Row],[Age]]&lt;30,"20-29",IF(Table1[[#This Row],[Age]]&lt;40,"30-39",IF(Table1[[#This Row],[Age]]&lt;50,"40-49","50+")))</f>
        <v>50+</v>
      </c>
      <c r="AA235" t="str">
        <f>IF(Table1[[#This Row],[Salary]]&lt;20000000,"low",IF(Table1[[#This Row],[Salary]]&lt;40000000,"medium","high"))</f>
        <v>high</v>
      </c>
      <c r="AB235">
        <f>YEAR(Table1[[#This Row],[Hire Date]])</f>
        <v>2024</v>
      </c>
      <c r="AC235" t="str">
        <f>TEXT(Table1[[#This Row],[Hire Date]],"mmmm")</f>
        <v>مه</v>
      </c>
      <c r="AD235" t="str">
        <f>IF(Table1[[#This Row],[Resigned]]="yes","former","active")</f>
        <v>active</v>
      </c>
    </row>
    <row r="236" spans="1:30" x14ac:dyDescent="0.3">
      <c r="A236" t="s">
        <v>537</v>
      </c>
      <c r="B236" t="s">
        <v>538</v>
      </c>
      <c r="C236" t="s">
        <v>39</v>
      </c>
      <c r="D236">
        <v>43</v>
      </c>
      <c r="E236" t="s">
        <v>63</v>
      </c>
      <c r="F236" t="s">
        <v>93</v>
      </c>
      <c r="G236" t="s">
        <v>49</v>
      </c>
      <c r="H236" t="s">
        <v>42</v>
      </c>
      <c r="I236" t="s">
        <v>81</v>
      </c>
      <c r="J236" s="1">
        <v>44229</v>
      </c>
      <c r="K236">
        <v>5</v>
      </c>
      <c r="L236">
        <v>32727815</v>
      </c>
      <c r="M236">
        <v>99258</v>
      </c>
      <c r="N236" t="s">
        <v>34</v>
      </c>
      <c r="O236">
        <v>4.66</v>
      </c>
      <c r="P236">
        <v>51</v>
      </c>
      <c r="Q236">
        <v>3</v>
      </c>
      <c r="R236">
        <v>2</v>
      </c>
      <c r="S236">
        <v>3</v>
      </c>
      <c r="T236" t="s">
        <v>34</v>
      </c>
      <c r="U236" t="s">
        <v>34</v>
      </c>
      <c r="V236" t="s">
        <v>35</v>
      </c>
      <c r="W236" t="s">
        <v>34</v>
      </c>
      <c r="X236" t="s">
        <v>52</v>
      </c>
      <c r="Z236" t="str">
        <f>IF(Table1[[#This Row],[Age]]&lt;30,"20-29",IF(Table1[[#This Row],[Age]]&lt;40,"30-39",IF(Table1[[#This Row],[Age]]&lt;50,"40-49","50+")))</f>
        <v>40-49</v>
      </c>
      <c r="AA236" t="str">
        <f>IF(Table1[[#This Row],[Salary]]&lt;20000000,"low",IF(Table1[[#This Row],[Salary]]&lt;40000000,"medium","high"))</f>
        <v>medium</v>
      </c>
      <c r="AB236">
        <f>YEAR(Table1[[#This Row],[Hire Date]])</f>
        <v>2021</v>
      </c>
      <c r="AC236" t="str">
        <f>TEXT(Table1[[#This Row],[Hire Date]],"mmmm")</f>
        <v>فوريه</v>
      </c>
      <c r="AD236" t="str">
        <f>IF(Table1[[#This Row],[Resigned]]="yes","former","active")</f>
        <v>active</v>
      </c>
    </row>
    <row r="237" spans="1:30" x14ac:dyDescent="0.3">
      <c r="A237" t="s">
        <v>539</v>
      </c>
      <c r="B237" t="s">
        <v>540</v>
      </c>
      <c r="C237" t="s">
        <v>39</v>
      </c>
      <c r="D237">
        <v>57</v>
      </c>
      <c r="E237" t="s">
        <v>63</v>
      </c>
      <c r="F237" t="s">
        <v>64</v>
      </c>
      <c r="G237" t="s">
        <v>49</v>
      </c>
      <c r="H237" t="s">
        <v>42</v>
      </c>
      <c r="I237" t="s">
        <v>65</v>
      </c>
      <c r="J237" s="1">
        <v>45313</v>
      </c>
      <c r="K237">
        <v>2</v>
      </c>
      <c r="L237">
        <v>22597448</v>
      </c>
      <c r="M237">
        <v>9269131</v>
      </c>
      <c r="N237" t="s">
        <v>33</v>
      </c>
      <c r="O237">
        <v>2.6</v>
      </c>
      <c r="P237">
        <v>6</v>
      </c>
      <c r="Q237">
        <v>2</v>
      </c>
      <c r="R237">
        <v>3</v>
      </c>
      <c r="S237">
        <v>7</v>
      </c>
      <c r="T237" t="s">
        <v>33</v>
      </c>
      <c r="U237" t="s">
        <v>34</v>
      </c>
      <c r="V237" t="s">
        <v>59</v>
      </c>
      <c r="W237" t="s">
        <v>33</v>
      </c>
      <c r="X237" t="s">
        <v>45</v>
      </c>
      <c r="Z237" t="str">
        <f>IF(Table1[[#This Row],[Age]]&lt;30,"20-29",IF(Table1[[#This Row],[Age]]&lt;40,"30-39",IF(Table1[[#This Row],[Age]]&lt;50,"40-49","50+")))</f>
        <v>50+</v>
      </c>
      <c r="AA237" t="str">
        <f>IF(Table1[[#This Row],[Salary]]&lt;20000000,"low",IF(Table1[[#This Row],[Salary]]&lt;40000000,"medium","high"))</f>
        <v>medium</v>
      </c>
      <c r="AB237">
        <f>YEAR(Table1[[#This Row],[Hire Date]])</f>
        <v>2024</v>
      </c>
      <c r="AC237" t="str">
        <f>TEXT(Table1[[#This Row],[Hire Date]],"mmmm")</f>
        <v>ژانويه</v>
      </c>
      <c r="AD237" t="str">
        <f>IF(Table1[[#This Row],[Resigned]]="yes","former","active")</f>
        <v>active</v>
      </c>
    </row>
    <row r="238" spans="1:30" x14ac:dyDescent="0.3">
      <c r="A238" t="s">
        <v>541</v>
      </c>
      <c r="B238" t="s">
        <v>542</v>
      </c>
      <c r="C238" t="s">
        <v>39</v>
      </c>
      <c r="D238">
        <v>54</v>
      </c>
      <c r="E238" t="s">
        <v>28</v>
      </c>
      <c r="F238" t="s">
        <v>80</v>
      </c>
      <c r="G238" t="s">
        <v>58</v>
      </c>
      <c r="H238" t="s">
        <v>31</v>
      </c>
      <c r="I238" t="s">
        <v>81</v>
      </c>
      <c r="J238" s="1">
        <v>42619</v>
      </c>
      <c r="K238">
        <v>10</v>
      </c>
      <c r="L238">
        <v>23561589</v>
      </c>
      <c r="M238">
        <v>1315374</v>
      </c>
      <c r="N238" t="s">
        <v>33</v>
      </c>
      <c r="O238">
        <v>4.93</v>
      </c>
      <c r="P238">
        <v>48</v>
      </c>
      <c r="Q238">
        <v>1</v>
      </c>
      <c r="R238">
        <v>1</v>
      </c>
      <c r="S238">
        <v>15</v>
      </c>
      <c r="T238" t="s">
        <v>33</v>
      </c>
      <c r="U238" t="s">
        <v>34</v>
      </c>
      <c r="V238" t="s">
        <v>70</v>
      </c>
      <c r="W238" t="s">
        <v>34</v>
      </c>
      <c r="X238" t="s">
        <v>36</v>
      </c>
      <c r="Z238" t="str">
        <f>IF(Table1[[#This Row],[Age]]&lt;30,"20-29",IF(Table1[[#This Row],[Age]]&lt;40,"30-39",IF(Table1[[#This Row],[Age]]&lt;50,"40-49","50+")))</f>
        <v>50+</v>
      </c>
      <c r="AA238" t="str">
        <f>IF(Table1[[#This Row],[Salary]]&lt;20000000,"low",IF(Table1[[#This Row],[Salary]]&lt;40000000,"medium","high"))</f>
        <v>medium</v>
      </c>
      <c r="AB238">
        <f>YEAR(Table1[[#This Row],[Hire Date]])</f>
        <v>2016</v>
      </c>
      <c r="AC238" t="str">
        <f>TEXT(Table1[[#This Row],[Hire Date]],"mmmm")</f>
        <v>سپتامبر</v>
      </c>
      <c r="AD238" t="str">
        <f>IF(Table1[[#This Row],[Resigned]]="yes","former","active")</f>
        <v>active</v>
      </c>
    </row>
    <row r="239" spans="1:30" x14ac:dyDescent="0.3">
      <c r="A239" t="s">
        <v>543</v>
      </c>
      <c r="B239" t="s">
        <v>544</v>
      </c>
      <c r="C239" t="s">
        <v>39</v>
      </c>
      <c r="D239">
        <v>57</v>
      </c>
      <c r="E239" t="s">
        <v>56</v>
      </c>
      <c r="F239" t="s">
        <v>57</v>
      </c>
      <c r="G239" t="s">
        <v>30</v>
      </c>
      <c r="H239" t="s">
        <v>42</v>
      </c>
      <c r="I239" t="s">
        <v>43</v>
      </c>
      <c r="J239" s="1">
        <v>45371</v>
      </c>
      <c r="K239">
        <v>2</v>
      </c>
      <c r="L239">
        <v>57744907</v>
      </c>
      <c r="M239">
        <v>8309928</v>
      </c>
      <c r="N239" t="s">
        <v>34</v>
      </c>
      <c r="O239">
        <v>4.97</v>
      </c>
      <c r="P239">
        <v>67</v>
      </c>
      <c r="Q239">
        <v>4</v>
      </c>
      <c r="R239">
        <v>2</v>
      </c>
      <c r="S239">
        <v>12</v>
      </c>
      <c r="T239" t="s">
        <v>34</v>
      </c>
      <c r="U239" t="s">
        <v>34</v>
      </c>
      <c r="V239" t="s">
        <v>44</v>
      </c>
      <c r="W239" t="s">
        <v>33</v>
      </c>
      <c r="X239" t="s">
        <v>36</v>
      </c>
      <c r="Z239" t="str">
        <f>IF(Table1[[#This Row],[Age]]&lt;30,"20-29",IF(Table1[[#This Row],[Age]]&lt;40,"30-39",IF(Table1[[#This Row],[Age]]&lt;50,"40-49","50+")))</f>
        <v>50+</v>
      </c>
      <c r="AA239" t="str">
        <f>IF(Table1[[#This Row],[Salary]]&lt;20000000,"low",IF(Table1[[#This Row],[Salary]]&lt;40000000,"medium","high"))</f>
        <v>high</v>
      </c>
      <c r="AB239">
        <f>YEAR(Table1[[#This Row],[Hire Date]])</f>
        <v>2024</v>
      </c>
      <c r="AC239" t="str">
        <f>TEXT(Table1[[#This Row],[Hire Date]],"mmmm")</f>
        <v>مارس</v>
      </c>
      <c r="AD239" t="str">
        <f>IF(Table1[[#This Row],[Resigned]]="yes","former","active")</f>
        <v>active</v>
      </c>
    </row>
    <row r="240" spans="1:30" x14ac:dyDescent="0.3">
      <c r="A240" t="s">
        <v>545</v>
      </c>
      <c r="B240" t="s">
        <v>546</v>
      </c>
      <c r="C240" t="s">
        <v>27</v>
      </c>
      <c r="D240">
        <v>24</v>
      </c>
      <c r="E240" t="s">
        <v>110</v>
      </c>
      <c r="F240" t="s">
        <v>111</v>
      </c>
      <c r="G240" t="s">
        <v>49</v>
      </c>
      <c r="H240" t="s">
        <v>31</v>
      </c>
      <c r="I240" t="s">
        <v>65</v>
      </c>
      <c r="J240" s="1">
        <v>44236</v>
      </c>
      <c r="K240">
        <v>5</v>
      </c>
      <c r="L240">
        <v>36607045</v>
      </c>
      <c r="M240">
        <v>1688159</v>
      </c>
      <c r="N240" t="s">
        <v>33</v>
      </c>
      <c r="O240">
        <v>4.95</v>
      </c>
      <c r="P240">
        <v>48</v>
      </c>
      <c r="Q240">
        <v>2</v>
      </c>
      <c r="R240">
        <v>5</v>
      </c>
      <c r="S240">
        <v>1</v>
      </c>
      <c r="T240" t="s">
        <v>34</v>
      </c>
      <c r="U240" t="s">
        <v>34</v>
      </c>
      <c r="V240" t="s">
        <v>35</v>
      </c>
      <c r="W240" t="s">
        <v>34</v>
      </c>
      <c r="X240" t="s">
        <v>36</v>
      </c>
      <c r="Z240" t="str">
        <f>IF(Table1[[#This Row],[Age]]&lt;30,"20-29",IF(Table1[[#This Row],[Age]]&lt;40,"30-39",IF(Table1[[#This Row],[Age]]&lt;50,"40-49","50+")))</f>
        <v>20-29</v>
      </c>
      <c r="AA240" t="str">
        <f>IF(Table1[[#This Row],[Salary]]&lt;20000000,"low",IF(Table1[[#This Row],[Salary]]&lt;40000000,"medium","high"))</f>
        <v>medium</v>
      </c>
      <c r="AB240">
        <f>YEAR(Table1[[#This Row],[Hire Date]])</f>
        <v>2021</v>
      </c>
      <c r="AC240" t="str">
        <f>TEXT(Table1[[#This Row],[Hire Date]],"mmmm")</f>
        <v>فوريه</v>
      </c>
      <c r="AD240" t="str">
        <f>IF(Table1[[#This Row],[Resigned]]="yes","former","active")</f>
        <v>active</v>
      </c>
    </row>
    <row r="241" spans="1:30" x14ac:dyDescent="0.3">
      <c r="A241" t="s">
        <v>547</v>
      </c>
      <c r="B241" t="s">
        <v>548</v>
      </c>
      <c r="C241" t="s">
        <v>27</v>
      </c>
      <c r="D241">
        <v>51</v>
      </c>
      <c r="E241" t="s">
        <v>40</v>
      </c>
      <c r="F241" t="s">
        <v>48</v>
      </c>
      <c r="G241" t="s">
        <v>30</v>
      </c>
      <c r="H241" t="s">
        <v>42</v>
      </c>
      <c r="I241" t="s">
        <v>32</v>
      </c>
      <c r="J241" s="1">
        <v>44020</v>
      </c>
      <c r="K241">
        <v>6</v>
      </c>
      <c r="L241">
        <v>42648736</v>
      </c>
      <c r="M241">
        <v>8482746</v>
      </c>
      <c r="N241" t="s">
        <v>33</v>
      </c>
      <c r="O241">
        <v>2.72</v>
      </c>
      <c r="P241">
        <v>39</v>
      </c>
      <c r="Q241">
        <v>5</v>
      </c>
      <c r="R241">
        <v>5</v>
      </c>
      <c r="S241">
        <v>8</v>
      </c>
      <c r="T241" t="s">
        <v>33</v>
      </c>
      <c r="U241" t="s">
        <v>34</v>
      </c>
      <c r="V241" t="s">
        <v>44</v>
      </c>
      <c r="W241" t="s">
        <v>33</v>
      </c>
      <c r="X241" t="s">
        <v>52</v>
      </c>
      <c r="Z241" t="str">
        <f>IF(Table1[[#This Row],[Age]]&lt;30,"20-29",IF(Table1[[#This Row],[Age]]&lt;40,"30-39",IF(Table1[[#This Row],[Age]]&lt;50,"40-49","50+")))</f>
        <v>50+</v>
      </c>
      <c r="AA241" t="str">
        <f>IF(Table1[[#This Row],[Salary]]&lt;20000000,"low",IF(Table1[[#This Row],[Salary]]&lt;40000000,"medium","high"))</f>
        <v>high</v>
      </c>
      <c r="AB241">
        <f>YEAR(Table1[[#This Row],[Hire Date]])</f>
        <v>2020</v>
      </c>
      <c r="AC241" t="str">
        <f>TEXT(Table1[[#This Row],[Hire Date]],"mmmm")</f>
        <v>ژوئيه</v>
      </c>
      <c r="AD241" t="str">
        <f>IF(Table1[[#This Row],[Resigned]]="yes","former","active")</f>
        <v>active</v>
      </c>
    </row>
    <row r="242" spans="1:30" x14ac:dyDescent="0.3">
      <c r="A242" t="s">
        <v>549</v>
      </c>
      <c r="B242" t="s">
        <v>550</v>
      </c>
      <c r="C242" t="s">
        <v>39</v>
      </c>
      <c r="D242">
        <v>22</v>
      </c>
      <c r="E242" t="s">
        <v>28</v>
      </c>
      <c r="F242" t="s">
        <v>29</v>
      </c>
      <c r="G242" t="s">
        <v>30</v>
      </c>
      <c r="H242" t="s">
        <v>42</v>
      </c>
      <c r="I242" t="s">
        <v>43</v>
      </c>
      <c r="J242" s="1">
        <v>45709</v>
      </c>
      <c r="K242">
        <v>1</v>
      </c>
      <c r="L242">
        <v>21248550</v>
      </c>
      <c r="M242">
        <v>4630731</v>
      </c>
      <c r="N242" t="s">
        <v>33</v>
      </c>
      <c r="O242">
        <v>3.15</v>
      </c>
      <c r="P242">
        <v>12</v>
      </c>
      <c r="Q242">
        <v>3</v>
      </c>
      <c r="R242">
        <v>2</v>
      </c>
      <c r="S242">
        <v>4</v>
      </c>
      <c r="T242" t="s">
        <v>34</v>
      </c>
      <c r="U242" t="s">
        <v>34</v>
      </c>
      <c r="V242" t="s">
        <v>51</v>
      </c>
      <c r="W242" t="s">
        <v>33</v>
      </c>
      <c r="X242" t="s">
        <v>36</v>
      </c>
      <c r="Z242" t="str">
        <f>IF(Table1[[#This Row],[Age]]&lt;30,"20-29",IF(Table1[[#This Row],[Age]]&lt;40,"30-39",IF(Table1[[#This Row],[Age]]&lt;50,"40-49","50+")))</f>
        <v>20-29</v>
      </c>
      <c r="AA242" t="str">
        <f>IF(Table1[[#This Row],[Salary]]&lt;20000000,"low",IF(Table1[[#This Row],[Salary]]&lt;40000000,"medium","high"))</f>
        <v>medium</v>
      </c>
      <c r="AB242">
        <f>YEAR(Table1[[#This Row],[Hire Date]])</f>
        <v>2025</v>
      </c>
      <c r="AC242" t="str">
        <f>TEXT(Table1[[#This Row],[Hire Date]],"mmmm")</f>
        <v>فوريه</v>
      </c>
      <c r="AD242" t="str">
        <f>IF(Table1[[#This Row],[Resigned]]="yes","former","active")</f>
        <v>active</v>
      </c>
    </row>
    <row r="243" spans="1:30" x14ac:dyDescent="0.3">
      <c r="A243" t="s">
        <v>551</v>
      </c>
      <c r="B243" t="s">
        <v>552</v>
      </c>
      <c r="C243" t="s">
        <v>27</v>
      </c>
      <c r="D243">
        <v>39</v>
      </c>
      <c r="E243" t="s">
        <v>110</v>
      </c>
      <c r="F243" t="s">
        <v>120</v>
      </c>
      <c r="G243" t="s">
        <v>58</v>
      </c>
      <c r="H243" t="s">
        <v>31</v>
      </c>
      <c r="I243" t="s">
        <v>43</v>
      </c>
      <c r="J243" s="1">
        <v>45494</v>
      </c>
      <c r="K243">
        <v>2</v>
      </c>
      <c r="L243">
        <v>17424141</v>
      </c>
      <c r="M243">
        <v>5811488</v>
      </c>
      <c r="N243" t="s">
        <v>33</v>
      </c>
      <c r="O243">
        <v>3.17</v>
      </c>
      <c r="P243">
        <v>57</v>
      </c>
      <c r="Q243">
        <v>3</v>
      </c>
      <c r="R243">
        <v>4</v>
      </c>
      <c r="S243">
        <v>2</v>
      </c>
      <c r="T243" t="s">
        <v>34</v>
      </c>
      <c r="U243" t="s">
        <v>34</v>
      </c>
      <c r="V243" t="s">
        <v>35</v>
      </c>
      <c r="W243" t="s">
        <v>33</v>
      </c>
      <c r="X243" t="s">
        <v>52</v>
      </c>
      <c r="Z243" t="str">
        <f>IF(Table1[[#This Row],[Age]]&lt;30,"20-29",IF(Table1[[#This Row],[Age]]&lt;40,"30-39",IF(Table1[[#This Row],[Age]]&lt;50,"40-49","50+")))</f>
        <v>30-39</v>
      </c>
      <c r="AA243" t="str">
        <f>IF(Table1[[#This Row],[Salary]]&lt;20000000,"low",IF(Table1[[#This Row],[Salary]]&lt;40000000,"medium","high"))</f>
        <v>low</v>
      </c>
      <c r="AB243">
        <f>YEAR(Table1[[#This Row],[Hire Date]])</f>
        <v>2024</v>
      </c>
      <c r="AC243" t="str">
        <f>TEXT(Table1[[#This Row],[Hire Date]],"mmmm")</f>
        <v>ژوئيه</v>
      </c>
      <c r="AD243" t="str">
        <f>IF(Table1[[#This Row],[Resigned]]="yes","former","active")</f>
        <v>active</v>
      </c>
    </row>
    <row r="244" spans="1:30" x14ac:dyDescent="0.3">
      <c r="A244" t="s">
        <v>553</v>
      </c>
      <c r="B244" t="s">
        <v>554</v>
      </c>
      <c r="C244" t="s">
        <v>27</v>
      </c>
      <c r="D244">
        <v>32</v>
      </c>
      <c r="E244" t="s">
        <v>110</v>
      </c>
      <c r="F244" t="s">
        <v>120</v>
      </c>
      <c r="G244" t="s">
        <v>58</v>
      </c>
      <c r="H244" t="s">
        <v>31</v>
      </c>
      <c r="I244" t="s">
        <v>50</v>
      </c>
      <c r="J244" s="1">
        <v>45648</v>
      </c>
      <c r="K244">
        <v>2</v>
      </c>
      <c r="L244">
        <v>46825642</v>
      </c>
      <c r="M244">
        <v>2565241</v>
      </c>
      <c r="N244" t="s">
        <v>34</v>
      </c>
      <c r="O244">
        <v>2.75</v>
      </c>
      <c r="P244">
        <v>78</v>
      </c>
      <c r="Q244">
        <v>2</v>
      </c>
      <c r="R244">
        <v>4</v>
      </c>
      <c r="S244">
        <v>17</v>
      </c>
      <c r="T244" t="s">
        <v>34</v>
      </c>
      <c r="U244" t="s">
        <v>34</v>
      </c>
      <c r="V244" t="s">
        <v>59</v>
      </c>
      <c r="W244" t="s">
        <v>33</v>
      </c>
      <c r="X244" t="s">
        <v>36</v>
      </c>
      <c r="Z244" t="str">
        <f>IF(Table1[[#This Row],[Age]]&lt;30,"20-29",IF(Table1[[#This Row],[Age]]&lt;40,"30-39",IF(Table1[[#This Row],[Age]]&lt;50,"40-49","50+")))</f>
        <v>30-39</v>
      </c>
      <c r="AA244" t="str">
        <f>IF(Table1[[#This Row],[Salary]]&lt;20000000,"low",IF(Table1[[#This Row],[Salary]]&lt;40000000,"medium","high"))</f>
        <v>high</v>
      </c>
      <c r="AB244">
        <f>YEAR(Table1[[#This Row],[Hire Date]])</f>
        <v>2024</v>
      </c>
      <c r="AC244" t="str">
        <f>TEXT(Table1[[#This Row],[Hire Date]],"mmmm")</f>
        <v>دسامبر</v>
      </c>
      <c r="AD244" t="str">
        <f>IF(Table1[[#This Row],[Resigned]]="yes","former","active")</f>
        <v>active</v>
      </c>
    </row>
    <row r="245" spans="1:30" x14ac:dyDescent="0.3">
      <c r="A245" t="s">
        <v>555</v>
      </c>
      <c r="B245" t="s">
        <v>556</v>
      </c>
      <c r="C245" t="s">
        <v>27</v>
      </c>
      <c r="D245">
        <v>34</v>
      </c>
      <c r="E245" t="s">
        <v>28</v>
      </c>
      <c r="F245" t="s">
        <v>80</v>
      </c>
      <c r="G245" t="s">
        <v>30</v>
      </c>
      <c r="H245" t="s">
        <v>42</v>
      </c>
      <c r="I245" t="s">
        <v>81</v>
      </c>
      <c r="J245" s="1">
        <v>43691</v>
      </c>
      <c r="K245">
        <v>7</v>
      </c>
      <c r="L245">
        <v>23334902</v>
      </c>
      <c r="M245">
        <v>4302398</v>
      </c>
      <c r="N245" t="s">
        <v>34</v>
      </c>
      <c r="O245">
        <v>4.57</v>
      </c>
      <c r="P245">
        <v>51</v>
      </c>
      <c r="Q245">
        <v>5</v>
      </c>
      <c r="R245">
        <v>2</v>
      </c>
      <c r="S245">
        <v>15</v>
      </c>
      <c r="T245" t="s">
        <v>33</v>
      </c>
      <c r="U245" t="s">
        <v>33</v>
      </c>
      <c r="V245" t="s">
        <v>70</v>
      </c>
      <c r="W245" t="s">
        <v>33</v>
      </c>
      <c r="X245" t="s">
        <v>45</v>
      </c>
      <c r="Y245" t="s">
        <v>75</v>
      </c>
      <c r="Z245" t="str">
        <f>IF(Table1[[#This Row],[Age]]&lt;30,"20-29",IF(Table1[[#This Row],[Age]]&lt;40,"30-39",IF(Table1[[#This Row],[Age]]&lt;50,"40-49","50+")))</f>
        <v>30-39</v>
      </c>
      <c r="AA245" t="str">
        <f>IF(Table1[[#This Row],[Salary]]&lt;20000000,"low",IF(Table1[[#This Row],[Salary]]&lt;40000000,"medium","high"))</f>
        <v>medium</v>
      </c>
      <c r="AB245">
        <f>YEAR(Table1[[#This Row],[Hire Date]])</f>
        <v>2019</v>
      </c>
      <c r="AC245" t="str">
        <f>TEXT(Table1[[#This Row],[Hire Date]],"mmmm")</f>
        <v>اوت</v>
      </c>
      <c r="AD245" t="str">
        <f>IF(Table1[[#This Row],[Resigned]]="yes","former","active")</f>
        <v>former</v>
      </c>
    </row>
    <row r="246" spans="1:30" x14ac:dyDescent="0.3">
      <c r="A246" t="s">
        <v>557</v>
      </c>
      <c r="B246" t="s">
        <v>558</v>
      </c>
      <c r="C246" t="s">
        <v>27</v>
      </c>
      <c r="D246">
        <v>22</v>
      </c>
      <c r="E246" t="s">
        <v>40</v>
      </c>
      <c r="F246" t="s">
        <v>41</v>
      </c>
      <c r="G246" t="s">
        <v>49</v>
      </c>
      <c r="H246" t="s">
        <v>31</v>
      </c>
      <c r="I246" t="s">
        <v>50</v>
      </c>
      <c r="J246" s="1">
        <v>43962</v>
      </c>
      <c r="K246">
        <v>6</v>
      </c>
      <c r="L246">
        <v>45928685</v>
      </c>
      <c r="M246">
        <v>3865774</v>
      </c>
      <c r="N246" t="s">
        <v>33</v>
      </c>
      <c r="O246">
        <v>3.85</v>
      </c>
      <c r="P246">
        <v>38</v>
      </c>
      <c r="Q246">
        <v>2</v>
      </c>
      <c r="R246">
        <v>4</v>
      </c>
      <c r="S246">
        <v>6</v>
      </c>
      <c r="T246" t="s">
        <v>34</v>
      </c>
      <c r="U246" t="s">
        <v>34</v>
      </c>
      <c r="V246" t="s">
        <v>35</v>
      </c>
      <c r="W246" t="s">
        <v>33</v>
      </c>
      <c r="X246" t="s">
        <v>45</v>
      </c>
      <c r="Z246" t="str">
        <f>IF(Table1[[#This Row],[Age]]&lt;30,"20-29",IF(Table1[[#This Row],[Age]]&lt;40,"30-39",IF(Table1[[#This Row],[Age]]&lt;50,"40-49","50+")))</f>
        <v>20-29</v>
      </c>
      <c r="AA246" t="str">
        <f>IF(Table1[[#This Row],[Salary]]&lt;20000000,"low",IF(Table1[[#This Row],[Salary]]&lt;40000000,"medium","high"))</f>
        <v>high</v>
      </c>
      <c r="AB246">
        <f>YEAR(Table1[[#This Row],[Hire Date]])</f>
        <v>2020</v>
      </c>
      <c r="AC246" t="str">
        <f>TEXT(Table1[[#This Row],[Hire Date]],"mmmm")</f>
        <v>مه</v>
      </c>
      <c r="AD246" t="str">
        <f>IF(Table1[[#This Row],[Resigned]]="yes","former","active")</f>
        <v>active</v>
      </c>
    </row>
    <row r="247" spans="1:30" x14ac:dyDescent="0.3">
      <c r="A247" t="s">
        <v>559</v>
      </c>
      <c r="B247" t="s">
        <v>560</v>
      </c>
      <c r="C247" t="s">
        <v>27</v>
      </c>
      <c r="D247">
        <v>54</v>
      </c>
      <c r="E247" t="s">
        <v>40</v>
      </c>
      <c r="F247" t="s">
        <v>48</v>
      </c>
      <c r="G247" t="s">
        <v>49</v>
      </c>
      <c r="H247" t="s">
        <v>31</v>
      </c>
      <c r="I247" t="s">
        <v>50</v>
      </c>
      <c r="J247" s="1">
        <v>44427</v>
      </c>
      <c r="K247">
        <v>5</v>
      </c>
      <c r="L247">
        <v>18436841</v>
      </c>
      <c r="M247">
        <v>8481820</v>
      </c>
      <c r="N247" t="s">
        <v>33</v>
      </c>
      <c r="O247">
        <v>3.44</v>
      </c>
      <c r="P247">
        <v>67</v>
      </c>
      <c r="Q247">
        <v>3</v>
      </c>
      <c r="R247">
        <v>3</v>
      </c>
      <c r="S247">
        <v>1</v>
      </c>
      <c r="T247" t="s">
        <v>33</v>
      </c>
      <c r="U247" t="s">
        <v>34</v>
      </c>
      <c r="V247" t="s">
        <v>70</v>
      </c>
      <c r="W247" t="s">
        <v>34</v>
      </c>
      <c r="X247" t="s">
        <v>45</v>
      </c>
      <c r="Z247" t="str">
        <f>IF(Table1[[#This Row],[Age]]&lt;30,"20-29",IF(Table1[[#This Row],[Age]]&lt;40,"30-39",IF(Table1[[#This Row],[Age]]&lt;50,"40-49","50+")))</f>
        <v>50+</v>
      </c>
      <c r="AA247" t="str">
        <f>IF(Table1[[#This Row],[Salary]]&lt;20000000,"low",IF(Table1[[#This Row],[Salary]]&lt;40000000,"medium","high"))</f>
        <v>low</v>
      </c>
      <c r="AB247">
        <f>YEAR(Table1[[#This Row],[Hire Date]])</f>
        <v>2021</v>
      </c>
      <c r="AC247" t="str">
        <f>TEXT(Table1[[#This Row],[Hire Date]],"mmmm")</f>
        <v>اوت</v>
      </c>
      <c r="AD247" t="str">
        <f>IF(Table1[[#This Row],[Resigned]]="yes","former","active")</f>
        <v>active</v>
      </c>
    </row>
    <row r="248" spans="1:30" x14ac:dyDescent="0.3">
      <c r="A248" t="s">
        <v>561</v>
      </c>
      <c r="B248" t="s">
        <v>562</v>
      </c>
      <c r="C248" t="s">
        <v>27</v>
      </c>
      <c r="D248">
        <v>46</v>
      </c>
      <c r="E248" t="s">
        <v>56</v>
      </c>
      <c r="F248" t="s">
        <v>84</v>
      </c>
      <c r="G248" t="s">
        <v>30</v>
      </c>
      <c r="H248" t="s">
        <v>31</v>
      </c>
      <c r="I248" t="s">
        <v>65</v>
      </c>
      <c r="J248" s="1">
        <v>44402</v>
      </c>
      <c r="K248">
        <v>5</v>
      </c>
      <c r="L248">
        <v>29687256</v>
      </c>
      <c r="M248">
        <v>2298759</v>
      </c>
      <c r="N248" t="s">
        <v>33</v>
      </c>
      <c r="O248">
        <v>4.1100000000000003</v>
      </c>
      <c r="P248">
        <v>6</v>
      </c>
      <c r="Q248">
        <v>1</v>
      </c>
      <c r="R248">
        <v>1</v>
      </c>
      <c r="S248">
        <v>8</v>
      </c>
      <c r="T248" t="s">
        <v>33</v>
      </c>
      <c r="U248" t="s">
        <v>34</v>
      </c>
      <c r="V248" t="s">
        <v>51</v>
      </c>
      <c r="W248" t="s">
        <v>34</v>
      </c>
      <c r="X248" t="s">
        <v>36</v>
      </c>
      <c r="Z248" t="str">
        <f>IF(Table1[[#This Row],[Age]]&lt;30,"20-29",IF(Table1[[#This Row],[Age]]&lt;40,"30-39",IF(Table1[[#This Row],[Age]]&lt;50,"40-49","50+")))</f>
        <v>40-49</v>
      </c>
      <c r="AA248" t="str">
        <f>IF(Table1[[#This Row],[Salary]]&lt;20000000,"low",IF(Table1[[#This Row],[Salary]]&lt;40000000,"medium","high"))</f>
        <v>medium</v>
      </c>
      <c r="AB248">
        <f>YEAR(Table1[[#This Row],[Hire Date]])</f>
        <v>2021</v>
      </c>
      <c r="AC248" t="str">
        <f>TEXT(Table1[[#This Row],[Hire Date]],"mmmm")</f>
        <v>ژوئيه</v>
      </c>
      <c r="AD248" t="str">
        <f>IF(Table1[[#This Row],[Resigned]]="yes","former","active")</f>
        <v>active</v>
      </c>
    </row>
    <row r="249" spans="1:30" x14ac:dyDescent="0.3">
      <c r="A249" t="s">
        <v>563</v>
      </c>
      <c r="B249" t="s">
        <v>564</v>
      </c>
      <c r="C249" t="s">
        <v>27</v>
      </c>
      <c r="D249">
        <v>46</v>
      </c>
      <c r="E249" t="s">
        <v>63</v>
      </c>
      <c r="F249" t="s">
        <v>93</v>
      </c>
      <c r="G249" t="s">
        <v>30</v>
      </c>
      <c r="H249" t="s">
        <v>31</v>
      </c>
      <c r="I249" t="s">
        <v>50</v>
      </c>
      <c r="J249" s="1">
        <v>45707</v>
      </c>
      <c r="K249">
        <v>1</v>
      </c>
      <c r="L249">
        <v>31399330</v>
      </c>
      <c r="M249">
        <v>544007</v>
      </c>
      <c r="N249" t="s">
        <v>33</v>
      </c>
      <c r="O249">
        <v>4.22</v>
      </c>
      <c r="P249">
        <v>41</v>
      </c>
      <c r="Q249">
        <v>2</v>
      </c>
      <c r="R249">
        <v>3</v>
      </c>
      <c r="S249">
        <v>12</v>
      </c>
      <c r="T249" t="s">
        <v>33</v>
      </c>
      <c r="U249" t="s">
        <v>34</v>
      </c>
      <c r="V249" t="s">
        <v>70</v>
      </c>
      <c r="W249" t="s">
        <v>33</v>
      </c>
      <c r="X249" t="s">
        <v>45</v>
      </c>
      <c r="Z249" t="str">
        <f>IF(Table1[[#This Row],[Age]]&lt;30,"20-29",IF(Table1[[#This Row],[Age]]&lt;40,"30-39",IF(Table1[[#This Row],[Age]]&lt;50,"40-49","50+")))</f>
        <v>40-49</v>
      </c>
      <c r="AA249" t="str">
        <f>IF(Table1[[#This Row],[Salary]]&lt;20000000,"low",IF(Table1[[#This Row],[Salary]]&lt;40000000,"medium","high"))</f>
        <v>medium</v>
      </c>
      <c r="AB249">
        <f>YEAR(Table1[[#This Row],[Hire Date]])</f>
        <v>2025</v>
      </c>
      <c r="AC249" t="str">
        <f>TEXT(Table1[[#This Row],[Hire Date]],"mmmm")</f>
        <v>فوريه</v>
      </c>
      <c r="AD249" t="str">
        <f>IF(Table1[[#This Row],[Resigned]]="yes","former","active")</f>
        <v>active</v>
      </c>
    </row>
    <row r="250" spans="1:30" x14ac:dyDescent="0.3">
      <c r="A250" t="s">
        <v>565</v>
      </c>
      <c r="B250" t="s">
        <v>566</v>
      </c>
      <c r="C250" t="s">
        <v>27</v>
      </c>
      <c r="D250">
        <v>56</v>
      </c>
      <c r="E250" t="s">
        <v>56</v>
      </c>
      <c r="F250" t="s">
        <v>84</v>
      </c>
      <c r="G250" t="s">
        <v>58</v>
      </c>
      <c r="H250" t="s">
        <v>31</v>
      </c>
      <c r="I250" t="s">
        <v>43</v>
      </c>
      <c r="J250" s="1">
        <v>42522</v>
      </c>
      <c r="K250">
        <v>10</v>
      </c>
      <c r="L250">
        <v>57655007</v>
      </c>
      <c r="M250">
        <v>9182786</v>
      </c>
      <c r="N250" t="s">
        <v>33</v>
      </c>
      <c r="O250">
        <v>3.01</v>
      </c>
      <c r="P250">
        <v>53</v>
      </c>
      <c r="Q250">
        <v>2</v>
      </c>
      <c r="R250">
        <v>3</v>
      </c>
      <c r="S250">
        <v>10</v>
      </c>
      <c r="T250" t="s">
        <v>33</v>
      </c>
      <c r="U250" t="s">
        <v>34</v>
      </c>
      <c r="V250" t="s">
        <v>51</v>
      </c>
      <c r="W250" t="s">
        <v>33</v>
      </c>
      <c r="X250" t="s">
        <v>52</v>
      </c>
      <c r="Z250" t="str">
        <f>IF(Table1[[#This Row],[Age]]&lt;30,"20-29",IF(Table1[[#This Row],[Age]]&lt;40,"30-39",IF(Table1[[#This Row],[Age]]&lt;50,"40-49","50+")))</f>
        <v>50+</v>
      </c>
      <c r="AA250" t="str">
        <f>IF(Table1[[#This Row],[Salary]]&lt;20000000,"low",IF(Table1[[#This Row],[Salary]]&lt;40000000,"medium","high"))</f>
        <v>high</v>
      </c>
      <c r="AB250">
        <f>YEAR(Table1[[#This Row],[Hire Date]])</f>
        <v>2016</v>
      </c>
      <c r="AC250" t="str">
        <f>TEXT(Table1[[#This Row],[Hire Date]],"mmmm")</f>
        <v>ژوئن</v>
      </c>
      <c r="AD250" t="str">
        <f>IF(Table1[[#This Row],[Resigned]]="yes","former","active")</f>
        <v>active</v>
      </c>
    </row>
    <row r="251" spans="1:30" x14ac:dyDescent="0.3">
      <c r="A251" t="s">
        <v>567</v>
      </c>
      <c r="B251" t="s">
        <v>568</v>
      </c>
      <c r="C251" t="s">
        <v>39</v>
      </c>
      <c r="D251">
        <v>40</v>
      </c>
      <c r="E251" t="s">
        <v>110</v>
      </c>
      <c r="F251" t="s">
        <v>111</v>
      </c>
      <c r="G251" t="s">
        <v>49</v>
      </c>
      <c r="H251" t="s">
        <v>42</v>
      </c>
      <c r="I251" t="s">
        <v>50</v>
      </c>
      <c r="J251" s="1">
        <v>45296</v>
      </c>
      <c r="K251">
        <v>2</v>
      </c>
      <c r="L251">
        <v>30974169</v>
      </c>
      <c r="M251">
        <v>4294217</v>
      </c>
      <c r="N251" t="s">
        <v>33</v>
      </c>
      <c r="O251">
        <v>2.95</v>
      </c>
      <c r="P251">
        <v>13</v>
      </c>
      <c r="Q251">
        <v>1</v>
      </c>
      <c r="R251">
        <v>2</v>
      </c>
      <c r="S251">
        <v>16</v>
      </c>
      <c r="T251" t="s">
        <v>33</v>
      </c>
      <c r="U251" t="s">
        <v>33</v>
      </c>
      <c r="V251" t="s">
        <v>35</v>
      </c>
      <c r="W251" t="s">
        <v>33</v>
      </c>
      <c r="X251" t="s">
        <v>36</v>
      </c>
      <c r="Y251" t="s">
        <v>162</v>
      </c>
      <c r="Z251" t="str">
        <f>IF(Table1[[#This Row],[Age]]&lt;30,"20-29",IF(Table1[[#This Row],[Age]]&lt;40,"30-39",IF(Table1[[#This Row],[Age]]&lt;50,"40-49","50+")))</f>
        <v>40-49</v>
      </c>
      <c r="AA251" t="str">
        <f>IF(Table1[[#This Row],[Salary]]&lt;20000000,"low",IF(Table1[[#This Row],[Salary]]&lt;40000000,"medium","high"))</f>
        <v>medium</v>
      </c>
      <c r="AB251">
        <f>YEAR(Table1[[#This Row],[Hire Date]])</f>
        <v>2024</v>
      </c>
      <c r="AC251" t="str">
        <f>TEXT(Table1[[#This Row],[Hire Date]],"mmmm")</f>
        <v>ژانويه</v>
      </c>
      <c r="AD251" t="str">
        <f>IF(Table1[[#This Row],[Resigned]]="yes","former","active")</f>
        <v>former</v>
      </c>
    </row>
    <row r="252" spans="1:30" x14ac:dyDescent="0.3">
      <c r="A252" t="s">
        <v>569</v>
      </c>
      <c r="B252" t="s">
        <v>570</v>
      </c>
      <c r="C252" t="s">
        <v>27</v>
      </c>
      <c r="D252">
        <v>43</v>
      </c>
      <c r="E252" t="s">
        <v>56</v>
      </c>
      <c r="F252" t="s">
        <v>84</v>
      </c>
      <c r="G252" t="s">
        <v>49</v>
      </c>
      <c r="H252" t="s">
        <v>42</v>
      </c>
      <c r="I252" t="s">
        <v>43</v>
      </c>
      <c r="J252" s="1">
        <v>43385</v>
      </c>
      <c r="K252">
        <v>8</v>
      </c>
      <c r="L252">
        <v>21690435</v>
      </c>
      <c r="M252">
        <v>5744716</v>
      </c>
      <c r="N252" t="s">
        <v>34</v>
      </c>
      <c r="O252">
        <v>3.84</v>
      </c>
      <c r="P252">
        <v>13</v>
      </c>
      <c r="Q252">
        <v>2</v>
      </c>
      <c r="R252">
        <v>3</v>
      </c>
      <c r="S252">
        <v>11</v>
      </c>
      <c r="T252" t="s">
        <v>33</v>
      </c>
      <c r="U252" t="s">
        <v>34</v>
      </c>
      <c r="V252" t="s">
        <v>44</v>
      </c>
      <c r="W252" t="s">
        <v>33</v>
      </c>
      <c r="X252" t="s">
        <v>45</v>
      </c>
      <c r="Z252" t="str">
        <f>IF(Table1[[#This Row],[Age]]&lt;30,"20-29",IF(Table1[[#This Row],[Age]]&lt;40,"30-39",IF(Table1[[#This Row],[Age]]&lt;50,"40-49","50+")))</f>
        <v>40-49</v>
      </c>
      <c r="AA252" t="str">
        <f>IF(Table1[[#This Row],[Salary]]&lt;20000000,"low",IF(Table1[[#This Row],[Salary]]&lt;40000000,"medium","high"))</f>
        <v>medium</v>
      </c>
      <c r="AB252">
        <f>YEAR(Table1[[#This Row],[Hire Date]])</f>
        <v>2018</v>
      </c>
      <c r="AC252" t="str">
        <f>TEXT(Table1[[#This Row],[Hire Date]],"mmmm")</f>
        <v>اُكتبر</v>
      </c>
      <c r="AD252" t="str">
        <f>IF(Table1[[#This Row],[Resigned]]="yes","former","active")</f>
        <v>active</v>
      </c>
    </row>
    <row r="253" spans="1:30" x14ac:dyDescent="0.3">
      <c r="A253" t="s">
        <v>571</v>
      </c>
      <c r="B253" t="s">
        <v>572</v>
      </c>
      <c r="C253" t="s">
        <v>27</v>
      </c>
      <c r="D253">
        <v>43</v>
      </c>
      <c r="E253" t="s">
        <v>56</v>
      </c>
      <c r="F253" t="s">
        <v>57</v>
      </c>
      <c r="G253" t="s">
        <v>49</v>
      </c>
      <c r="H253" t="s">
        <v>31</v>
      </c>
      <c r="I253" t="s">
        <v>65</v>
      </c>
      <c r="J253" s="1">
        <v>42918</v>
      </c>
      <c r="K253">
        <v>9</v>
      </c>
      <c r="L253">
        <v>47741634</v>
      </c>
      <c r="M253">
        <v>3834449</v>
      </c>
      <c r="N253" t="s">
        <v>33</v>
      </c>
      <c r="O253">
        <v>3.37</v>
      </c>
      <c r="P253">
        <v>66</v>
      </c>
      <c r="Q253">
        <v>1</v>
      </c>
      <c r="R253">
        <v>4</v>
      </c>
      <c r="S253">
        <v>19</v>
      </c>
      <c r="T253" t="s">
        <v>34</v>
      </c>
      <c r="U253" t="s">
        <v>33</v>
      </c>
      <c r="V253" t="s">
        <v>70</v>
      </c>
      <c r="W253" t="s">
        <v>34</v>
      </c>
      <c r="X253" t="s">
        <v>45</v>
      </c>
      <c r="Y253" t="s">
        <v>162</v>
      </c>
      <c r="Z253" t="str">
        <f>IF(Table1[[#This Row],[Age]]&lt;30,"20-29",IF(Table1[[#This Row],[Age]]&lt;40,"30-39",IF(Table1[[#This Row],[Age]]&lt;50,"40-49","50+")))</f>
        <v>40-49</v>
      </c>
      <c r="AA253" t="str">
        <f>IF(Table1[[#This Row],[Salary]]&lt;20000000,"low",IF(Table1[[#This Row],[Salary]]&lt;40000000,"medium","high"))</f>
        <v>high</v>
      </c>
      <c r="AB253">
        <f>YEAR(Table1[[#This Row],[Hire Date]])</f>
        <v>2017</v>
      </c>
      <c r="AC253" t="str">
        <f>TEXT(Table1[[#This Row],[Hire Date]],"mmmm")</f>
        <v>ژوئيه</v>
      </c>
      <c r="AD253" t="str">
        <f>IF(Table1[[#This Row],[Resigned]]="yes","former","active")</f>
        <v>former</v>
      </c>
    </row>
    <row r="254" spans="1:30" x14ac:dyDescent="0.3">
      <c r="A254" t="s">
        <v>573</v>
      </c>
      <c r="B254" t="s">
        <v>574</v>
      </c>
      <c r="C254" t="s">
        <v>39</v>
      </c>
      <c r="D254">
        <v>42</v>
      </c>
      <c r="E254" t="s">
        <v>73</v>
      </c>
      <c r="F254" t="s">
        <v>74</v>
      </c>
      <c r="G254" t="s">
        <v>49</v>
      </c>
      <c r="H254" t="s">
        <v>31</v>
      </c>
      <c r="I254" t="s">
        <v>65</v>
      </c>
      <c r="J254" s="1">
        <v>43216</v>
      </c>
      <c r="K254">
        <v>8</v>
      </c>
      <c r="L254">
        <v>30259999</v>
      </c>
      <c r="M254">
        <v>2313089</v>
      </c>
      <c r="N254" t="s">
        <v>33</v>
      </c>
      <c r="O254">
        <v>4.54</v>
      </c>
      <c r="P254">
        <v>32</v>
      </c>
      <c r="Q254">
        <v>4</v>
      </c>
      <c r="R254">
        <v>4</v>
      </c>
      <c r="S254">
        <v>8</v>
      </c>
      <c r="T254" t="s">
        <v>34</v>
      </c>
      <c r="U254" t="s">
        <v>34</v>
      </c>
      <c r="V254" t="s">
        <v>70</v>
      </c>
      <c r="W254" t="s">
        <v>33</v>
      </c>
      <c r="X254" t="s">
        <v>45</v>
      </c>
      <c r="Z254" t="str">
        <f>IF(Table1[[#This Row],[Age]]&lt;30,"20-29",IF(Table1[[#This Row],[Age]]&lt;40,"30-39",IF(Table1[[#This Row],[Age]]&lt;50,"40-49","50+")))</f>
        <v>40-49</v>
      </c>
      <c r="AA254" t="str">
        <f>IF(Table1[[#This Row],[Salary]]&lt;20000000,"low",IF(Table1[[#This Row],[Salary]]&lt;40000000,"medium","high"))</f>
        <v>medium</v>
      </c>
      <c r="AB254">
        <f>YEAR(Table1[[#This Row],[Hire Date]])</f>
        <v>2018</v>
      </c>
      <c r="AC254" t="str">
        <f>TEXT(Table1[[#This Row],[Hire Date]],"mmmm")</f>
        <v>آوريل</v>
      </c>
      <c r="AD254" t="str">
        <f>IF(Table1[[#This Row],[Resigned]]="yes","former","active")</f>
        <v>active</v>
      </c>
    </row>
    <row r="255" spans="1:30" x14ac:dyDescent="0.3">
      <c r="A255" t="s">
        <v>575</v>
      </c>
      <c r="B255" t="s">
        <v>576</v>
      </c>
      <c r="C255" t="s">
        <v>27</v>
      </c>
      <c r="D255">
        <v>25</v>
      </c>
      <c r="E255" t="s">
        <v>28</v>
      </c>
      <c r="F255" t="s">
        <v>80</v>
      </c>
      <c r="G255" t="s">
        <v>30</v>
      </c>
      <c r="H255" t="s">
        <v>31</v>
      </c>
      <c r="I255" t="s">
        <v>32</v>
      </c>
      <c r="J255" s="1">
        <v>42670</v>
      </c>
      <c r="K255">
        <v>10</v>
      </c>
      <c r="L255">
        <v>46284744</v>
      </c>
      <c r="M255">
        <v>3567710</v>
      </c>
      <c r="N255" t="s">
        <v>34</v>
      </c>
      <c r="O255">
        <v>4.5599999999999996</v>
      </c>
      <c r="P255">
        <v>61</v>
      </c>
      <c r="Q255">
        <v>3</v>
      </c>
      <c r="R255">
        <v>3</v>
      </c>
      <c r="S255">
        <v>6</v>
      </c>
      <c r="T255" t="s">
        <v>34</v>
      </c>
      <c r="U255" t="s">
        <v>34</v>
      </c>
      <c r="V255" t="s">
        <v>59</v>
      </c>
      <c r="W255" t="s">
        <v>34</v>
      </c>
      <c r="X255" t="s">
        <v>45</v>
      </c>
      <c r="Z255" t="str">
        <f>IF(Table1[[#This Row],[Age]]&lt;30,"20-29",IF(Table1[[#This Row],[Age]]&lt;40,"30-39",IF(Table1[[#This Row],[Age]]&lt;50,"40-49","50+")))</f>
        <v>20-29</v>
      </c>
      <c r="AA255" t="str">
        <f>IF(Table1[[#This Row],[Salary]]&lt;20000000,"low",IF(Table1[[#This Row],[Salary]]&lt;40000000,"medium","high"))</f>
        <v>high</v>
      </c>
      <c r="AB255">
        <f>YEAR(Table1[[#This Row],[Hire Date]])</f>
        <v>2016</v>
      </c>
      <c r="AC255" t="str">
        <f>TEXT(Table1[[#This Row],[Hire Date]],"mmmm")</f>
        <v>اُكتبر</v>
      </c>
      <c r="AD255" t="str">
        <f>IF(Table1[[#This Row],[Resigned]]="yes","former","active")</f>
        <v>active</v>
      </c>
    </row>
    <row r="256" spans="1:30" x14ac:dyDescent="0.3">
      <c r="A256" t="s">
        <v>577</v>
      </c>
      <c r="B256" t="s">
        <v>578</v>
      </c>
      <c r="C256" t="s">
        <v>27</v>
      </c>
      <c r="D256">
        <v>49</v>
      </c>
      <c r="E256" t="s">
        <v>40</v>
      </c>
      <c r="F256" t="s">
        <v>41</v>
      </c>
      <c r="G256" t="s">
        <v>30</v>
      </c>
      <c r="H256" t="s">
        <v>42</v>
      </c>
      <c r="I256" t="s">
        <v>50</v>
      </c>
      <c r="J256" s="1">
        <v>43665</v>
      </c>
      <c r="K256">
        <v>7</v>
      </c>
      <c r="L256">
        <v>51604498</v>
      </c>
      <c r="M256">
        <v>203100</v>
      </c>
      <c r="N256" t="s">
        <v>34</v>
      </c>
      <c r="O256">
        <v>2.99</v>
      </c>
      <c r="P256">
        <v>66</v>
      </c>
      <c r="Q256">
        <v>3</v>
      </c>
      <c r="R256">
        <v>4</v>
      </c>
      <c r="S256">
        <v>20</v>
      </c>
      <c r="T256" t="s">
        <v>33</v>
      </c>
      <c r="U256" t="s">
        <v>34</v>
      </c>
      <c r="V256" t="s">
        <v>59</v>
      </c>
      <c r="W256" t="s">
        <v>33</v>
      </c>
      <c r="X256" t="s">
        <v>36</v>
      </c>
      <c r="Z256" t="str">
        <f>IF(Table1[[#This Row],[Age]]&lt;30,"20-29",IF(Table1[[#This Row],[Age]]&lt;40,"30-39",IF(Table1[[#This Row],[Age]]&lt;50,"40-49","50+")))</f>
        <v>40-49</v>
      </c>
      <c r="AA256" t="str">
        <f>IF(Table1[[#This Row],[Salary]]&lt;20000000,"low",IF(Table1[[#This Row],[Salary]]&lt;40000000,"medium","high"))</f>
        <v>high</v>
      </c>
      <c r="AB256">
        <f>YEAR(Table1[[#This Row],[Hire Date]])</f>
        <v>2019</v>
      </c>
      <c r="AC256" t="str">
        <f>TEXT(Table1[[#This Row],[Hire Date]],"mmmm")</f>
        <v>ژوئيه</v>
      </c>
      <c r="AD256" t="str">
        <f>IF(Table1[[#This Row],[Resigned]]="yes","former","active")</f>
        <v>active</v>
      </c>
    </row>
    <row r="257" spans="1:30" x14ac:dyDescent="0.3">
      <c r="A257" t="s">
        <v>579</v>
      </c>
      <c r="B257" t="s">
        <v>580</v>
      </c>
      <c r="C257" t="s">
        <v>27</v>
      </c>
      <c r="D257">
        <v>54</v>
      </c>
      <c r="E257" t="s">
        <v>73</v>
      </c>
      <c r="F257" t="s">
        <v>127</v>
      </c>
      <c r="G257" t="s">
        <v>30</v>
      </c>
      <c r="H257" t="s">
        <v>42</v>
      </c>
      <c r="I257" t="s">
        <v>32</v>
      </c>
      <c r="J257" s="1">
        <v>42438</v>
      </c>
      <c r="K257">
        <v>10</v>
      </c>
      <c r="L257">
        <v>39584866</v>
      </c>
      <c r="M257">
        <v>1596200</v>
      </c>
      <c r="N257" t="s">
        <v>33</v>
      </c>
      <c r="O257">
        <v>4.4000000000000004</v>
      </c>
      <c r="P257">
        <v>48</v>
      </c>
      <c r="Q257">
        <v>1</v>
      </c>
      <c r="R257">
        <v>1</v>
      </c>
      <c r="S257">
        <v>12</v>
      </c>
      <c r="T257" t="s">
        <v>34</v>
      </c>
      <c r="U257" t="s">
        <v>34</v>
      </c>
      <c r="V257" t="s">
        <v>59</v>
      </c>
      <c r="W257" t="s">
        <v>33</v>
      </c>
      <c r="X257" t="s">
        <v>52</v>
      </c>
      <c r="Z257" t="str">
        <f>IF(Table1[[#This Row],[Age]]&lt;30,"20-29",IF(Table1[[#This Row],[Age]]&lt;40,"30-39",IF(Table1[[#This Row],[Age]]&lt;50,"40-49","50+")))</f>
        <v>50+</v>
      </c>
      <c r="AA257" t="str">
        <f>IF(Table1[[#This Row],[Salary]]&lt;20000000,"low",IF(Table1[[#This Row],[Salary]]&lt;40000000,"medium","high"))</f>
        <v>medium</v>
      </c>
      <c r="AB257">
        <f>YEAR(Table1[[#This Row],[Hire Date]])</f>
        <v>2016</v>
      </c>
      <c r="AC257" t="str">
        <f>TEXT(Table1[[#This Row],[Hire Date]],"mmmm")</f>
        <v>مارس</v>
      </c>
      <c r="AD257" t="str">
        <f>IF(Table1[[#This Row],[Resigned]]="yes","former","active")</f>
        <v>active</v>
      </c>
    </row>
    <row r="258" spans="1:30" x14ac:dyDescent="0.3">
      <c r="A258" t="s">
        <v>581</v>
      </c>
      <c r="B258" t="s">
        <v>582</v>
      </c>
      <c r="C258" t="s">
        <v>27</v>
      </c>
      <c r="D258">
        <v>47</v>
      </c>
      <c r="E258" t="s">
        <v>63</v>
      </c>
      <c r="F258" t="s">
        <v>93</v>
      </c>
      <c r="G258" t="s">
        <v>49</v>
      </c>
      <c r="H258" t="s">
        <v>31</v>
      </c>
      <c r="I258" t="s">
        <v>32</v>
      </c>
      <c r="J258" s="1">
        <v>42909</v>
      </c>
      <c r="K258">
        <v>9</v>
      </c>
      <c r="L258">
        <v>13523129</v>
      </c>
      <c r="M258">
        <v>2213879</v>
      </c>
      <c r="N258" t="s">
        <v>33</v>
      </c>
      <c r="O258">
        <v>3.07</v>
      </c>
      <c r="P258">
        <v>0</v>
      </c>
      <c r="Q258">
        <v>2</v>
      </c>
      <c r="R258">
        <v>1</v>
      </c>
      <c r="S258">
        <v>18</v>
      </c>
      <c r="T258" t="s">
        <v>34</v>
      </c>
      <c r="U258" t="s">
        <v>34</v>
      </c>
      <c r="V258" t="s">
        <v>51</v>
      </c>
      <c r="W258" t="s">
        <v>33</v>
      </c>
      <c r="X258" t="s">
        <v>36</v>
      </c>
      <c r="Z258" t="str">
        <f>IF(Table1[[#This Row],[Age]]&lt;30,"20-29",IF(Table1[[#This Row],[Age]]&lt;40,"30-39",IF(Table1[[#This Row],[Age]]&lt;50,"40-49","50+")))</f>
        <v>40-49</v>
      </c>
      <c r="AA258" t="str">
        <f>IF(Table1[[#This Row],[Salary]]&lt;20000000,"low",IF(Table1[[#This Row],[Salary]]&lt;40000000,"medium","high"))</f>
        <v>low</v>
      </c>
      <c r="AB258">
        <f>YEAR(Table1[[#This Row],[Hire Date]])</f>
        <v>2017</v>
      </c>
      <c r="AC258" t="str">
        <f>TEXT(Table1[[#This Row],[Hire Date]],"mmmm")</f>
        <v>ژوئن</v>
      </c>
      <c r="AD258" t="str">
        <f>IF(Table1[[#This Row],[Resigned]]="yes","former","active")</f>
        <v>active</v>
      </c>
    </row>
    <row r="259" spans="1:30" x14ac:dyDescent="0.3">
      <c r="A259" t="s">
        <v>583</v>
      </c>
      <c r="B259" t="s">
        <v>584</v>
      </c>
      <c r="C259" t="s">
        <v>27</v>
      </c>
      <c r="D259">
        <v>40</v>
      </c>
      <c r="E259" t="s">
        <v>110</v>
      </c>
      <c r="F259" t="s">
        <v>120</v>
      </c>
      <c r="G259" t="s">
        <v>30</v>
      </c>
      <c r="H259" t="s">
        <v>31</v>
      </c>
      <c r="I259" t="s">
        <v>32</v>
      </c>
      <c r="J259" s="1">
        <v>44126</v>
      </c>
      <c r="K259">
        <v>6</v>
      </c>
      <c r="L259">
        <v>42011891</v>
      </c>
      <c r="M259">
        <v>2294178</v>
      </c>
      <c r="N259" t="s">
        <v>34</v>
      </c>
      <c r="O259">
        <v>4.08</v>
      </c>
      <c r="P259">
        <v>14</v>
      </c>
      <c r="Q259">
        <v>1</v>
      </c>
      <c r="R259">
        <v>5</v>
      </c>
      <c r="S259">
        <v>15</v>
      </c>
      <c r="T259" t="s">
        <v>33</v>
      </c>
      <c r="U259" t="s">
        <v>34</v>
      </c>
      <c r="V259" t="s">
        <v>59</v>
      </c>
      <c r="W259" t="s">
        <v>33</v>
      </c>
      <c r="X259" t="s">
        <v>45</v>
      </c>
      <c r="Z259" t="str">
        <f>IF(Table1[[#This Row],[Age]]&lt;30,"20-29",IF(Table1[[#This Row],[Age]]&lt;40,"30-39",IF(Table1[[#This Row],[Age]]&lt;50,"40-49","50+")))</f>
        <v>40-49</v>
      </c>
      <c r="AA259" t="str">
        <f>IF(Table1[[#This Row],[Salary]]&lt;20000000,"low",IF(Table1[[#This Row],[Salary]]&lt;40000000,"medium","high"))</f>
        <v>high</v>
      </c>
      <c r="AB259">
        <f>YEAR(Table1[[#This Row],[Hire Date]])</f>
        <v>2020</v>
      </c>
      <c r="AC259" t="str">
        <f>TEXT(Table1[[#This Row],[Hire Date]],"mmmm")</f>
        <v>اُكتبر</v>
      </c>
      <c r="AD259" t="str">
        <f>IF(Table1[[#This Row],[Resigned]]="yes","former","active")</f>
        <v>active</v>
      </c>
    </row>
    <row r="260" spans="1:30" x14ac:dyDescent="0.3">
      <c r="A260" t="s">
        <v>585</v>
      </c>
      <c r="B260" t="s">
        <v>586</v>
      </c>
      <c r="C260" t="s">
        <v>27</v>
      </c>
      <c r="D260">
        <v>56</v>
      </c>
      <c r="E260" t="s">
        <v>40</v>
      </c>
      <c r="F260" t="s">
        <v>41</v>
      </c>
      <c r="G260" t="s">
        <v>58</v>
      </c>
      <c r="H260" t="s">
        <v>31</v>
      </c>
      <c r="I260" t="s">
        <v>65</v>
      </c>
      <c r="J260" s="1">
        <v>45659</v>
      </c>
      <c r="K260">
        <v>1</v>
      </c>
      <c r="L260">
        <v>16310405</v>
      </c>
      <c r="M260">
        <v>2793128</v>
      </c>
      <c r="N260" t="s">
        <v>33</v>
      </c>
      <c r="O260">
        <v>4.1100000000000003</v>
      </c>
      <c r="P260">
        <v>72</v>
      </c>
      <c r="Q260">
        <v>3</v>
      </c>
      <c r="R260">
        <v>3</v>
      </c>
      <c r="S260">
        <v>2</v>
      </c>
      <c r="T260" t="s">
        <v>34</v>
      </c>
      <c r="U260" t="s">
        <v>33</v>
      </c>
      <c r="V260" t="s">
        <v>35</v>
      </c>
      <c r="W260" t="s">
        <v>33</v>
      </c>
      <c r="X260" t="s">
        <v>52</v>
      </c>
      <c r="Y260" t="s">
        <v>162</v>
      </c>
      <c r="Z260" t="str">
        <f>IF(Table1[[#This Row],[Age]]&lt;30,"20-29",IF(Table1[[#This Row],[Age]]&lt;40,"30-39",IF(Table1[[#This Row],[Age]]&lt;50,"40-49","50+")))</f>
        <v>50+</v>
      </c>
      <c r="AA260" t="str">
        <f>IF(Table1[[#This Row],[Salary]]&lt;20000000,"low",IF(Table1[[#This Row],[Salary]]&lt;40000000,"medium","high"))</f>
        <v>low</v>
      </c>
      <c r="AB260">
        <f>YEAR(Table1[[#This Row],[Hire Date]])</f>
        <v>2025</v>
      </c>
      <c r="AC260" t="str">
        <f>TEXT(Table1[[#This Row],[Hire Date]],"mmmm")</f>
        <v>ژانويه</v>
      </c>
      <c r="AD260" t="str">
        <f>IF(Table1[[#This Row],[Resigned]]="yes","former","active")</f>
        <v>former</v>
      </c>
    </row>
    <row r="261" spans="1:30" x14ac:dyDescent="0.3">
      <c r="A261" t="s">
        <v>587</v>
      </c>
      <c r="B261" t="s">
        <v>588</v>
      </c>
      <c r="C261" t="s">
        <v>27</v>
      </c>
      <c r="D261">
        <v>45</v>
      </c>
      <c r="E261" t="s">
        <v>73</v>
      </c>
      <c r="F261" t="s">
        <v>74</v>
      </c>
      <c r="G261" t="s">
        <v>58</v>
      </c>
      <c r="H261" t="s">
        <v>31</v>
      </c>
      <c r="I261" t="s">
        <v>50</v>
      </c>
      <c r="J261" s="1">
        <v>43520</v>
      </c>
      <c r="K261">
        <v>7</v>
      </c>
      <c r="L261">
        <v>22573348</v>
      </c>
      <c r="M261">
        <v>4751212</v>
      </c>
      <c r="N261" t="s">
        <v>33</v>
      </c>
      <c r="O261">
        <v>4.6900000000000004</v>
      </c>
      <c r="P261">
        <v>17</v>
      </c>
      <c r="Q261">
        <v>1</v>
      </c>
      <c r="R261">
        <v>5</v>
      </c>
      <c r="S261">
        <v>20</v>
      </c>
      <c r="T261" t="s">
        <v>34</v>
      </c>
      <c r="U261" t="s">
        <v>34</v>
      </c>
      <c r="V261" t="s">
        <v>51</v>
      </c>
      <c r="W261" t="s">
        <v>33</v>
      </c>
      <c r="X261" t="s">
        <v>45</v>
      </c>
      <c r="Z261" t="str">
        <f>IF(Table1[[#This Row],[Age]]&lt;30,"20-29",IF(Table1[[#This Row],[Age]]&lt;40,"30-39",IF(Table1[[#This Row],[Age]]&lt;50,"40-49","50+")))</f>
        <v>40-49</v>
      </c>
      <c r="AA261" t="str">
        <f>IF(Table1[[#This Row],[Salary]]&lt;20000000,"low",IF(Table1[[#This Row],[Salary]]&lt;40000000,"medium","high"))</f>
        <v>medium</v>
      </c>
      <c r="AB261">
        <f>YEAR(Table1[[#This Row],[Hire Date]])</f>
        <v>2019</v>
      </c>
      <c r="AC261" t="str">
        <f>TEXT(Table1[[#This Row],[Hire Date]],"mmmm")</f>
        <v>فوريه</v>
      </c>
      <c r="AD261" t="str">
        <f>IF(Table1[[#This Row],[Resigned]]="yes","former","active")</f>
        <v>active</v>
      </c>
    </row>
    <row r="262" spans="1:30" x14ac:dyDescent="0.3">
      <c r="A262" t="s">
        <v>589</v>
      </c>
      <c r="B262" t="s">
        <v>590</v>
      </c>
      <c r="C262" t="s">
        <v>27</v>
      </c>
      <c r="D262">
        <v>28</v>
      </c>
      <c r="E262" t="s">
        <v>63</v>
      </c>
      <c r="F262" t="s">
        <v>64</v>
      </c>
      <c r="G262" t="s">
        <v>30</v>
      </c>
      <c r="H262" t="s">
        <v>31</v>
      </c>
      <c r="I262" t="s">
        <v>65</v>
      </c>
      <c r="J262" s="1">
        <v>43916</v>
      </c>
      <c r="K262">
        <v>6</v>
      </c>
      <c r="L262">
        <v>26847402</v>
      </c>
      <c r="M262">
        <v>5209714</v>
      </c>
      <c r="N262" t="s">
        <v>34</v>
      </c>
      <c r="O262">
        <v>4.18</v>
      </c>
      <c r="P262">
        <v>10</v>
      </c>
      <c r="Q262">
        <v>4</v>
      </c>
      <c r="R262">
        <v>4</v>
      </c>
      <c r="S262">
        <v>1</v>
      </c>
      <c r="T262" t="s">
        <v>33</v>
      </c>
      <c r="U262" t="s">
        <v>33</v>
      </c>
      <c r="V262" t="s">
        <v>44</v>
      </c>
      <c r="W262" t="s">
        <v>34</v>
      </c>
      <c r="X262" t="s">
        <v>36</v>
      </c>
      <c r="Y262" t="s">
        <v>60</v>
      </c>
      <c r="Z262" t="str">
        <f>IF(Table1[[#This Row],[Age]]&lt;30,"20-29",IF(Table1[[#This Row],[Age]]&lt;40,"30-39",IF(Table1[[#This Row],[Age]]&lt;50,"40-49","50+")))</f>
        <v>20-29</v>
      </c>
      <c r="AA262" t="str">
        <f>IF(Table1[[#This Row],[Salary]]&lt;20000000,"low",IF(Table1[[#This Row],[Salary]]&lt;40000000,"medium","high"))</f>
        <v>medium</v>
      </c>
      <c r="AB262">
        <f>YEAR(Table1[[#This Row],[Hire Date]])</f>
        <v>2020</v>
      </c>
      <c r="AC262" t="str">
        <f>TEXT(Table1[[#This Row],[Hire Date]],"mmmm")</f>
        <v>مارس</v>
      </c>
      <c r="AD262" t="str">
        <f>IF(Table1[[#This Row],[Resigned]]="yes","former","active")</f>
        <v>former</v>
      </c>
    </row>
    <row r="263" spans="1:30" x14ac:dyDescent="0.3">
      <c r="A263" t="s">
        <v>591</v>
      </c>
      <c r="B263" t="s">
        <v>592</v>
      </c>
      <c r="C263" t="s">
        <v>27</v>
      </c>
      <c r="D263">
        <v>41</v>
      </c>
      <c r="E263" t="s">
        <v>110</v>
      </c>
      <c r="F263" t="s">
        <v>120</v>
      </c>
      <c r="G263" t="s">
        <v>49</v>
      </c>
      <c r="H263" t="s">
        <v>42</v>
      </c>
      <c r="I263" t="s">
        <v>81</v>
      </c>
      <c r="J263" s="1">
        <v>43880</v>
      </c>
      <c r="K263">
        <v>6</v>
      </c>
      <c r="L263">
        <v>43082000</v>
      </c>
      <c r="M263">
        <v>1758670</v>
      </c>
      <c r="N263" t="s">
        <v>34</v>
      </c>
      <c r="O263">
        <v>2.52</v>
      </c>
      <c r="P263">
        <v>5</v>
      </c>
      <c r="Q263">
        <v>2</v>
      </c>
      <c r="R263">
        <v>1</v>
      </c>
      <c r="S263">
        <v>2</v>
      </c>
      <c r="T263" t="s">
        <v>34</v>
      </c>
      <c r="U263" t="s">
        <v>34</v>
      </c>
      <c r="V263" t="s">
        <v>44</v>
      </c>
      <c r="W263" t="s">
        <v>34</v>
      </c>
      <c r="X263" t="s">
        <v>45</v>
      </c>
      <c r="Z263" t="str">
        <f>IF(Table1[[#This Row],[Age]]&lt;30,"20-29",IF(Table1[[#This Row],[Age]]&lt;40,"30-39",IF(Table1[[#This Row],[Age]]&lt;50,"40-49","50+")))</f>
        <v>40-49</v>
      </c>
      <c r="AA263" t="str">
        <f>IF(Table1[[#This Row],[Salary]]&lt;20000000,"low",IF(Table1[[#This Row],[Salary]]&lt;40000000,"medium","high"))</f>
        <v>high</v>
      </c>
      <c r="AB263">
        <f>YEAR(Table1[[#This Row],[Hire Date]])</f>
        <v>2020</v>
      </c>
      <c r="AC263" t="str">
        <f>TEXT(Table1[[#This Row],[Hire Date]],"mmmm")</f>
        <v>فوريه</v>
      </c>
      <c r="AD263" t="str">
        <f>IF(Table1[[#This Row],[Resigned]]="yes","former","active")</f>
        <v>active</v>
      </c>
    </row>
    <row r="264" spans="1:30" x14ac:dyDescent="0.3">
      <c r="A264" t="s">
        <v>593</v>
      </c>
      <c r="B264" t="s">
        <v>594</v>
      </c>
      <c r="C264" t="s">
        <v>27</v>
      </c>
      <c r="D264">
        <v>53</v>
      </c>
      <c r="E264" t="s">
        <v>28</v>
      </c>
      <c r="F264" t="s">
        <v>29</v>
      </c>
      <c r="G264" t="s">
        <v>30</v>
      </c>
      <c r="H264" t="s">
        <v>42</v>
      </c>
      <c r="I264" t="s">
        <v>50</v>
      </c>
      <c r="J264" s="1">
        <v>43354</v>
      </c>
      <c r="K264">
        <v>8</v>
      </c>
      <c r="L264">
        <v>40272447</v>
      </c>
      <c r="M264">
        <v>5413462</v>
      </c>
      <c r="N264" t="s">
        <v>33</v>
      </c>
      <c r="O264">
        <v>3.1</v>
      </c>
      <c r="P264">
        <v>2</v>
      </c>
      <c r="Q264">
        <v>1</v>
      </c>
      <c r="R264">
        <v>4</v>
      </c>
      <c r="S264">
        <v>17</v>
      </c>
      <c r="T264" t="s">
        <v>34</v>
      </c>
      <c r="U264" t="s">
        <v>34</v>
      </c>
      <c r="V264" t="s">
        <v>44</v>
      </c>
      <c r="W264" t="s">
        <v>34</v>
      </c>
      <c r="X264" t="s">
        <v>36</v>
      </c>
      <c r="Z264" t="str">
        <f>IF(Table1[[#This Row],[Age]]&lt;30,"20-29",IF(Table1[[#This Row],[Age]]&lt;40,"30-39",IF(Table1[[#This Row],[Age]]&lt;50,"40-49","50+")))</f>
        <v>50+</v>
      </c>
      <c r="AA264" t="str">
        <f>IF(Table1[[#This Row],[Salary]]&lt;20000000,"low",IF(Table1[[#This Row],[Salary]]&lt;40000000,"medium","high"))</f>
        <v>high</v>
      </c>
      <c r="AB264">
        <f>YEAR(Table1[[#This Row],[Hire Date]])</f>
        <v>2018</v>
      </c>
      <c r="AC264" t="str">
        <f>TEXT(Table1[[#This Row],[Hire Date]],"mmmm")</f>
        <v>سپتامبر</v>
      </c>
      <c r="AD264" t="str">
        <f>IF(Table1[[#This Row],[Resigned]]="yes","former","active")</f>
        <v>active</v>
      </c>
    </row>
    <row r="265" spans="1:30" x14ac:dyDescent="0.3">
      <c r="A265" t="s">
        <v>595</v>
      </c>
      <c r="B265" t="s">
        <v>596</v>
      </c>
      <c r="C265" t="s">
        <v>27</v>
      </c>
      <c r="D265">
        <v>58</v>
      </c>
      <c r="E265" t="s">
        <v>56</v>
      </c>
      <c r="F265" t="s">
        <v>84</v>
      </c>
      <c r="G265" t="s">
        <v>30</v>
      </c>
      <c r="H265" t="s">
        <v>42</v>
      </c>
      <c r="I265" t="s">
        <v>50</v>
      </c>
      <c r="J265" s="1">
        <v>42773</v>
      </c>
      <c r="K265">
        <v>9</v>
      </c>
      <c r="L265">
        <v>28987388</v>
      </c>
      <c r="M265">
        <v>9426499</v>
      </c>
      <c r="N265" t="s">
        <v>34</v>
      </c>
      <c r="O265">
        <v>3.67</v>
      </c>
      <c r="P265">
        <v>22</v>
      </c>
      <c r="Q265">
        <v>2</v>
      </c>
      <c r="R265">
        <v>2</v>
      </c>
      <c r="S265">
        <v>2</v>
      </c>
      <c r="T265" t="s">
        <v>33</v>
      </c>
      <c r="U265" t="s">
        <v>33</v>
      </c>
      <c r="V265" t="s">
        <v>35</v>
      </c>
      <c r="W265" t="s">
        <v>34</v>
      </c>
      <c r="X265" t="s">
        <v>45</v>
      </c>
      <c r="Y265" t="s">
        <v>53</v>
      </c>
      <c r="Z265" t="str">
        <f>IF(Table1[[#This Row],[Age]]&lt;30,"20-29",IF(Table1[[#This Row],[Age]]&lt;40,"30-39",IF(Table1[[#This Row],[Age]]&lt;50,"40-49","50+")))</f>
        <v>50+</v>
      </c>
      <c r="AA265" t="str">
        <f>IF(Table1[[#This Row],[Salary]]&lt;20000000,"low",IF(Table1[[#This Row],[Salary]]&lt;40000000,"medium","high"))</f>
        <v>medium</v>
      </c>
      <c r="AB265">
        <f>YEAR(Table1[[#This Row],[Hire Date]])</f>
        <v>2017</v>
      </c>
      <c r="AC265" t="str">
        <f>TEXT(Table1[[#This Row],[Hire Date]],"mmmm")</f>
        <v>فوريه</v>
      </c>
      <c r="AD265" t="str">
        <f>IF(Table1[[#This Row],[Resigned]]="yes","former","active")</f>
        <v>former</v>
      </c>
    </row>
    <row r="266" spans="1:30" x14ac:dyDescent="0.3">
      <c r="A266" t="s">
        <v>597</v>
      </c>
      <c r="B266" t="s">
        <v>598</v>
      </c>
      <c r="C266" t="s">
        <v>39</v>
      </c>
      <c r="D266">
        <v>41</v>
      </c>
      <c r="E266" t="s">
        <v>28</v>
      </c>
      <c r="F266" t="s">
        <v>29</v>
      </c>
      <c r="G266" t="s">
        <v>49</v>
      </c>
      <c r="H266" t="s">
        <v>31</v>
      </c>
      <c r="I266" t="s">
        <v>81</v>
      </c>
      <c r="J266" s="1">
        <v>42533</v>
      </c>
      <c r="K266">
        <v>10</v>
      </c>
      <c r="L266">
        <v>48813562</v>
      </c>
      <c r="M266">
        <v>9792215</v>
      </c>
      <c r="N266" t="s">
        <v>33</v>
      </c>
      <c r="O266">
        <v>3.38</v>
      </c>
      <c r="P266">
        <v>61</v>
      </c>
      <c r="Q266">
        <v>2</v>
      </c>
      <c r="R266">
        <v>5</v>
      </c>
      <c r="S266">
        <v>10</v>
      </c>
      <c r="T266" t="s">
        <v>34</v>
      </c>
      <c r="U266" t="s">
        <v>34</v>
      </c>
      <c r="V266" t="s">
        <v>59</v>
      </c>
      <c r="W266" t="s">
        <v>33</v>
      </c>
      <c r="X266" t="s">
        <v>36</v>
      </c>
      <c r="Z266" t="str">
        <f>IF(Table1[[#This Row],[Age]]&lt;30,"20-29",IF(Table1[[#This Row],[Age]]&lt;40,"30-39",IF(Table1[[#This Row],[Age]]&lt;50,"40-49","50+")))</f>
        <v>40-49</v>
      </c>
      <c r="AA266" t="str">
        <f>IF(Table1[[#This Row],[Salary]]&lt;20000000,"low",IF(Table1[[#This Row],[Salary]]&lt;40000000,"medium","high"))</f>
        <v>high</v>
      </c>
      <c r="AB266">
        <f>YEAR(Table1[[#This Row],[Hire Date]])</f>
        <v>2016</v>
      </c>
      <c r="AC266" t="str">
        <f>TEXT(Table1[[#This Row],[Hire Date]],"mmmm")</f>
        <v>ژوئن</v>
      </c>
      <c r="AD266" t="str">
        <f>IF(Table1[[#This Row],[Resigned]]="yes","former","active")</f>
        <v>active</v>
      </c>
    </row>
    <row r="267" spans="1:30" x14ac:dyDescent="0.3">
      <c r="A267" t="s">
        <v>599</v>
      </c>
      <c r="B267" t="s">
        <v>600</v>
      </c>
      <c r="C267" t="s">
        <v>39</v>
      </c>
      <c r="D267">
        <v>36</v>
      </c>
      <c r="E267" t="s">
        <v>73</v>
      </c>
      <c r="F267" t="s">
        <v>74</v>
      </c>
      <c r="G267" t="s">
        <v>58</v>
      </c>
      <c r="H267" t="s">
        <v>42</v>
      </c>
      <c r="I267" t="s">
        <v>81</v>
      </c>
      <c r="J267" s="1">
        <v>44775</v>
      </c>
      <c r="K267">
        <v>4</v>
      </c>
      <c r="L267">
        <v>29866089</v>
      </c>
      <c r="M267">
        <v>9219693</v>
      </c>
      <c r="N267" t="s">
        <v>33</v>
      </c>
      <c r="O267">
        <v>4.3499999999999996</v>
      </c>
      <c r="P267">
        <v>35</v>
      </c>
      <c r="Q267">
        <v>3</v>
      </c>
      <c r="R267">
        <v>2</v>
      </c>
      <c r="S267">
        <v>10</v>
      </c>
      <c r="T267" t="s">
        <v>34</v>
      </c>
      <c r="U267" t="s">
        <v>34</v>
      </c>
      <c r="V267" t="s">
        <v>70</v>
      </c>
      <c r="W267" t="s">
        <v>33</v>
      </c>
      <c r="X267" t="s">
        <v>36</v>
      </c>
      <c r="Z267" t="str">
        <f>IF(Table1[[#This Row],[Age]]&lt;30,"20-29",IF(Table1[[#This Row],[Age]]&lt;40,"30-39",IF(Table1[[#This Row],[Age]]&lt;50,"40-49","50+")))</f>
        <v>30-39</v>
      </c>
      <c r="AA267" t="str">
        <f>IF(Table1[[#This Row],[Salary]]&lt;20000000,"low",IF(Table1[[#This Row],[Salary]]&lt;40000000,"medium","high"))</f>
        <v>medium</v>
      </c>
      <c r="AB267">
        <f>YEAR(Table1[[#This Row],[Hire Date]])</f>
        <v>2022</v>
      </c>
      <c r="AC267" t="str">
        <f>TEXT(Table1[[#This Row],[Hire Date]],"mmmm")</f>
        <v>اوت</v>
      </c>
      <c r="AD267" t="str">
        <f>IF(Table1[[#This Row],[Resigned]]="yes","former","active")</f>
        <v>active</v>
      </c>
    </row>
    <row r="268" spans="1:30" x14ac:dyDescent="0.3">
      <c r="A268" t="s">
        <v>601</v>
      </c>
      <c r="B268" t="s">
        <v>602</v>
      </c>
      <c r="C268" t="s">
        <v>39</v>
      </c>
      <c r="D268">
        <v>44</v>
      </c>
      <c r="E268" t="s">
        <v>40</v>
      </c>
      <c r="F268" t="s">
        <v>48</v>
      </c>
      <c r="G268" t="s">
        <v>58</v>
      </c>
      <c r="H268" t="s">
        <v>42</v>
      </c>
      <c r="I268" t="s">
        <v>81</v>
      </c>
      <c r="J268" s="1">
        <v>44101</v>
      </c>
      <c r="K268">
        <v>6</v>
      </c>
      <c r="L268">
        <v>25470372</v>
      </c>
      <c r="M268">
        <v>6264003</v>
      </c>
      <c r="N268" t="s">
        <v>34</v>
      </c>
      <c r="O268">
        <v>4.8899999999999997</v>
      </c>
      <c r="P268">
        <v>42</v>
      </c>
      <c r="Q268">
        <v>3</v>
      </c>
      <c r="R268">
        <v>2</v>
      </c>
      <c r="S268">
        <v>10</v>
      </c>
      <c r="T268" t="s">
        <v>33</v>
      </c>
      <c r="U268" t="s">
        <v>33</v>
      </c>
      <c r="V268" t="s">
        <v>59</v>
      </c>
      <c r="W268" t="s">
        <v>33</v>
      </c>
      <c r="X268" t="s">
        <v>45</v>
      </c>
      <c r="Y268" t="s">
        <v>162</v>
      </c>
      <c r="Z268" t="str">
        <f>IF(Table1[[#This Row],[Age]]&lt;30,"20-29",IF(Table1[[#This Row],[Age]]&lt;40,"30-39",IF(Table1[[#This Row],[Age]]&lt;50,"40-49","50+")))</f>
        <v>40-49</v>
      </c>
      <c r="AA268" t="str">
        <f>IF(Table1[[#This Row],[Salary]]&lt;20000000,"low",IF(Table1[[#This Row],[Salary]]&lt;40000000,"medium","high"))</f>
        <v>medium</v>
      </c>
      <c r="AB268">
        <f>YEAR(Table1[[#This Row],[Hire Date]])</f>
        <v>2020</v>
      </c>
      <c r="AC268" t="str">
        <f>TEXT(Table1[[#This Row],[Hire Date]],"mmmm")</f>
        <v>سپتامبر</v>
      </c>
      <c r="AD268" t="str">
        <f>IF(Table1[[#This Row],[Resigned]]="yes","former","active")</f>
        <v>former</v>
      </c>
    </row>
    <row r="269" spans="1:30" x14ac:dyDescent="0.3">
      <c r="A269" t="s">
        <v>603</v>
      </c>
      <c r="B269" t="s">
        <v>604</v>
      </c>
      <c r="C269" t="s">
        <v>27</v>
      </c>
      <c r="D269">
        <v>44</v>
      </c>
      <c r="E269" t="s">
        <v>56</v>
      </c>
      <c r="F269" t="s">
        <v>57</v>
      </c>
      <c r="G269" t="s">
        <v>30</v>
      </c>
      <c r="H269" t="s">
        <v>42</v>
      </c>
      <c r="I269" t="s">
        <v>81</v>
      </c>
      <c r="J269" s="1">
        <v>42409</v>
      </c>
      <c r="K269">
        <v>10</v>
      </c>
      <c r="L269">
        <v>19202843</v>
      </c>
      <c r="M269">
        <v>4551945</v>
      </c>
      <c r="N269" t="s">
        <v>33</v>
      </c>
      <c r="O269">
        <v>4.75</v>
      </c>
      <c r="P269">
        <v>53</v>
      </c>
      <c r="Q269">
        <v>3</v>
      </c>
      <c r="R269">
        <v>1</v>
      </c>
      <c r="S269">
        <v>4</v>
      </c>
      <c r="T269" t="s">
        <v>34</v>
      </c>
      <c r="U269" t="s">
        <v>33</v>
      </c>
      <c r="V269" t="s">
        <v>51</v>
      </c>
      <c r="W269" t="s">
        <v>34</v>
      </c>
      <c r="X269" t="s">
        <v>52</v>
      </c>
      <c r="Y269" t="s">
        <v>75</v>
      </c>
      <c r="Z269" t="str">
        <f>IF(Table1[[#This Row],[Age]]&lt;30,"20-29",IF(Table1[[#This Row],[Age]]&lt;40,"30-39",IF(Table1[[#This Row],[Age]]&lt;50,"40-49","50+")))</f>
        <v>40-49</v>
      </c>
      <c r="AA269" t="str">
        <f>IF(Table1[[#This Row],[Salary]]&lt;20000000,"low",IF(Table1[[#This Row],[Salary]]&lt;40000000,"medium","high"))</f>
        <v>low</v>
      </c>
      <c r="AB269">
        <f>YEAR(Table1[[#This Row],[Hire Date]])</f>
        <v>2016</v>
      </c>
      <c r="AC269" t="str">
        <f>TEXT(Table1[[#This Row],[Hire Date]],"mmmm")</f>
        <v>فوريه</v>
      </c>
      <c r="AD269" t="str">
        <f>IF(Table1[[#This Row],[Resigned]]="yes","former","active")</f>
        <v>former</v>
      </c>
    </row>
    <row r="270" spans="1:30" x14ac:dyDescent="0.3">
      <c r="A270" t="s">
        <v>605</v>
      </c>
      <c r="B270" t="s">
        <v>606</v>
      </c>
      <c r="C270" t="s">
        <v>27</v>
      </c>
      <c r="D270">
        <v>45</v>
      </c>
      <c r="E270" t="s">
        <v>73</v>
      </c>
      <c r="F270" t="s">
        <v>127</v>
      </c>
      <c r="G270" t="s">
        <v>30</v>
      </c>
      <c r="H270" t="s">
        <v>42</v>
      </c>
      <c r="I270" t="s">
        <v>43</v>
      </c>
      <c r="J270" s="1">
        <v>45534</v>
      </c>
      <c r="K270">
        <v>2</v>
      </c>
      <c r="L270">
        <v>32510099</v>
      </c>
      <c r="M270">
        <v>255718</v>
      </c>
      <c r="N270" t="s">
        <v>33</v>
      </c>
      <c r="O270">
        <v>2.61</v>
      </c>
      <c r="P270">
        <v>59</v>
      </c>
      <c r="Q270">
        <v>3</v>
      </c>
      <c r="R270">
        <v>1</v>
      </c>
      <c r="S270">
        <v>8</v>
      </c>
      <c r="T270" t="s">
        <v>34</v>
      </c>
      <c r="U270" t="s">
        <v>34</v>
      </c>
      <c r="V270" t="s">
        <v>51</v>
      </c>
      <c r="W270" t="s">
        <v>34</v>
      </c>
      <c r="X270" t="s">
        <v>52</v>
      </c>
      <c r="Z270" t="str">
        <f>IF(Table1[[#This Row],[Age]]&lt;30,"20-29",IF(Table1[[#This Row],[Age]]&lt;40,"30-39",IF(Table1[[#This Row],[Age]]&lt;50,"40-49","50+")))</f>
        <v>40-49</v>
      </c>
      <c r="AA270" t="str">
        <f>IF(Table1[[#This Row],[Salary]]&lt;20000000,"low",IF(Table1[[#This Row],[Salary]]&lt;40000000,"medium","high"))</f>
        <v>medium</v>
      </c>
      <c r="AB270">
        <f>YEAR(Table1[[#This Row],[Hire Date]])</f>
        <v>2024</v>
      </c>
      <c r="AC270" t="str">
        <f>TEXT(Table1[[#This Row],[Hire Date]],"mmmm")</f>
        <v>اوت</v>
      </c>
      <c r="AD270" t="str">
        <f>IF(Table1[[#This Row],[Resigned]]="yes","former","active")</f>
        <v>active</v>
      </c>
    </row>
    <row r="271" spans="1:30" x14ac:dyDescent="0.3">
      <c r="A271" t="s">
        <v>607</v>
      </c>
      <c r="B271" t="s">
        <v>608</v>
      </c>
      <c r="C271" t="s">
        <v>27</v>
      </c>
      <c r="D271">
        <v>31</v>
      </c>
      <c r="E271" t="s">
        <v>73</v>
      </c>
      <c r="F271" t="s">
        <v>127</v>
      </c>
      <c r="G271" t="s">
        <v>49</v>
      </c>
      <c r="H271" t="s">
        <v>42</v>
      </c>
      <c r="I271" t="s">
        <v>50</v>
      </c>
      <c r="J271" s="1">
        <v>45723</v>
      </c>
      <c r="K271">
        <v>1</v>
      </c>
      <c r="L271">
        <v>49137036</v>
      </c>
      <c r="M271">
        <v>8537702</v>
      </c>
      <c r="N271" t="s">
        <v>33</v>
      </c>
      <c r="O271">
        <v>2.93</v>
      </c>
      <c r="P271">
        <v>78</v>
      </c>
      <c r="Q271">
        <v>2</v>
      </c>
      <c r="R271">
        <v>4</v>
      </c>
      <c r="S271">
        <v>10</v>
      </c>
      <c r="T271" t="s">
        <v>33</v>
      </c>
      <c r="U271" t="s">
        <v>34</v>
      </c>
      <c r="V271" t="s">
        <v>35</v>
      </c>
      <c r="W271" t="s">
        <v>34</v>
      </c>
      <c r="X271" t="s">
        <v>36</v>
      </c>
      <c r="Z271" t="str">
        <f>IF(Table1[[#This Row],[Age]]&lt;30,"20-29",IF(Table1[[#This Row],[Age]]&lt;40,"30-39",IF(Table1[[#This Row],[Age]]&lt;50,"40-49","50+")))</f>
        <v>30-39</v>
      </c>
      <c r="AA271" t="str">
        <f>IF(Table1[[#This Row],[Salary]]&lt;20000000,"low",IF(Table1[[#This Row],[Salary]]&lt;40000000,"medium","high"))</f>
        <v>high</v>
      </c>
      <c r="AB271">
        <f>YEAR(Table1[[#This Row],[Hire Date]])</f>
        <v>2025</v>
      </c>
      <c r="AC271" t="str">
        <f>TEXT(Table1[[#This Row],[Hire Date]],"mmmm")</f>
        <v>مارس</v>
      </c>
      <c r="AD271" t="str">
        <f>IF(Table1[[#This Row],[Resigned]]="yes","former","active")</f>
        <v>active</v>
      </c>
    </row>
    <row r="272" spans="1:30" x14ac:dyDescent="0.3">
      <c r="A272" t="s">
        <v>609</v>
      </c>
      <c r="B272" t="s">
        <v>610</v>
      </c>
      <c r="C272" t="s">
        <v>27</v>
      </c>
      <c r="D272">
        <v>33</v>
      </c>
      <c r="E272" t="s">
        <v>28</v>
      </c>
      <c r="F272" t="s">
        <v>29</v>
      </c>
      <c r="G272" t="s">
        <v>49</v>
      </c>
      <c r="H272" t="s">
        <v>31</v>
      </c>
      <c r="I272" t="s">
        <v>43</v>
      </c>
      <c r="J272" s="1">
        <v>42521</v>
      </c>
      <c r="K272">
        <v>10</v>
      </c>
      <c r="L272">
        <v>46274446</v>
      </c>
      <c r="M272">
        <v>7975093</v>
      </c>
      <c r="N272" t="s">
        <v>34</v>
      </c>
      <c r="O272">
        <v>3.61</v>
      </c>
      <c r="P272">
        <v>38</v>
      </c>
      <c r="Q272">
        <v>4</v>
      </c>
      <c r="R272">
        <v>2</v>
      </c>
      <c r="S272">
        <v>2</v>
      </c>
      <c r="T272" t="s">
        <v>33</v>
      </c>
      <c r="U272" t="s">
        <v>33</v>
      </c>
      <c r="V272" t="s">
        <v>44</v>
      </c>
      <c r="W272" t="s">
        <v>34</v>
      </c>
      <c r="X272" t="s">
        <v>45</v>
      </c>
      <c r="Y272" t="s">
        <v>162</v>
      </c>
      <c r="Z272" t="str">
        <f>IF(Table1[[#This Row],[Age]]&lt;30,"20-29",IF(Table1[[#This Row],[Age]]&lt;40,"30-39",IF(Table1[[#This Row],[Age]]&lt;50,"40-49","50+")))</f>
        <v>30-39</v>
      </c>
      <c r="AA272" t="str">
        <f>IF(Table1[[#This Row],[Salary]]&lt;20000000,"low",IF(Table1[[#This Row],[Salary]]&lt;40000000,"medium","high"))</f>
        <v>high</v>
      </c>
      <c r="AB272">
        <f>YEAR(Table1[[#This Row],[Hire Date]])</f>
        <v>2016</v>
      </c>
      <c r="AC272" t="str">
        <f>TEXT(Table1[[#This Row],[Hire Date]],"mmmm")</f>
        <v>مه</v>
      </c>
      <c r="AD272" t="str">
        <f>IF(Table1[[#This Row],[Resigned]]="yes","former","active")</f>
        <v>former</v>
      </c>
    </row>
    <row r="273" spans="1:30" x14ac:dyDescent="0.3">
      <c r="A273" t="s">
        <v>611</v>
      </c>
      <c r="B273" t="s">
        <v>612</v>
      </c>
      <c r="C273" t="s">
        <v>39</v>
      </c>
      <c r="D273">
        <v>32</v>
      </c>
      <c r="E273" t="s">
        <v>110</v>
      </c>
      <c r="F273" t="s">
        <v>120</v>
      </c>
      <c r="G273" t="s">
        <v>58</v>
      </c>
      <c r="H273" t="s">
        <v>31</v>
      </c>
      <c r="I273" t="s">
        <v>65</v>
      </c>
      <c r="J273" s="1">
        <v>45855</v>
      </c>
      <c r="K273">
        <v>1</v>
      </c>
      <c r="L273">
        <v>23207277</v>
      </c>
      <c r="M273">
        <v>9808144</v>
      </c>
      <c r="N273" t="s">
        <v>34</v>
      </c>
      <c r="O273">
        <v>4.7699999999999996</v>
      </c>
      <c r="P273">
        <v>79</v>
      </c>
      <c r="Q273">
        <v>1</v>
      </c>
      <c r="R273">
        <v>2</v>
      </c>
      <c r="S273">
        <v>16</v>
      </c>
      <c r="T273" t="s">
        <v>33</v>
      </c>
      <c r="U273" t="s">
        <v>34</v>
      </c>
      <c r="V273" t="s">
        <v>59</v>
      </c>
      <c r="W273" t="s">
        <v>34</v>
      </c>
      <c r="X273" t="s">
        <v>36</v>
      </c>
      <c r="Z273" t="str">
        <f>IF(Table1[[#This Row],[Age]]&lt;30,"20-29",IF(Table1[[#This Row],[Age]]&lt;40,"30-39",IF(Table1[[#This Row],[Age]]&lt;50,"40-49","50+")))</f>
        <v>30-39</v>
      </c>
      <c r="AA273" t="str">
        <f>IF(Table1[[#This Row],[Salary]]&lt;20000000,"low",IF(Table1[[#This Row],[Salary]]&lt;40000000,"medium","high"))</f>
        <v>medium</v>
      </c>
      <c r="AB273">
        <f>YEAR(Table1[[#This Row],[Hire Date]])</f>
        <v>2025</v>
      </c>
      <c r="AC273" t="str">
        <f>TEXT(Table1[[#This Row],[Hire Date]],"mmmm")</f>
        <v>ژوئيه</v>
      </c>
      <c r="AD273" t="str">
        <f>IF(Table1[[#This Row],[Resigned]]="yes","former","active")</f>
        <v>active</v>
      </c>
    </row>
    <row r="274" spans="1:30" x14ac:dyDescent="0.3">
      <c r="A274" t="s">
        <v>613</v>
      </c>
      <c r="B274" t="s">
        <v>614</v>
      </c>
      <c r="C274" t="s">
        <v>27</v>
      </c>
      <c r="D274">
        <v>45</v>
      </c>
      <c r="E274" t="s">
        <v>73</v>
      </c>
      <c r="F274" t="s">
        <v>127</v>
      </c>
      <c r="G274" t="s">
        <v>58</v>
      </c>
      <c r="H274" t="s">
        <v>42</v>
      </c>
      <c r="I274" t="s">
        <v>50</v>
      </c>
      <c r="J274" s="1">
        <v>44486</v>
      </c>
      <c r="K274">
        <v>5</v>
      </c>
      <c r="L274">
        <v>39555411</v>
      </c>
      <c r="M274">
        <v>8711884</v>
      </c>
      <c r="N274" t="s">
        <v>34</v>
      </c>
      <c r="O274">
        <v>3.74</v>
      </c>
      <c r="P274">
        <v>8</v>
      </c>
      <c r="Q274">
        <v>3</v>
      </c>
      <c r="R274">
        <v>4</v>
      </c>
      <c r="S274">
        <v>4</v>
      </c>
      <c r="T274" t="s">
        <v>34</v>
      </c>
      <c r="U274" t="s">
        <v>34</v>
      </c>
      <c r="V274" t="s">
        <v>44</v>
      </c>
      <c r="W274" t="s">
        <v>33</v>
      </c>
      <c r="X274" t="s">
        <v>45</v>
      </c>
      <c r="Z274" t="str">
        <f>IF(Table1[[#This Row],[Age]]&lt;30,"20-29",IF(Table1[[#This Row],[Age]]&lt;40,"30-39",IF(Table1[[#This Row],[Age]]&lt;50,"40-49","50+")))</f>
        <v>40-49</v>
      </c>
      <c r="AA274" t="str">
        <f>IF(Table1[[#This Row],[Salary]]&lt;20000000,"low",IF(Table1[[#This Row],[Salary]]&lt;40000000,"medium","high"))</f>
        <v>medium</v>
      </c>
      <c r="AB274">
        <f>YEAR(Table1[[#This Row],[Hire Date]])</f>
        <v>2021</v>
      </c>
      <c r="AC274" t="str">
        <f>TEXT(Table1[[#This Row],[Hire Date]],"mmmm")</f>
        <v>اُكتبر</v>
      </c>
      <c r="AD274" t="str">
        <f>IF(Table1[[#This Row],[Resigned]]="yes","former","active")</f>
        <v>active</v>
      </c>
    </row>
    <row r="275" spans="1:30" x14ac:dyDescent="0.3">
      <c r="A275" t="s">
        <v>615</v>
      </c>
      <c r="B275" t="s">
        <v>616</v>
      </c>
      <c r="C275" t="s">
        <v>27</v>
      </c>
      <c r="D275">
        <v>47</v>
      </c>
      <c r="E275" t="s">
        <v>28</v>
      </c>
      <c r="F275" t="s">
        <v>29</v>
      </c>
      <c r="G275" t="s">
        <v>49</v>
      </c>
      <c r="H275" t="s">
        <v>42</v>
      </c>
      <c r="I275" t="s">
        <v>81</v>
      </c>
      <c r="J275" s="1">
        <v>44588</v>
      </c>
      <c r="K275">
        <v>4</v>
      </c>
      <c r="L275">
        <v>30263184</v>
      </c>
      <c r="M275">
        <v>979260</v>
      </c>
      <c r="N275" t="s">
        <v>33</v>
      </c>
      <c r="O275">
        <v>4.93</v>
      </c>
      <c r="P275">
        <v>68</v>
      </c>
      <c r="Q275">
        <v>2</v>
      </c>
      <c r="R275">
        <v>1</v>
      </c>
      <c r="S275">
        <v>10</v>
      </c>
      <c r="T275" t="s">
        <v>34</v>
      </c>
      <c r="U275" t="s">
        <v>34</v>
      </c>
      <c r="V275" t="s">
        <v>44</v>
      </c>
      <c r="W275" t="s">
        <v>33</v>
      </c>
      <c r="X275" t="s">
        <v>52</v>
      </c>
      <c r="Z275" t="str">
        <f>IF(Table1[[#This Row],[Age]]&lt;30,"20-29",IF(Table1[[#This Row],[Age]]&lt;40,"30-39",IF(Table1[[#This Row],[Age]]&lt;50,"40-49","50+")))</f>
        <v>40-49</v>
      </c>
      <c r="AA275" t="str">
        <f>IF(Table1[[#This Row],[Salary]]&lt;20000000,"low",IF(Table1[[#This Row],[Salary]]&lt;40000000,"medium","high"))</f>
        <v>medium</v>
      </c>
      <c r="AB275">
        <f>YEAR(Table1[[#This Row],[Hire Date]])</f>
        <v>2022</v>
      </c>
      <c r="AC275" t="str">
        <f>TEXT(Table1[[#This Row],[Hire Date]],"mmmm")</f>
        <v>ژانويه</v>
      </c>
      <c r="AD275" t="str">
        <f>IF(Table1[[#This Row],[Resigned]]="yes","former","active")</f>
        <v>active</v>
      </c>
    </row>
    <row r="276" spans="1:30" x14ac:dyDescent="0.3">
      <c r="A276" t="s">
        <v>617</v>
      </c>
      <c r="B276" t="s">
        <v>618</v>
      </c>
      <c r="C276" t="s">
        <v>39</v>
      </c>
      <c r="D276">
        <v>40</v>
      </c>
      <c r="E276" t="s">
        <v>63</v>
      </c>
      <c r="F276" t="s">
        <v>93</v>
      </c>
      <c r="G276" t="s">
        <v>58</v>
      </c>
      <c r="H276" t="s">
        <v>42</v>
      </c>
      <c r="I276" t="s">
        <v>81</v>
      </c>
      <c r="J276" s="1">
        <v>45493</v>
      </c>
      <c r="K276">
        <v>2</v>
      </c>
      <c r="L276">
        <v>16788169</v>
      </c>
      <c r="M276">
        <v>9466111</v>
      </c>
      <c r="N276" t="s">
        <v>34</v>
      </c>
      <c r="O276">
        <v>2.8</v>
      </c>
      <c r="P276">
        <v>21</v>
      </c>
      <c r="Q276">
        <v>5</v>
      </c>
      <c r="R276">
        <v>5</v>
      </c>
      <c r="S276">
        <v>9</v>
      </c>
      <c r="T276" t="s">
        <v>34</v>
      </c>
      <c r="U276" t="s">
        <v>34</v>
      </c>
      <c r="V276" t="s">
        <v>59</v>
      </c>
      <c r="W276" t="s">
        <v>34</v>
      </c>
      <c r="X276" t="s">
        <v>36</v>
      </c>
      <c r="Z276" t="str">
        <f>IF(Table1[[#This Row],[Age]]&lt;30,"20-29",IF(Table1[[#This Row],[Age]]&lt;40,"30-39",IF(Table1[[#This Row],[Age]]&lt;50,"40-49","50+")))</f>
        <v>40-49</v>
      </c>
      <c r="AA276" t="str">
        <f>IF(Table1[[#This Row],[Salary]]&lt;20000000,"low",IF(Table1[[#This Row],[Salary]]&lt;40000000,"medium","high"))</f>
        <v>low</v>
      </c>
      <c r="AB276">
        <f>YEAR(Table1[[#This Row],[Hire Date]])</f>
        <v>2024</v>
      </c>
      <c r="AC276" t="str">
        <f>TEXT(Table1[[#This Row],[Hire Date]],"mmmm")</f>
        <v>ژوئيه</v>
      </c>
      <c r="AD276" t="str">
        <f>IF(Table1[[#This Row],[Resigned]]="yes","former","active")</f>
        <v>active</v>
      </c>
    </row>
    <row r="277" spans="1:30" x14ac:dyDescent="0.3">
      <c r="A277" t="s">
        <v>619</v>
      </c>
      <c r="B277" t="s">
        <v>620</v>
      </c>
      <c r="C277" t="s">
        <v>27</v>
      </c>
      <c r="D277">
        <v>51</v>
      </c>
      <c r="E277" t="s">
        <v>28</v>
      </c>
      <c r="F277" t="s">
        <v>80</v>
      </c>
      <c r="G277" t="s">
        <v>58</v>
      </c>
      <c r="H277" t="s">
        <v>31</v>
      </c>
      <c r="I277" t="s">
        <v>32</v>
      </c>
      <c r="J277" s="1">
        <v>45338</v>
      </c>
      <c r="K277">
        <v>2</v>
      </c>
      <c r="L277">
        <v>17863067</v>
      </c>
      <c r="M277">
        <v>4971555</v>
      </c>
      <c r="N277" t="s">
        <v>34</v>
      </c>
      <c r="O277">
        <v>3.67</v>
      </c>
      <c r="P277">
        <v>27</v>
      </c>
      <c r="Q277">
        <v>1</v>
      </c>
      <c r="R277">
        <v>4</v>
      </c>
      <c r="S277">
        <v>3</v>
      </c>
      <c r="T277" t="s">
        <v>33</v>
      </c>
      <c r="U277" t="s">
        <v>34</v>
      </c>
      <c r="V277" t="s">
        <v>70</v>
      </c>
      <c r="W277" t="s">
        <v>33</v>
      </c>
      <c r="X277" t="s">
        <v>36</v>
      </c>
      <c r="Z277" t="str">
        <f>IF(Table1[[#This Row],[Age]]&lt;30,"20-29",IF(Table1[[#This Row],[Age]]&lt;40,"30-39",IF(Table1[[#This Row],[Age]]&lt;50,"40-49","50+")))</f>
        <v>50+</v>
      </c>
      <c r="AA277" t="str">
        <f>IF(Table1[[#This Row],[Salary]]&lt;20000000,"low",IF(Table1[[#This Row],[Salary]]&lt;40000000,"medium","high"))</f>
        <v>low</v>
      </c>
      <c r="AB277">
        <f>YEAR(Table1[[#This Row],[Hire Date]])</f>
        <v>2024</v>
      </c>
      <c r="AC277" t="str">
        <f>TEXT(Table1[[#This Row],[Hire Date]],"mmmm")</f>
        <v>فوريه</v>
      </c>
      <c r="AD277" t="str">
        <f>IF(Table1[[#This Row],[Resigned]]="yes","former","active")</f>
        <v>active</v>
      </c>
    </row>
    <row r="278" spans="1:30" x14ac:dyDescent="0.3">
      <c r="A278" t="s">
        <v>621</v>
      </c>
      <c r="B278" t="s">
        <v>622</v>
      </c>
      <c r="C278" t="s">
        <v>27</v>
      </c>
      <c r="D278">
        <v>37</v>
      </c>
      <c r="E278" t="s">
        <v>110</v>
      </c>
      <c r="F278" t="s">
        <v>111</v>
      </c>
      <c r="G278" t="s">
        <v>58</v>
      </c>
      <c r="H278" t="s">
        <v>31</v>
      </c>
      <c r="I278" t="s">
        <v>32</v>
      </c>
      <c r="J278" s="1">
        <v>44988</v>
      </c>
      <c r="K278">
        <v>3</v>
      </c>
      <c r="L278">
        <v>32910134</v>
      </c>
      <c r="M278">
        <v>1417749</v>
      </c>
      <c r="N278" t="s">
        <v>34</v>
      </c>
      <c r="O278">
        <v>3.35</v>
      </c>
      <c r="P278">
        <v>80</v>
      </c>
      <c r="Q278">
        <v>3</v>
      </c>
      <c r="R278">
        <v>4</v>
      </c>
      <c r="S278">
        <v>8</v>
      </c>
      <c r="T278" t="s">
        <v>33</v>
      </c>
      <c r="U278" t="s">
        <v>34</v>
      </c>
      <c r="V278" t="s">
        <v>70</v>
      </c>
      <c r="W278" t="s">
        <v>33</v>
      </c>
      <c r="X278" t="s">
        <v>36</v>
      </c>
      <c r="Z278" t="str">
        <f>IF(Table1[[#This Row],[Age]]&lt;30,"20-29",IF(Table1[[#This Row],[Age]]&lt;40,"30-39",IF(Table1[[#This Row],[Age]]&lt;50,"40-49","50+")))</f>
        <v>30-39</v>
      </c>
      <c r="AA278" t="str">
        <f>IF(Table1[[#This Row],[Salary]]&lt;20000000,"low",IF(Table1[[#This Row],[Salary]]&lt;40000000,"medium","high"))</f>
        <v>medium</v>
      </c>
      <c r="AB278">
        <f>YEAR(Table1[[#This Row],[Hire Date]])</f>
        <v>2023</v>
      </c>
      <c r="AC278" t="str">
        <f>TEXT(Table1[[#This Row],[Hire Date]],"mmmm")</f>
        <v>مارس</v>
      </c>
      <c r="AD278" t="str">
        <f>IF(Table1[[#This Row],[Resigned]]="yes","former","active")</f>
        <v>active</v>
      </c>
    </row>
    <row r="279" spans="1:30" x14ac:dyDescent="0.3">
      <c r="A279" t="s">
        <v>623</v>
      </c>
      <c r="B279" t="s">
        <v>624</v>
      </c>
      <c r="C279" t="s">
        <v>39</v>
      </c>
      <c r="D279">
        <v>33</v>
      </c>
      <c r="E279" t="s">
        <v>110</v>
      </c>
      <c r="F279" t="s">
        <v>120</v>
      </c>
      <c r="G279" t="s">
        <v>58</v>
      </c>
      <c r="H279" t="s">
        <v>42</v>
      </c>
      <c r="I279" t="s">
        <v>81</v>
      </c>
      <c r="J279" s="1">
        <v>44006</v>
      </c>
      <c r="K279">
        <v>6</v>
      </c>
      <c r="L279">
        <v>28258681</v>
      </c>
      <c r="M279">
        <v>838309</v>
      </c>
      <c r="N279" t="s">
        <v>34</v>
      </c>
      <c r="O279">
        <v>3.44</v>
      </c>
      <c r="P279">
        <v>27</v>
      </c>
      <c r="Q279">
        <v>1</v>
      </c>
      <c r="R279">
        <v>3</v>
      </c>
      <c r="S279">
        <v>6</v>
      </c>
      <c r="T279" t="s">
        <v>34</v>
      </c>
      <c r="U279" t="s">
        <v>34</v>
      </c>
      <c r="V279" t="s">
        <v>59</v>
      </c>
      <c r="W279" t="s">
        <v>33</v>
      </c>
      <c r="X279" t="s">
        <v>52</v>
      </c>
      <c r="Z279" t="str">
        <f>IF(Table1[[#This Row],[Age]]&lt;30,"20-29",IF(Table1[[#This Row],[Age]]&lt;40,"30-39",IF(Table1[[#This Row],[Age]]&lt;50,"40-49","50+")))</f>
        <v>30-39</v>
      </c>
      <c r="AA279" t="str">
        <f>IF(Table1[[#This Row],[Salary]]&lt;20000000,"low",IF(Table1[[#This Row],[Salary]]&lt;40000000,"medium","high"))</f>
        <v>medium</v>
      </c>
      <c r="AB279">
        <f>YEAR(Table1[[#This Row],[Hire Date]])</f>
        <v>2020</v>
      </c>
      <c r="AC279" t="str">
        <f>TEXT(Table1[[#This Row],[Hire Date]],"mmmm")</f>
        <v>ژوئن</v>
      </c>
      <c r="AD279" t="str">
        <f>IF(Table1[[#This Row],[Resigned]]="yes","former","active")</f>
        <v>active</v>
      </c>
    </row>
    <row r="280" spans="1:30" x14ac:dyDescent="0.3">
      <c r="A280" t="s">
        <v>625</v>
      </c>
      <c r="B280" t="s">
        <v>626</v>
      </c>
      <c r="C280" t="s">
        <v>27</v>
      </c>
      <c r="D280">
        <v>35</v>
      </c>
      <c r="E280" t="s">
        <v>110</v>
      </c>
      <c r="F280" t="s">
        <v>120</v>
      </c>
      <c r="G280" t="s">
        <v>49</v>
      </c>
      <c r="H280" t="s">
        <v>31</v>
      </c>
      <c r="I280" t="s">
        <v>43</v>
      </c>
      <c r="J280" s="1">
        <v>45180</v>
      </c>
      <c r="K280">
        <v>3</v>
      </c>
      <c r="L280">
        <v>58904378</v>
      </c>
      <c r="M280">
        <v>4392723</v>
      </c>
      <c r="N280" t="s">
        <v>34</v>
      </c>
      <c r="O280">
        <v>2.84</v>
      </c>
      <c r="P280">
        <v>37</v>
      </c>
      <c r="Q280">
        <v>1</v>
      </c>
      <c r="R280">
        <v>3</v>
      </c>
      <c r="S280">
        <v>12</v>
      </c>
      <c r="T280" t="s">
        <v>34</v>
      </c>
      <c r="U280" t="s">
        <v>33</v>
      </c>
      <c r="V280" t="s">
        <v>35</v>
      </c>
      <c r="W280" t="s">
        <v>33</v>
      </c>
      <c r="X280" t="s">
        <v>52</v>
      </c>
      <c r="Y280" t="s">
        <v>53</v>
      </c>
      <c r="Z280" t="str">
        <f>IF(Table1[[#This Row],[Age]]&lt;30,"20-29",IF(Table1[[#This Row],[Age]]&lt;40,"30-39",IF(Table1[[#This Row],[Age]]&lt;50,"40-49","50+")))</f>
        <v>30-39</v>
      </c>
      <c r="AA280" t="str">
        <f>IF(Table1[[#This Row],[Salary]]&lt;20000000,"low",IF(Table1[[#This Row],[Salary]]&lt;40000000,"medium","high"))</f>
        <v>high</v>
      </c>
      <c r="AB280">
        <f>YEAR(Table1[[#This Row],[Hire Date]])</f>
        <v>2023</v>
      </c>
      <c r="AC280" t="str">
        <f>TEXT(Table1[[#This Row],[Hire Date]],"mmmm")</f>
        <v>سپتامبر</v>
      </c>
      <c r="AD280" t="str">
        <f>IF(Table1[[#This Row],[Resigned]]="yes","former","active")</f>
        <v>former</v>
      </c>
    </row>
    <row r="281" spans="1:30" x14ac:dyDescent="0.3">
      <c r="A281" t="s">
        <v>627</v>
      </c>
      <c r="B281" t="s">
        <v>628</v>
      </c>
      <c r="C281" t="s">
        <v>27</v>
      </c>
      <c r="D281">
        <v>49</v>
      </c>
      <c r="E281" t="s">
        <v>56</v>
      </c>
      <c r="F281" t="s">
        <v>57</v>
      </c>
      <c r="G281" t="s">
        <v>30</v>
      </c>
      <c r="H281" t="s">
        <v>42</v>
      </c>
      <c r="I281" t="s">
        <v>65</v>
      </c>
      <c r="J281" s="1">
        <v>43792</v>
      </c>
      <c r="K281">
        <v>7</v>
      </c>
      <c r="L281">
        <v>29035337</v>
      </c>
      <c r="M281">
        <v>1013451</v>
      </c>
      <c r="N281" t="s">
        <v>33</v>
      </c>
      <c r="O281">
        <v>3.97</v>
      </c>
      <c r="P281">
        <v>39</v>
      </c>
      <c r="Q281">
        <v>4</v>
      </c>
      <c r="R281">
        <v>3</v>
      </c>
      <c r="S281">
        <v>8</v>
      </c>
      <c r="T281" t="s">
        <v>33</v>
      </c>
      <c r="U281" t="s">
        <v>34</v>
      </c>
      <c r="V281" t="s">
        <v>44</v>
      </c>
      <c r="W281" t="s">
        <v>34</v>
      </c>
      <c r="X281" t="s">
        <v>45</v>
      </c>
      <c r="Z281" t="str">
        <f>IF(Table1[[#This Row],[Age]]&lt;30,"20-29",IF(Table1[[#This Row],[Age]]&lt;40,"30-39",IF(Table1[[#This Row],[Age]]&lt;50,"40-49","50+")))</f>
        <v>40-49</v>
      </c>
      <c r="AA281" t="str">
        <f>IF(Table1[[#This Row],[Salary]]&lt;20000000,"low",IF(Table1[[#This Row],[Salary]]&lt;40000000,"medium","high"))</f>
        <v>medium</v>
      </c>
      <c r="AB281">
        <f>YEAR(Table1[[#This Row],[Hire Date]])</f>
        <v>2019</v>
      </c>
      <c r="AC281" t="str">
        <f>TEXT(Table1[[#This Row],[Hire Date]],"mmmm")</f>
        <v>نوامبر</v>
      </c>
      <c r="AD281" t="str">
        <f>IF(Table1[[#This Row],[Resigned]]="yes","former","active")</f>
        <v>active</v>
      </c>
    </row>
    <row r="282" spans="1:30" x14ac:dyDescent="0.3">
      <c r="A282" t="s">
        <v>629</v>
      </c>
      <c r="B282" t="s">
        <v>630</v>
      </c>
      <c r="C282" t="s">
        <v>39</v>
      </c>
      <c r="D282">
        <v>43</v>
      </c>
      <c r="E282" t="s">
        <v>56</v>
      </c>
      <c r="F282" t="s">
        <v>84</v>
      </c>
      <c r="G282" t="s">
        <v>49</v>
      </c>
      <c r="H282" t="s">
        <v>31</v>
      </c>
      <c r="I282" t="s">
        <v>43</v>
      </c>
      <c r="J282" s="1">
        <v>45292</v>
      </c>
      <c r="K282">
        <v>2</v>
      </c>
      <c r="L282">
        <v>52704501</v>
      </c>
      <c r="M282">
        <v>4299020</v>
      </c>
      <c r="N282" t="s">
        <v>33</v>
      </c>
      <c r="O282">
        <v>3.11</v>
      </c>
      <c r="P282">
        <v>68</v>
      </c>
      <c r="Q282">
        <v>1</v>
      </c>
      <c r="R282">
        <v>2</v>
      </c>
      <c r="S282">
        <v>19</v>
      </c>
      <c r="T282" t="s">
        <v>34</v>
      </c>
      <c r="U282" t="s">
        <v>34</v>
      </c>
      <c r="V282" t="s">
        <v>70</v>
      </c>
      <c r="W282" t="s">
        <v>33</v>
      </c>
      <c r="X282" t="s">
        <v>45</v>
      </c>
      <c r="Z282" t="str">
        <f>IF(Table1[[#This Row],[Age]]&lt;30,"20-29",IF(Table1[[#This Row],[Age]]&lt;40,"30-39",IF(Table1[[#This Row],[Age]]&lt;50,"40-49","50+")))</f>
        <v>40-49</v>
      </c>
      <c r="AA282" t="str">
        <f>IF(Table1[[#This Row],[Salary]]&lt;20000000,"low",IF(Table1[[#This Row],[Salary]]&lt;40000000,"medium","high"))</f>
        <v>high</v>
      </c>
      <c r="AB282">
        <f>YEAR(Table1[[#This Row],[Hire Date]])</f>
        <v>2024</v>
      </c>
      <c r="AC282" t="str">
        <f>TEXT(Table1[[#This Row],[Hire Date]],"mmmm")</f>
        <v>ژانويه</v>
      </c>
      <c r="AD282" t="str">
        <f>IF(Table1[[#This Row],[Resigned]]="yes","former","active")</f>
        <v>active</v>
      </c>
    </row>
    <row r="283" spans="1:30" x14ac:dyDescent="0.3">
      <c r="A283" t="s">
        <v>631</v>
      </c>
      <c r="B283" t="s">
        <v>632</v>
      </c>
      <c r="C283" t="s">
        <v>39</v>
      </c>
      <c r="D283">
        <v>57</v>
      </c>
      <c r="E283" t="s">
        <v>73</v>
      </c>
      <c r="F283" t="s">
        <v>74</v>
      </c>
      <c r="G283" t="s">
        <v>49</v>
      </c>
      <c r="H283" t="s">
        <v>31</v>
      </c>
      <c r="I283" t="s">
        <v>81</v>
      </c>
      <c r="J283" s="1">
        <v>43237</v>
      </c>
      <c r="K283">
        <v>8</v>
      </c>
      <c r="L283">
        <v>31765399</v>
      </c>
      <c r="M283">
        <v>407633</v>
      </c>
      <c r="N283" t="s">
        <v>34</v>
      </c>
      <c r="O283">
        <v>3.16</v>
      </c>
      <c r="P283">
        <v>3</v>
      </c>
      <c r="Q283">
        <v>2</v>
      </c>
      <c r="R283">
        <v>2</v>
      </c>
      <c r="S283">
        <v>3</v>
      </c>
      <c r="T283" t="s">
        <v>34</v>
      </c>
      <c r="U283" t="s">
        <v>34</v>
      </c>
      <c r="V283" t="s">
        <v>59</v>
      </c>
      <c r="W283" t="s">
        <v>34</v>
      </c>
      <c r="X283" t="s">
        <v>52</v>
      </c>
      <c r="Z283" t="str">
        <f>IF(Table1[[#This Row],[Age]]&lt;30,"20-29",IF(Table1[[#This Row],[Age]]&lt;40,"30-39",IF(Table1[[#This Row],[Age]]&lt;50,"40-49","50+")))</f>
        <v>50+</v>
      </c>
      <c r="AA283" t="str">
        <f>IF(Table1[[#This Row],[Salary]]&lt;20000000,"low",IF(Table1[[#This Row],[Salary]]&lt;40000000,"medium","high"))</f>
        <v>medium</v>
      </c>
      <c r="AB283">
        <f>YEAR(Table1[[#This Row],[Hire Date]])</f>
        <v>2018</v>
      </c>
      <c r="AC283" t="str">
        <f>TEXT(Table1[[#This Row],[Hire Date]],"mmmm")</f>
        <v>مه</v>
      </c>
      <c r="AD283" t="str">
        <f>IF(Table1[[#This Row],[Resigned]]="yes","former","active")</f>
        <v>active</v>
      </c>
    </row>
    <row r="284" spans="1:30" x14ac:dyDescent="0.3">
      <c r="A284" t="s">
        <v>633</v>
      </c>
      <c r="B284" t="s">
        <v>634</v>
      </c>
      <c r="C284" t="s">
        <v>39</v>
      </c>
      <c r="D284">
        <v>52</v>
      </c>
      <c r="E284" t="s">
        <v>28</v>
      </c>
      <c r="F284" t="s">
        <v>29</v>
      </c>
      <c r="G284" t="s">
        <v>58</v>
      </c>
      <c r="H284" t="s">
        <v>42</v>
      </c>
      <c r="I284" t="s">
        <v>32</v>
      </c>
      <c r="J284" s="1">
        <v>43604</v>
      </c>
      <c r="K284">
        <v>7</v>
      </c>
      <c r="L284">
        <v>48975995</v>
      </c>
      <c r="M284">
        <v>8381793</v>
      </c>
      <c r="N284" t="s">
        <v>34</v>
      </c>
      <c r="O284">
        <v>3.26</v>
      </c>
      <c r="P284">
        <v>55</v>
      </c>
      <c r="Q284">
        <v>4</v>
      </c>
      <c r="R284">
        <v>3</v>
      </c>
      <c r="S284">
        <v>0</v>
      </c>
      <c r="T284" t="s">
        <v>34</v>
      </c>
      <c r="U284" t="s">
        <v>33</v>
      </c>
      <c r="V284" t="s">
        <v>35</v>
      </c>
      <c r="W284" t="s">
        <v>34</v>
      </c>
      <c r="X284" t="s">
        <v>52</v>
      </c>
      <c r="Y284" t="s">
        <v>53</v>
      </c>
      <c r="Z284" t="str">
        <f>IF(Table1[[#This Row],[Age]]&lt;30,"20-29",IF(Table1[[#This Row],[Age]]&lt;40,"30-39",IF(Table1[[#This Row],[Age]]&lt;50,"40-49","50+")))</f>
        <v>50+</v>
      </c>
      <c r="AA284" t="str">
        <f>IF(Table1[[#This Row],[Salary]]&lt;20000000,"low",IF(Table1[[#This Row],[Salary]]&lt;40000000,"medium","high"))</f>
        <v>high</v>
      </c>
      <c r="AB284">
        <f>YEAR(Table1[[#This Row],[Hire Date]])</f>
        <v>2019</v>
      </c>
      <c r="AC284" t="str">
        <f>TEXT(Table1[[#This Row],[Hire Date]],"mmmm")</f>
        <v>مه</v>
      </c>
      <c r="AD284" t="str">
        <f>IF(Table1[[#This Row],[Resigned]]="yes","former","active")</f>
        <v>former</v>
      </c>
    </row>
    <row r="285" spans="1:30" x14ac:dyDescent="0.3">
      <c r="A285" t="s">
        <v>635</v>
      </c>
      <c r="B285" t="s">
        <v>636</v>
      </c>
      <c r="C285" t="s">
        <v>39</v>
      </c>
      <c r="D285">
        <v>48</v>
      </c>
      <c r="E285" t="s">
        <v>28</v>
      </c>
      <c r="F285" t="s">
        <v>80</v>
      </c>
      <c r="G285" t="s">
        <v>30</v>
      </c>
      <c r="H285" t="s">
        <v>42</v>
      </c>
      <c r="I285" t="s">
        <v>65</v>
      </c>
      <c r="J285" s="1">
        <v>43267</v>
      </c>
      <c r="K285">
        <v>8</v>
      </c>
      <c r="L285">
        <v>34344088</v>
      </c>
      <c r="M285">
        <v>3990009</v>
      </c>
      <c r="N285" t="s">
        <v>33</v>
      </c>
      <c r="O285">
        <v>2.94</v>
      </c>
      <c r="P285">
        <v>33</v>
      </c>
      <c r="Q285">
        <v>2</v>
      </c>
      <c r="R285">
        <v>4</v>
      </c>
      <c r="S285">
        <v>7</v>
      </c>
      <c r="T285" t="s">
        <v>34</v>
      </c>
      <c r="U285" t="s">
        <v>33</v>
      </c>
      <c r="V285" t="s">
        <v>59</v>
      </c>
      <c r="W285" t="s">
        <v>34</v>
      </c>
      <c r="X285" t="s">
        <v>52</v>
      </c>
      <c r="Y285" t="s">
        <v>53</v>
      </c>
      <c r="Z285" t="str">
        <f>IF(Table1[[#This Row],[Age]]&lt;30,"20-29",IF(Table1[[#This Row],[Age]]&lt;40,"30-39",IF(Table1[[#This Row],[Age]]&lt;50,"40-49","50+")))</f>
        <v>40-49</v>
      </c>
      <c r="AA285" t="str">
        <f>IF(Table1[[#This Row],[Salary]]&lt;20000000,"low",IF(Table1[[#This Row],[Salary]]&lt;40000000,"medium","high"))</f>
        <v>medium</v>
      </c>
      <c r="AB285">
        <f>YEAR(Table1[[#This Row],[Hire Date]])</f>
        <v>2018</v>
      </c>
      <c r="AC285" t="str">
        <f>TEXT(Table1[[#This Row],[Hire Date]],"mmmm")</f>
        <v>ژوئن</v>
      </c>
      <c r="AD285" t="str">
        <f>IF(Table1[[#This Row],[Resigned]]="yes","former","active")</f>
        <v>former</v>
      </c>
    </row>
    <row r="286" spans="1:30" x14ac:dyDescent="0.3">
      <c r="A286" t="s">
        <v>637</v>
      </c>
      <c r="B286" t="s">
        <v>638</v>
      </c>
      <c r="C286" t="s">
        <v>27</v>
      </c>
      <c r="D286">
        <v>35</v>
      </c>
      <c r="E286" t="s">
        <v>110</v>
      </c>
      <c r="F286" t="s">
        <v>120</v>
      </c>
      <c r="G286" t="s">
        <v>30</v>
      </c>
      <c r="H286" t="s">
        <v>31</v>
      </c>
      <c r="I286" t="s">
        <v>65</v>
      </c>
      <c r="J286" s="1">
        <v>43468</v>
      </c>
      <c r="K286">
        <v>7</v>
      </c>
      <c r="L286">
        <v>24192361</v>
      </c>
      <c r="M286">
        <v>151786</v>
      </c>
      <c r="N286" t="s">
        <v>34</v>
      </c>
      <c r="O286">
        <v>4.6100000000000003</v>
      </c>
      <c r="P286">
        <v>48</v>
      </c>
      <c r="Q286">
        <v>4</v>
      </c>
      <c r="R286">
        <v>3</v>
      </c>
      <c r="S286">
        <v>7</v>
      </c>
      <c r="T286" t="s">
        <v>33</v>
      </c>
      <c r="U286" t="s">
        <v>34</v>
      </c>
      <c r="V286" t="s">
        <v>44</v>
      </c>
      <c r="W286" t="s">
        <v>33</v>
      </c>
      <c r="X286" t="s">
        <v>36</v>
      </c>
      <c r="Z286" t="str">
        <f>IF(Table1[[#This Row],[Age]]&lt;30,"20-29",IF(Table1[[#This Row],[Age]]&lt;40,"30-39",IF(Table1[[#This Row],[Age]]&lt;50,"40-49","50+")))</f>
        <v>30-39</v>
      </c>
      <c r="AA286" t="str">
        <f>IF(Table1[[#This Row],[Salary]]&lt;20000000,"low",IF(Table1[[#This Row],[Salary]]&lt;40000000,"medium","high"))</f>
        <v>medium</v>
      </c>
      <c r="AB286">
        <f>YEAR(Table1[[#This Row],[Hire Date]])</f>
        <v>2019</v>
      </c>
      <c r="AC286" t="str">
        <f>TEXT(Table1[[#This Row],[Hire Date]],"mmmm")</f>
        <v>ژانويه</v>
      </c>
      <c r="AD286" t="str">
        <f>IF(Table1[[#This Row],[Resigned]]="yes","former","active")</f>
        <v>active</v>
      </c>
    </row>
    <row r="287" spans="1:30" x14ac:dyDescent="0.3">
      <c r="A287" t="s">
        <v>639</v>
      </c>
      <c r="B287" t="s">
        <v>640</v>
      </c>
      <c r="C287" t="s">
        <v>39</v>
      </c>
      <c r="D287">
        <v>24</v>
      </c>
      <c r="E287" t="s">
        <v>73</v>
      </c>
      <c r="F287" t="s">
        <v>127</v>
      </c>
      <c r="G287" t="s">
        <v>30</v>
      </c>
      <c r="H287" t="s">
        <v>42</v>
      </c>
      <c r="I287" t="s">
        <v>81</v>
      </c>
      <c r="J287" s="1">
        <v>43986</v>
      </c>
      <c r="K287">
        <v>6</v>
      </c>
      <c r="L287">
        <v>26035025</v>
      </c>
      <c r="M287">
        <v>565517</v>
      </c>
      <c r="N287" t="s">
        <v>34</v>
      </c>
      <c r="O287">
        <v>3.16</v>
      </c>
      <c r="P287">
        <v>51</v>
      </c>
      <c r="Q287">
        <v>5</v>
      </c>
      <c r="R287">
        <v>4</v>
      </c>
      <c r="S287">
        <v>14</v>
      </c>
      <c r="T287" t="s">
        <v>33</v>
      </c>
      <c r="U287" t="s">
        <v>34</v>
      </c>
      <c r="V287" t="s">
        <v>35</v>
      </c>
      <c r="W287" t="s">
        <v>33</v>
      </c>
      <c r="X287" t="s">
        <v>52</v>
      </c>
      <c r="Z287" t="str">
        <f>IF(Table1[[#This Row],[Age]]&lt;30,"20-29",IF(Table1[[#This Row],[Age]]&lt;40,"30-39",IF(Table1[[#This Row],[Age]]&lt;50,"40-49","50+")))</f>
        <v>20-29</v>
      </c>
      <c r="AA287" t="str">
        <f>IF(Table1[[#This Row],[Salary]]&lt;20000000,"low",IF(Table1[[#This Row],[Salary]]&lt;40000000,"medium","high"))</f>
        <v>medium</v>
      </c>
      <c r="AB287">
        <f>YEAR(Table1[[#This Row],[Hire Date]])</f>
        <v>2020</v>
      </c>
      <c r="AC287" t="str">
        <f>TEXT(Table1[[#This Row],[Hire Date]],"mmmm")</f>
        <v>ژوئن</v>
      </c>
      <c r="AD287" t="str">
        <f>IF(Table1[[#This Row],[Resigned]]="yes","former","active")</f>
        <v>active</v>
      </c>
    </row>
    <row r="288" spans="1:30" x14ac:dyDescent="0.3">
      <c r="A288" t="s">
        <v>641</v>
      </c>
      <c r="B288" t="s">
        <v>642</v>
      </c>
      <c r="C288" t="s">
        <v>27</v>
      </c>
      <c r="D288">
        <v>58</v>
      </c>
      <c r="E288" t="s">
        <v>73</v>
      </c>
      <c r="F288" t="s">
        <v>127</v>
      </c>
      <c r="G288" t="s">
        <v>49</v>
      </c>
      <c r="H288" t="s">
        <v>31</v>
      </c>
      <c r="I288" t="s">
        <v>81</v>
      </c>
      <c r="J288" s="1">
        <v>45018</v>
      </c>
      <c r="K288">
        <v>3</v>
      </c>
      <c r="L288">
        <v>18108763</v>
      </c>
      <c r="M288">
        <v>4963921</v>
      </c>
      <c r="N288" t="s">
        <v>33</v>
      </c>
      <c r="O288">
        <v>3.2</v>
      </c>
      <c r="P288">
        <v>68</v>
      </c>
      <c r="Q288">
        <v>1</v>
      </c>
      <c r="R288">
        <v>5</v>
      </c>
      <c r="S288">
        <v>15</v>
      </c>
      <c r="T288" t="s">
        <v>33</v>
      </c>
      <c r="U288" t="s">
        <v>33</v>
      </c>
      <c r="V288" t="s">
        <v>59</v>
      </c>
      <c r="W288" t="s">
        <v>33</v>
      </c>
      <c r="X288" t="s">
        <v>52</v>
      </c>
      <c r="Y288" t="s">
        <v>53</v>
      </c>
      <c r="Z288" t="str">
        <f>IF(Table1[[#This Row],[Age]]&lt;30,"20-29",IF(Table1[[#This Row],[Age]]&lt;40,"30-39",IF(Table1[[#This Row],[Age]]&lt;50,"40-49","50+")))</f>
        <v>50+</v>
      </c>
      <c r="AA288" t="str">
        <f>IF(Table1[[#This Row],[Salary]]&lt;20000000,"low",IF(Table1[[#This Row],[Salary]]&lt;40000000,"medium","high"))</f>
        <v>low</v>
      </c>
      <c r="AB288">
        <f>YEAR(Table1[[#This Row],[Hire Date]])</f>
        <v>2023</v>
      </c>
      <c r="AC288" t="str">
        <f>TEXT(Table1[[#This Row],[Hire Date]],"mmmm")</f>
        <v>آوريل</v>
      </c>
      <c r="AD288" t="str">
        <f>IF(Table1[[#This Row],[Resigned]]="yes","former","active")</f>
        <v>former</v>
      </c>
    </row>
    <row r="289" spans="1:30" x14ac:dyDescent="0.3">
      <c r="A289" t="s">
        <v>643</v>
      </c>
      <c r="B289" t="s">
        <v>644</v>
      </c>
      <c r="C289" t="s">
        <v>39</v>
      </c>
      <c r="D289">
        <v>50</v>
      </c>
      <c r="E289" t="s">
        <v>73</v>
      </c>
      <c r="F289" t="s">
        <v>127</v>
      </c>
      <c r="G289" t="s">
        <v>58</v>
      </c>
      <c r="H289" t="s">
        <v>42</v>
      </c>
      <c r="I289" t="s">
        <v>32</v>
      </c>
      <c r="J289" s="1">
        <v>45485</v>
      </c>
      <c r="K289">
        <v>2</v>
      </c>
      <c r="L289">
        <v>51442355</v>
      </c>
      <c r="M289">
        <v>3209192</v>
      </c>
      <c r="N289" t="s">
        <v>33</v>
      </c>
      <c r="O289">
        <v>2.59</v>
      </c>
      <c r="P289">
        <v>16</v>
      </c>
      <c r="Q289">
        <v>4</v>
      </c>
      <c r="R289">
        <v>4</v>
      </c>
      <c r="S289">
        <v>7</v>
      </c>
      <c r="T289" t="s">
        <v>34</v>
      </c>
      <c r="U289" t="s">
        <v>34</v>
      </c>
      <c r="V289" t="s">
        <v>44</v>
      </c>
      <c r="W289" t="s">
        <v>33</v>
      </c>
      <c r="X289" t="s">
        <v>45</v>
      </c>
      <c r="Z289" t="str">
        <f>IF(Table1[[#This Row],[Age]]&lt;30,"20-29",IF(Table1[[#This Row],[Age]]&lt;40,"30-39",IF(Table1[[#This Row],[Age]]&lt;50,"40-49","50+")))</f>
        <v>50+</v>
      </c>
      <c r="AA289" t="str">
        <f>IF(Table1[[#This Row],[Salary]]&lt;20000000,"low",IF(Table1[[#This Row],[Salary]]&lt;40000000,"medium","high"))</f>
        <v>high</v>
      </c>
      <c r="AB289">
        <f>YEAR(Table1[[#This Row],[Hire Date]])</f>
        <v>2024</v>
      </c>
      <c r="AC289" t="str">
        <f>TEXT(Table1[[#This Row],[Hire Date]],"mmmm")</f>
        <v>ژوئيه</v>
      </c>
      <c r="AD289" t="str">
        <f>IF(Table1[[#This Row],[Resigned]]="yes","former","active")</f>
        <v>active</v>
      </c>
    </row>
    <row r="290" spans="1:30" x14ac:dyDescent="0.3">
      <c r="A290" t="s">
        <v>645</v>
      </c>
      <c r="B290" t="s">
        <v>646</v>
      </c>
      <c r="C290" t="s">
        <v>39</v>
      </c>
      <c r="D290">
        <v>47</v>
      </c>
      <c r="E290" t="s">
        <v>56</v>
      </c>
      <c r="F290" t="s">
        <v>84</v>
      </c>
      <c r="G290" t="s">
        <v>58</v>
      </c>
      <c r="H290" t="s">
        <v>42</v>
      </c>
      <c r="I290" t="s">
        <v>43</v>
      </c>
      <c r="J290" s="1">
        <v>43739</v>
      </c>
      <c r="K290">
        <v>7</v>
      </c>
      <c r="L290">
        <v>35450112</v>
      </c>
      <c r="M290">
        <v>2681223</v>
      </c>
      <c r="N290" t="s">
        <v>34</v>
      </c>
      <c r="O290">
        <v>3.92</v>
      </c>
      <c r="P290">
        <v>11</v>
      </c>
      <c r="Q290">
        <v>2</v>
      </c>
      <c r="R290">
        <v>2</v>
      </c>
      <c r="S290">
        <v>14</v>
      </c>
      <c r="T290" t="s">
        <v>33</v>
      </c>
      <c r="U290" t="s">
        <v>33</v>
      </c>
      <c r="V290" t="s">
        <v>44</v>
      </c>
      <c r="W290" t="s">
        <v>34</v>
      </c>
      <c r="X290" t="s">
        <v>45</v>
      </c>
      <c r="Y290" t="s">
        <v>60</v>
      </c>
      <c r="Z290" t="str">
        <f>IF(Table1[[#This Row],[Age]]&lt;30,"20-29",IF(Table1[[#This Row],[Age]]&lt;40,"30-39",IF(Table1[[#This Row],[Age]]&lt;50,"40-49","50+")))</f>
        <v>40-49</v>
      </c>
      <c r="AA290" t="str">
        <f>IF(Table1[[#This Row],[Salary]]&lt;20000000,"low",IF(Table1[[#This Row],[Salary]]&lt;40000000,"medium","high"))</f>
        <v>medium</v>
      </c>
      <c r="AB290">
        <f>YEAR(Table1[[#This Row],[Hire Date]])</f>
        <v>2019</v>
      </c>
      <c r="AC290" t="str">
        <f>TEXT(Table1[[#This Row],[Hire Date]],"mmmm")</f>
        <v>اُكتبر</v>
      </c>
      <c r="AD290" t="str">
        <f>IF(Table1[[#This Row],[Resigned]]="yes","former","active")</f>
        <v>former</v>
      </c>
    </row>
    <row r="291" spans="1:30" x14ac:dyDescent="0.3">
      <c r="A291" t="s">
        <v>647</v>
      </c>
      <c r="B291" t="s">
        <v>648</v>
      </c>
      <c r="C291" t="s">
        <v>39</v>
      </c>
      <c r="D291">
        <v>46</v>
      </c>
      <c r="E291" t="s">
        <v>40</v>
      </c>
      <c r="F291" t="s">
        <v>48</v>
      </c>
      <c r="G291" t="s">
        <v>49</v>
      </c>
      <c r="H291" t="s">
        <v>42</v>
      </c>
      <c r="I291" t="s">
        <v>65</v>
      </c>
      <c r="J291" s="1">
        <v>42957</v>
      </c>
      <c r="K291">
        <v>9</v>
      </c>
      <c r="L291">
        <v>18875301</v>
      </c>
      <c r="M291">
        <v>8682871</v>
      </c>
      <c r="N291" t="s">
        <v>34</v>
      </c>
      <c r="O291">
        <v>3.1</v>
      </c>
      <c r="P291">
        <v>4</v>
      </c>
      <c r="Q291">
        <v>2</v>
      </c>
      <c r="R291">
        <v>1</v>
      </c>
      <c r="S291">
        <v>11</v>
      </c>
      <c r="T291" t="s">
        <v>33</v>
      </c>
      <c r="U291" t="s">
        <v>34</v>
      </c>
      <c r="V291" t="s">
        <v>35</v>
      </c>
      <c r="W291" t="s">
        <v>33</v>
      </c>
      <c r="X291" t="s">
        <v>52</v>
      </c>
      <c r="Z291" t="str">
        <f>IF(Table1[[#This Row],[Age]]&lt;30,"20-29",IF(Table1[[#This Row],[Age]]&lt;40,"30-39",IF(Table1[[#This Row],[Age]]&lt;50,"40-49","50+")))</f>
        <v>40-49</v>
      </c>
      <c r="AA291" t="str">
        <f>IF(Table1[[#This Row],[Salary]]&lt;20000000,"low",IF(Table1[[#This Row],[Salary]]&lt;40000000,"medium","high"))</f>
        <v>low</v>
      </c>
      <c r="AB291">
        <f>YEAR(Table1[[#This Row],[Hire Date]])</f>
        <v>2017</v>
      </c>
      <c r="AC291" t="str">
        <f>TEXT(Table1[[#This Row],[Hire Date]],"mmmm")</f>
        <v>اوت</v>
      </c>
      <c r="AD291" t="str">
        <f>IF(Table1[[#This Row],[Resigned]]="yes","former","active")</f>
        <v>active</v>
      </c>
    </row>
    <row r="292" spans="1:30" x14ac:dyDescent="0.3">
      <c r="A292" t="s">
        <v>649</v>
      </c>
      <c r="B292" t="s">
        <v>650</v>
      </c>
      <c r="C292" t="s">
        <v>39</v>
      </c>
      <c r="D292">
        <v>25</v>
      </c>
      <c r="E292" t="s">
        <v>73</v>
      </c>
      <c r="F292" t="s">
        <v>74</v>
      </c>
      <c r="G292" t="s">
        <v>30</v>
      </c>
      <c r="H292" t="s">
        <v>31</v>
      </c>
      <c r="I292" t="s">
        <v>50</v>
      </c>
      <c r="J292" s="1">
        <v>44013</v>
      </c>
      <c r="K292">
        <v>6</v>
      </c>
      <c r="L292">
        <v>13754285</v>
      </c>
      <c r="M292">
        <v>7970198</v>
      </c>
      <c r="N292" t="s">
        <v>33</v>
      </c>
      <c r="O292">
        <v>4.95</v>
      </c>
      <c r="P292">
        <v>19</v>
      </c>
      <c r="Q292">
        <v>5</v>
      </c>
      <c r="R292">
        <v>4</v>
      </c>
      <c r="S292">
        <v>18</v>
      </c>
      <c r="T292" t="s">
        <v>34</v>
      </c>
      <c r="U292" t="s">
        <v>34</v>
      </c>
      <c r="V292" t="s">
        <v>51</v>
      </c>
      <c r="W292" t="s">
        <v>33</v>
      </c>
      <c r="X292" t="s">
        <v>45</v>
      </c>
      <c r="Z292" t="str">
        <f>IF(Table1[[#This Row],[Age]]&lt;30,"20-29",IF(Table1[[#This Row],[Age]]&lt;40,"30-39",IF(Table1[[#This Row],[Age]]&lt;50,"40-49","50+")))</f>
        <v>20-29</v>
      </c>
      <c r="AA292" t="str">
        <f>IF(Table1[[#This Row],[Salary]]&lt;20000000,"low",IF(Table1[[#This Row],[Salary]]&lt;40000000,"medium","high"))</f>
        <v>low</v>
      </c>
      <c r="AB292">
        <f>YEAR(Table1[[#This Row],[Hire Date]])</f>
        <v>2020</v>
      </c>
      <c r="AC292" t="str">
        <f>TEXT(Table1[[#This Row],[Hire Date]],"mmmm")</f>
        <v>ژوئيه</v>
      </c>
      <c r="AD292" t="str">
        <f>IF(Table1[[#This Row],[Resigned]]="yes","former","active")</f>
        <v>active</v>
      </c>
    </row>
    <row r="293" spans="1:30" x14ac:dyDescent="0.3">
      <c r="A293" t="s">
        <v>651</v>
      </c>
      <c r="B293" t="s">
        <v>652</v>
      </c>
      <c r="C293" t="s">
        <v>27</v>
      </c>
      <c r="D293">
        <v>22</v>
      </c>
      <c r="E293" t="s">
        <v>56</v>
      </c>
      <c r="F293" t="s">
        <v>84</v>
      </c>
      <c r="G293" t="s">
        <v>30</v>
      </c>
      <c r="H293" t="s">
        <v>42</v>
      </c>
      <c r="I293" t="s">
        <v>65</v>
      </c>
      <c r="J293" s="1">
        <v>44569</v>
      </c>
      <c r="K293">
        <v>4</v>
      </c>
      <c r="L293">
        <v>25001623</v>
      </c>
      <c r="M293">
        <v>9466481</v>
      </c>
      <c r="N293" t="s">
        <v>34</v>
      </c>
      <c r="O293">
        <v>4.84</v>
      </c>
      <c r="P293">
        <v>80</v>
      </c>
      <c r="Q293">
        <v>4</v>
      </c>
      <c r="R293">
        <v>1</v>
      </c>
      <c r="S293">
        <v>7</v>
      </c>
      <c r="T293" t="s">
        <v>33</v>
      </c>
      <c r="U293" t="s">
        <v>34</v>
      </c>
      <c r="V293" t="s">
        <v>59</v>
      </c>
      <c r="W293" t="s">
        <v>33</v>
      </c>
      <c r="X293" t="s">
        <v>45</v>
      </c>
      <c r="Z293" t="str">
        <f>IF(Table1[[#This Row],[Age]]&lt;30,"20-29",IF(Table1[[#This Row],[Age]]&lt;40,"30-39",IF(Table1[[#This Row],[Age]]&lt;50,"40-49","50+")))</f>
        <v>20-29</v>
      </c>
      <c r="AA293" t="str">
        <f>IF(Table1[[#This Row],[Salary]]&lt;20000000,"low",IF(Table1[[#This Row],[Salary]]&lt;40000000,"medium","high"))</f>
        <v>medium</v>
      </c>
      <c r="AB293">
        <f>YEAR(Table1[[#This Row],[Hire Date]])</f>
        <v>2022</v>
      </c>
      <c r="AC293" t="str">
        <f>TEXT(Table1[[#This Row],[Hire Date]],"mmmm")</f>
        <v>ژانويه</v>
      </c>
      <c r="AD293" t="str">
        <f>IF(Table1[[#This Row],[Resigned]]="yes","former","active")</f>
        <v>active</v>
      </c>
    </row>
    <row r="294" spans="1:30" x14ac:dyDescent="0.3">
      <c r="A294" t="s">
        <v>653</v>
      </c>
      <c r="B294" t="s">
        <v>654</v>
      </c>
      <c r="C294" t="s">
        <v>39</v>
      </c>
      <c r="D294">
        <v>27</v>
      </c>
      <c r="E294" t="s">
        <v>73</v>
      </c>
      <c r="F294" t="s">
        <v>127</v>
      </c>
      <c r="G294" t="s">
        <v>49</v>
      </c>
      <c r="H294" t="s">
        <v>31</v>
      </c>
      <c r="I294" t="s">
        <v>43</v>
      </c>
      <c r="J294" s="1">
        <v>42956</v>
      </c>
      <c r="K294">
        <v>9</v>
      </c>
      <c r="L294">
        <v>32819423</v>
      </c>
      <c r="M294">
        <v>6421006</v>
      </c>
      <c r="N294" t="s">
        <v>33</v>
      </c>
      <c r="O294">
        <v>3.97</v>
      </c>
      <c r="P294">
        <v>56</v>
      </c>
      <c r="Q294">
        <v>3</v>
      </c>
      <c r="R294">
        <v>1</v>
      </c>
      <c r="S294">
        <v>1</v>
      </c>
      <c r="T294" t="s">
        <v>34</v>
      </c>
      <c r="U294" t="s">
        <v>34</v>
      </c>
      <c r="V294" t="s">
        <v>51</v>
      </c>
      <c r="W294" t="s">
        <v>33</v>
      </c>
      <c r="X294" t="s">
        <v>36</v>
      </c>
      <c r="Z294" t="str">
        <f>IF(Table1[[#This Row],[Age]]&lt;30,"20-29",IF(Table1[[#This Row],[Age]]&lt;40,"30-39",IF(Table1[[#This Row],[Age]]&lt;50,"40-49","50+")))</f>
        <v>20-29</v>
      </c>
      <c r="AA294" t="str">
        <f>IF(Table1[[#This Row],[Salary]]&lt;20000000,"low",IF(Table1[[#This Row],[Salary]]&lt;40000000,"medium","high"))</f>
        <v>medium</v>
      </c>
      <c r="AB294">
        <f>YEAR(Table1[[#This Row],[Hire Date]])</f>
        <v>2017</v>
      </c>
      <c r="AC294" t="str">
        <f>TEXT(Table1[[#This Row],[Hire Date]],"mmmm")</f>
        <v>اوت</v>
      </c>
      <c r="AD294" t="str">
        <f>IF(Table1[[#This Row],[Resigned]]="yes","former","active")</f>
        <v>active</v>
      </c>
    </row>
    <row r="295" spans="1:30" x14ac:dyDescent="0.3">
      <c r="A295" t="s">
        <v>655</v>
      </c>
      <c r="B295" t="s">
        <v>656</v>
      </c>
      <c r="C295" t="s">
        <v>39</v>
      </c>
      <c r="D295">
        <v>48</v>
      </c>
      <c r="E295" t="s">
        <v>40</v>
      </c>
      <c r="F295" t="s">
        <v>48</v>
      </c>
      <c r="G295" t="s">
        <v>49</v>
      </c>
      <c r="H295" t="s">
        <v>31</v>
      </c>
      <c r="I295" t="s">
        <v>43</v>
      </c>
      <c r="J295" s="1">
        <v>45382</v>
      </c>
      <c r="K295">
        <v>2</v>
      </c>
      <c r="L295">
        <v>14957531</v>
      </c>
      <c r="M295">
        <v>6024906</v>
      </c>
      <c r="N295" t="s">
        <v>34</v>
      </c>
      <c r="O295">
        <v>3.78</v>
      </c>
      <c r="P295">
        <v>8</v>
      </c>
      <c r="Q295">
        <v>4</v>
      </c>
      <c r="R295">
        <v>3</v>
      </c>
      <c r="S295">
        <v>18</v>
      </c>
      <c r="T295" t="s">
        <v>33</v>
      </c>
      <c r="U295" t="s">
        <v>34</v>
      </c>
      <c r="V295" t="s">
        <v>51</v>
      </c>
      <c r="W295" t="s">
        <v>33</v>
      </c>
      <c r="X295" t="s">
        <v>52</v>
      </c>
      <c r="Z295" t="str">
        <f>IF(Table1[[#This Row],[Age]]&lt;30,"20-29",IF(Table1[[#This Row],[Age]]&lt;40,"30-39",IF(Table1[[#This Row],[Age]]&lt;50,"40-49","50+")))</f>
        <v>40-49</v>
      </c>
      <c r="AA295" t="str">
        <f>IF(Table1[[#This Row],[Salary]]&lt;20000000,"low",IF(Table1[[#This Row],[Salary]]&lt;40000000,"medium","high"))</f>
        <v>low</v>
      </c>
      <c r="AB295">
        <f>YEAR(Table1[[#This Row],[Hire Date]])</f>
        <v>2024</v>
      </c>
      <c r="AC295" t="str">
        <f>TEXT(Table1[[#This Row],[Hire Date]],"mmmm")</f>
        <v>مارس</v>
      </c>
      <c r="AD295" t="str">
        <f>IF(Table1[[#This Row],[Resigned]]="yes","former","active")</f>
        <v>active</v>
      </c>
    </row>
    <row r="296" spans="1:30" x14ac:dyDescent="0.3">
      <c r="A296" t="s">
        <v>657</v>
      </c>
      <c r="B296" t="s">
        <v>658</v>
      </c>
      <c r="C296" t="s">
        <v>39</v>
      </c>
      <c r="D296">
        <v>54</v>
      </c>
      <c r="E296" t="s">
        <v>73</v>
      </c>
      <c r="F296" t="s">
        <v>127</v>
      </c>
      <c r="G296" t="s">
        <v>30</v>
      </c>
      <c r="H296" t="s">
        <v>42</v>
      </c>
      <c r="I296" t="s">
        <v>65</v>
      </c>
      <c r="J296" s="1">
        <v>42906</v>
      </c>
      <c r="K296">
        <v>9</v>
      </c>
      <c r="L296">
        <v>58298237</v>
      </c>
      <c r="M296">
        <v>4329764</v>
      </c>
      <c r="N296" t="s">
        <v>34</v>
      </c>
      <c r="O296">
        <v>4.22</v>
      </c>
      <c r="P296">
        <v>56</v>
      </c>
      <c r="Q296">
        <v>4</v>
      </c>
      <c r="R296">
        <v>2</v>
      </c>
      <c r="S296">
        <v>3</v>
      </c>
      <c r="T296" t="s">
        <v>33</v>
      </c>
      <c r="U296" t="s">
        <v>34</v>
      </c>
      <c r="V296" t="s">
        <v>51</v>
      </c>
      <c r="W296" t="s">
        <v>34</v>
      </c>
      <c r="X296" t="s">
        <v>45</v>
      </c>
      <c r="Z296" t="str">
        <f>IF(Table1[[#This Row],[Age]]&lt;30,"20-29",IF(Table1[[#This Row],[Age]]&lt;40,"30-39",IF(Table1[[#This Row],[Age]]&lt;50,"40-49","50+")))</f>
        <v>50+</v>
      </c>
      <c r="AA296" t="str">
        <f>IF(Table1[[#This Row],[Salary]]&lt;20000000,"low",IF(Table1[[#This Row],[Salary]]&lt;40000000,"medium","high"))</f>
        <v>high</v>
      </c>
      <c r="AB296">
        <f>YEAR(Table1[[#This Row],[Hire Date]])</f>
        <v>2017</v>
      </c>
      <c r="AC296" t="str">
        <f>TEXT(Table1[[#This Row],[Hire Date]],"mmmm")</f>
        <v>ژوئن</v>
      </c>
      <c r="AD296" t="str">
        <f>IF(Table1[[#This Row],[Resigned]]="yes","former","active")</f>
        <v>active</v>
      </c>
    </row>
    <row r="297" spans="1:30" x14ac:dyDescent="0.3">
      <c r="A297" t="s">
        <v>659</v>
      </c>
      <c r="B297" t="s">
        <v>660</v>
      </c>
      <c r="C297" t="s">
        <v>27</v>
      </c>
      <c r="D297">
        <v>45</v>
      </c>
      <c r="E297" t="s">
        <v>28</v>
      </c>
      <c r="F297" t="s">
        <v>80</v>
      </c>
      <c r="G297" t="s">
        <v>49</v>
      </c>
      <c r="H297" t="s">
        <v>42</v>
      </c>
      <c r="I297" t="s">
        <v>50</v>
      </c>
      <c r="J297" s="1">
        <v>42846</v>
      </c>
      <c r="K297">
        <v>9</v>
      </c>
      <c r="L297">
        <v>42974228</v>
      </c>
      <c r="M297">
        <v>8834770</v>
      </c>
      <c r="N297" t="s">
        <v>34</v>
      </c>
      <c r="O297">
        <v>3.88</v>
      </c>
      <c r="P297">
        <v>54</v>
      </c>
      <c r="Q297">
        <v>3</v>
      </c>
      <c r="R297">
        <v>4</v>
      </c>
      <c r="S297">
        <v>16</v>
      </c>
      <c r="T297" t="s">
        <v>34</v>
      </c>
      <c r="U297" t="s">
        <v>34</v>
      </c>
      <c r="V297" t="s">
        <v>59</v>
      </c>
      <c r="W297" t="s">
        <v>33</v>
      </c>
      <c r="X297" t="s">
        <v>45</v>
      </c>
      <c r="Z297" t="str">
        <f>IF(Table1[[#This Row],[Age]]&lt;30,"20-29",IF(Table1[[#This Row],[Age]]&lt;40,"30-39",IF(Table1[[#This Row],[Age]]&lt;50,"40-49","50+")))</f>
        <v>40-49</v>
      </c>
      <c r="AA297" t="str">
        <f>IF(Table1[[#This Row],[Salary]]&lt;20000000,"low",IF(Table1[[#This Row],[Salary]]&lt;40000000,"medium","high"))</f>
        <v>high</v>
      </c>
      <c r="AB297">
        <f>YEAR(Table1[[#This Row],[Hire Date]])</f>
        <v>2017</v>
      </c>
      <c r="AC297" t="str">
        <f>TEXT(Table1[[#This Row],[Hire Date]],"mmmm")</f>
        <v>آوريل</v>
      </c>
      <c r="AD297" t="str">
        <f>IF(Table1[[#This Row],[Resigned]]="yes","former","active")</f>
        <v>active</v>
      </c>
    </row>
    <row r="298" spans="1:30" x14ac:dyDescent="0.3">
      <c r="A298" t="s">
        <v>661</v>
      </c>
      <c r="B298" t="s">
        <v>662</v>
      </c>
      <c r="C298" t="s">
        <v>27</v>
      </c>
      <c r="D298">
        <v>47</v>
      </c>
      <c r="E298" t="s">
        <v>28</v>
      </c>
      <c r="F298" t="s">
        <v>80</v>
      </c>
      <c r="G298" t="s">
        <v>49</v>
      </c>
      <c r="H298" t="s">
        <v>42</v>
      </c>
      <c r="I298" t="s">
        <v>32</v>
      </c>
      <c r="J298" s="1">
        <v>45484</v>
      </c>
      <c r="K298">
        <v>2</v>
      </c>
      <c r="L298">
        <v>20827154</v>
      </c>
      <c r="M298">
        <v>9937902</v>
      </c>
      <c r="N298" t="s">
        <v>34</v>
      </c>
      <c r="O298">
        <v>2.98</v>
      </c>
      <c r="P298">
        <v>61</v>
      </c>
      <c r="Q298">
        <v>5</v>
      </c>
      <c r="R298">
        <v>2</v>
      </c>
      <c r="S298">
        <v>3</v>
      </c>
      <c r="T298" t="s">
        <v>33</v>
      </c>
      <c r="U298" t="s">
        <v>34</v>
      </c>
      <c r="V298" t="s">
        <v>70</v>
      </c>
      <c r="W298" t="s">
        <v>33</v>
      </c>
      <c r="X298" t="s">
        <v>36</v>
      </c>
      <c r="Z298" t="str">
        <f>IF(Table1[[#This Row],[Age]]&lt;30,"20-29",IF(Table1[[#This Row],[Age]]&lt;40,"30-39",IF(Table1[[#This Row],[Age]]&lt;50,"40-49","50+")))</f>
        <v>40-49</v>
      </c>
      <c r="AA298" t="str">
        <f>IF(Table1[[#This Row],[Salary]]&lt;20000000,"low",IF(Table1[[#This Row],[Salary]]&lt;40000000,"medium","high"))</f>
        <v>medium</v>
      </c>
      <c r="AB298">
        <f>YEAR(Table1[[#This Row],[Hire Date]])</f>
        <v>2024</v>
      </c>
      <c r="AC298" t="str">
        <f>TEXT(Table1[[#This Row],[Hire Date]],"mmmm")</f>
        <v>ژوئيه</v>
      </c>
      <c r="AD298" t="str">
        <f>IF(Table1[[#This Row],[Resigned]]="yes","former","active")</f>
        <v>active</v>
      </c>
    </row>
    <row r="299" spans="1:30" x14ac:dyDescent="0.3">
      <c r="A299" t="s">
        <v>663</v>
      </c>
      <c r="B299" t="s">
        <v>664</v>
      </c>
      <c r="C299" t="s">
        <v>27</v>
      </c>
      <c r="D299">
        <v>51</v>
      </c>
      <c r="E299" t="s">
        <v>110</v>
      </c>
      <c r="F299" t="s">
        <v>111</v>
      </c>
      <c r="G299" t="s">
        <v>49</v>
      </c>
      <c r="H299" t="s">
        <v>31</v>
      </c>
      <c r="I299" t="s">
        <v>50</v>
      </c>
      <c r="J299" s="1">
        <v>44627</v>
      </c>
      <c r="K299">
        <v>4</v>
      </c>
      <c r="L299">
        <v>50379992</v>
      </c>
      <c r="M299">
        <v>1163321</v>
      </c>
      <c r="N299" t="s">
        <v>33</v>
      </c>
      <c r="O299">
        <v>3.67</v>
      </c>
      <c r="P299">
        <v>69</v>
      </c>
      <c r="Q299">
        <v>2</v>
      </c>
      <c r="R299">
        <v>1</v>
      </c>
      <c r="S299">
        <v>16</v>
      </c>
      <c r="T299" t="s">
        <v>33</v>
      </c>
      <c r="U299" t="s">
        <v>34</v>
      </c>
      <c r="V299" t="s">
        <v>70</v>
      </c>
      <c r="W299" t="s">
        <v>33</v>
      </c>
      <c r="X299" t="s">
        <v>52</v>
      </c>
      <c r="Z299" t="str">
        <f>IF(Table1[[#This Row],[Age]]&lt;30,"20-29",IF(Table1[[#This Row],[Age]]&lt;40,"30-39",IF(Table1[[#This Row],[Age]]&lt;50,"40-49","50+")))</f>
        <v>50+</v>
      </c>
      <c r="AA299" t="str">
        <f>IF(Table1[[#This Row],[Salary]]&lt;20000000,"low",IF(Table1[[#This Row],[Salary]]&lt;40000000,"medium","high"))</f>
        <v>high</v>
      </c>
      <c r="AB299">
        <f>YEAR(Table1[[#This Row],[Hire Date]])</f>
        <v>2022</v>
      </c>
      <c r="AC299" t="str">
        <f>TEXT(Table1[[#This Row],[Hire Date]],"mmmm")</f>
        <v>مارس</v>
      </c>
      <c r="AD299" t="str">
        <f>IF(Table1[[#This Row],[Resigned]]="yes","former","active")</f>
        <v>active</v>
      </c>
    </row>
    <row r="300" spans="1:30" x14ac:dyDescent="0.3">
      <c r="A300" t="s">
        <v>665</v>
      </c>
      <c r="B300" t="s">
        <v>666</v>
      </c>
      <c r="C300" t="s">
        <v>27</v>
      </c>
      <c r="D300">
        <v>38</v>
      </c>
      <c r="E300" t="s">
        <v>56</v>
      </c>
      <c r="F300" t="s">
        <v>57</v>
      </c>
      <c r="G300" t="s">
        <v>58</v>
      </c>
      <c r="H300" t="s">
        <v>31</v>
      </c>
      <c r="I300" t="s">
        <v>32</v>
      </c>
      <c r="J300" s="1">
        <v>42754</v>
      </c>
      <c r="K300">
        <v>9</v>
      </c>
      <c r="L300">
        <v>36414864</v>
      </c>
      <c r="M300">
        <v>1244470</v>
      </c>
      <c r="N300" t="s">
        <v>34</v>
      </c>
      <c r="O300">
        <v>4.18</v>
      </c>
      <c r="P300">
        <v>25</v>
      </c>
      <c r="Q300">
        <v>5</v>
      </c>
      <c r="R300">
        <v>5</v>
      </c>
      <c r="S300">
        <v>3</v>
      </c>
      <c r="T300" t="s">
        <v>34</v>
      </c>
      <c r="U300" t="s">
        <v>34</v>
      </c>
      <c r="V300" t="s">
        <v>35</v>
      </c>
      <c r="W300" t="s">
        <v>34</v>
      </c>
      <c r="X300" t="s">
        <v>45</v>
      </c>
      <c r="Z300" t="str">
        <f>IF(Table1[[#This Row],[Age]]&lt;30,"20-29",IF(Table1[[#This Row],[Age]]&lt;40,"30-39",IF(Table1[[#This Row],[Age]]&lt;50,"40-49","50+")))</f>
        <v>30-39</v>
      </c>
      <c r="AA300" t="str">
        <f>IF(Table1[[#This Row],[Salary]]&lt;20000000,"low",IF(Table1[[#This Row],[Salary]]&lt;40000000,"medium","high"))</f>
        <v>medium</v>
      </c>
      <c r="AB300">
        <f>YEAR(Table1[[#This Row],[Hire Date]])</f>
        <v>2017</v>
      </c>
      <c r="AC300" t="str">
        <f>TEXT(Table1[[#This Row],[Hire Date]],"mmmm")</f>
        <v>ژانويه</v>
      </c>
      <c r="AD300" t="str">
        <f>IF(Table1[[#This Row],[Resigned]]="yes","former","active")</f>
        <v>active</v>
      </c>
    </row>
    <row r="301" spans="1:30" x14ac:dyDescent="0.3">
      <c r="A301" t="s">
        <v>667</v>
      </c>
      <c r="B301" t="s">
        <v>668</v>
      </c>
      <c r="C301" t="s">
        <v>27</v>
      </c>
      <c r="D301">
        <v>22</v>
      </c>
      <c r="E301" t="s">
        <v>63</v>
      </c>
      <c r="F301" t="s">
        <v>64</v>
      </c>
      <c r="G301" t="s">
        <v>30</v>
      </c>
      <c r="H301" t="s">
        <v>31</v>
      </c>
      <c r="I301" t="s">
        <v>43</v>
      </c>
      <c r="J301" s="1">
        <v>44585</v>
      </c>
      <c r="K301">
        <v>4</v>
      </c>
      <c r="L301">
        <v>20067384</v>
      </c>
      <c r="M301">
        <v>7947709</v>
      </c>
      <c r="N301" t="s">
        <v>34</v>
      </c>
      <c r="O301">
        <v>2.63</v>
      </c>
      <c r="P301">
        <v>55</v>
      </c>
      <c r="Q301">
        <v>5</v>
      </c>
      <c r="R301">
        <v>2</v>
      </c>
      <c r="S301">
        <v>13</v>
      </c>
      <c r="T301" t="s">
        <v>33</v>
      </c>
      <c r="U301" t="s">
        <v>34</v>
      </c>
      <c r="V301" t="s">
        <v>44</v>
      </c>
      <c r="W301" t="s">
        <v>33</v>
      </c>
      <c r="X301" t="s">
        <v>45</v>
      </c>
      <c r="Z301" t="str">
        <f>IF(Table1[[#This Row],[Age]]&lt;30,"20-29",IF(Table1[[#This Row],[Age]]&lt;40,"30-39",IF(Table1[[#This Row],[Age]]&lt;50,"40-49","50+")))</f>
        <v>20-29</v>
      </c>
      <c r="AA301" t="str">
        <f>IF(Table1[[#This Row],[Salary]]&lt;20000000,"low",IF(Table1[[#This Row],[Salary]]&lt;40000000,"medium","high"))</f>
        <v>medium</v>
      </c>
      <c r="AB301">
        <f>YEAR(Table1[[#This Row],[Hire Date]])</f>
        <v>2022</v>
      </c>
      <c r="AC301" t="str">
        <f>TEXT(Table1[[#This Row],[Hire Date]],"mmmm")</f>
        <v>ژانويه</v>
      </c>
      <c r="AD301" t="str">
        <f>IF(Table1[[#This Row],[Resigned]]="yes","former","active")</f>
        <v>active</v>
      </c>
    </row>
    <row r="302" spans="1:30" x14ac:dyDescent="0.3">
      <c r="A302" t="s">
        <v>669</v>
      </c>
      <c r="B302" t="s">
        <v>670</v>
      </c>
      <c r="C302" t="s">
        <v>27</v>
      </c>
      <c r="D302">
        <v>35</v>
      </c>
      <c r="E302" t="s">
        <v>56</v>
      </c>
      <c r="F302" t="s">
        <v>57</v>
      </c>
      <c r="G302" t="s">
        <v>30</v>
      </c>
      <c r="H302" t="s">
        <v>42</v>
      </c>
      <c r="I302" t="s">
        <v>43</v>
      </c>
      <c r="J302" s="1">
        <v>45868</v>
      </c>
      <c r="K302">
        <v>1</v>
      </c>
      <c r="L302">
        <v>17131864</v>
      </c>
      <c r="M302">
        <v>5437885</v>
      </c>
      <c r="N302" t="s">
        <v>34</v>
      </c>
      <c r="O302">
        <v>2.52</v>
      </c>
      <c r="P302">
        <v>44</v>
      </c>
      <c r="Q302">
        <v>3</v>
      </c>
      <c r="R302">
        <v>2</v>
      </c>
      <c r="S302">
        <v>11</v>
      </c>
      <c r="T302" t="s">
        <v>34</v>
      </c>
      <c r="U302" t="s">
        <v>33</v>
      </c>
      <c r="V302" t="s">
        <v>51</v>
      </c>
      <c r="W302" t="s">
        <v>34</v>
      </c>
      <c r="X302" t="s">
        <v>45</v>
      </c>
      <c r="Y302" t="s">
        <v>53</v>
      </c>
      <c r="Z302" t="str">
        <f>IF(Table1[[#This Row],[Age]]&lt;30,"20-29",IF(Table1[[#This Row],[Age]]&lt;40,"30-39",IF(Table1[[#This Row],[Age]]&lt;50,"40-49","50+")))</f>
        <v>30-39</v>
      </c>
      <c r="AA302" t="str">
        <f>IF(Table1[[#This Row],[Salary]]&lt;20000000,"low",IF(Table1[[#This Row],[Salary]]&lt;40000000,"medium","high"))</f>
        <v>low</v>
      </c>
      <c r="AB302">
        <f>YEAR(Table1[[#This Row],[Hire Date]])</f>
        <v>2025</v>
      </c>
      <c r="AC302" t="str">
        <f>TEXT(Table1[[#This Row],[Hire Date]],"mmmm")</f>
        <v>ژوئيه</v>
      </c>
      <c r="AD302" t="str">
        <f>IF(Table1[[#This Row],[Resigned]]="yes","former","active")</f>
        <v>former</v>
      </c>
    </row>
    <row r="303" spans="1:30" x14ac:dyDescent="0.3">
      <c r="A303" t="s">
        <v>671</v>
      </c>
      <c r="B303" t="s">
        <v>672</v>
      </c>
      <c r="C303" t="s">
        <v>27</v>
      </c>
      <c r="D303">
        <v>55</v>
      </c>
      <c r="E303" t="s">
        <v>73</v>
      </c>
      <c r="F303" t="s">
        <v>74</v>
      </c>
      <c r="G303" t="s">
        <v>49</v>
      </c>
      <c r="H303" t="s">
        <v>42</v>
      </c>
      <c r="I303" t="s">
        <v>50</v>
      </c>
      <c r="J303" s="1">
        <v>45091</v>
      </c>
      <c r="K303">
        <v>3</v>
      </c>
      <c r="L303">
        <v>21179791</v>
      </c>
      <c r="M303">
        <v>5699411</v>
      </c>
      <c r="N303" t="s">
        <v>34</v>
      </c>
      <c r="O303">
        <v>3.85</v>
      </c>
      <c r="P303">
        <v>68</v>
      </c>
      <c r="Q303">
        <v>1</v>
      </c>
      <c r="R303">
        <v>1</v>
      </c>
      <c r="S303">
        <v>4</v>
      </c>
      <c r="T303" t="s">
        <v>34</v>
      </c>
      <c r="U303" t="s">
        <v>34</v>
      </c>
      <c r="V303" t="s">
        <v>35</v>
      </c>
      <c r="W303" t="s">
        <v>33</v>
      </c>
      <c r="X303" t="s">
        <v>52</v>
      </c>
      <c r="Z303" t="str">
        <f>IF(Table1[[#This Row],[Age]]&lt;30,"20-29",IF(Table1[[#This Row],[Age]]&lt;40,"30-39",IF(Table1[[#This Row],[Age]]&lt;50,"40-49","50+")))</f>
        <v>50+</v>
      </c>
      <c r="AA303" t="str">
        <f>IF(Table1[[#This Row],[Salary]]&lt;20000000,"low",IF(Table1[[#This Row],[Salary]]&lt;40000000,"medium","high"))</f>
        <v>medium</v>
      </c>
      <c r="AB303">
        <f>YEAR(Table1[[#This Row],[Hire Date]])</f>
        <v>2023</v>
      </c>
      <c r="AC303" t="str">
        <f>TEXT(Table1[[#This Row],[Hire Date]],"mmmm")</f>
        <v>ژوئن</v>
      </c>
      <c r="AD303" t="str">
        <f>IF(Table1[[#This Row],[Resigned]]="yes","former","active")</f>
        <v>active</v>
      </c>
    </row>
    <row r="304" spans="1:30" x14ac:dyDescent="0.3">
      <c r="A304" t="s">
        <v>673</v>
      </c>
      <c r="B304" t="s">
        <v>674</v>
      </c>
      <c r="C304" t="s">
        <v>39</v>
      </c>
      <c r="D304">
        <v>56</v>
      </c>
      <c r="E304" t="s">
        <v>73</v>
      </c>
      <c r="F304" t="s">
        <v>74</v>
      </c>
      <c r="G304" t="s">
        <v>58</v>
      </c>
      <c r="H304" t="s">
        <v>42</v>
      </c>
      <c r="I304" t="s">
        <v>43</v>
      </c>
      <c r="J304" s="1">
        <v>43828</v>
      </c>
      <c r="K304">
        <v>7</v>
      </c>
      <c r="L304">
        <v>14436958</v>
      </c>
      <c r="M304">
        <v>5683674</v>
      </c>
      <c r="N304" t="s">
        <v>34</v>
      </c>
      <c r="O304">
        <v>2.64</v>
      </c>
      <c r="P304">
        <v>35</v>
      </c>
      <c r="Q304">
        <v>4</v>
      </c>
      <c r="R304">
        <v>1</v>
      </c>
      <c r="S304">
        <v>5</v>
      </c>
      <c r="T304" t="s">
        <v>34</v>
      </c>
      <c r="U304" t="s">
        <v>34</v>
      </c>
      <c r="V304" t="s">
        <v>51</v>
      </c>
      <c r="W304" t="s">
        <v>34</v>
      </c>
      <c r="X304" t="s">
        <v>45</v>
      </c>
      <c r="Z304" t="str">
        <f>IF(Table1[[#This Row],[Age]]&lt;30,"20-29",IF(Table1[[#This Row],[Age]]&lt;40,"30-39",IF(Table1[[#This Row],[Age]]&lt;50,"40-49","50+")))</f>
        <v>50+</v>
      </c>
      <c r="AA304" t="str">
        <f>IF(Table1[[#This Row],[Salary]]&lt;20000000,"low",IF(Table1[[#This Row],[Salary]]&lt;40000000,"medium","high"))</f>
        <v>low</v>
      </c>
      <c r="AB304">
        <f>YEAR(Table1[[#This Row],[Hire Date]])</f>
        <v>2019</v>
      </c>
      <c r="AC304" t="str">
        <f>TEXT(Table1[[#This Row],[Hire Date]],"mmmm")</f>
        <v>دسامبر</v>
      </c>
      <c r="AD304" t="str">
        <f>IF(Table1[[#This Row],[Resigned]]="yes","former","active")</f>
        <v>active</v>
      </c>
    </row>
    <row r="305" spans="1:30" x14ac:dyDescent="0.3">
      <c r="A305" t="s">
        <v>675</v>
      </c>
      <c r="B305" t="s">
        <v>676</v>
      </c>
      <c r="C305" t="s">
        <v>27</v>
      </c>
      <c r="D305">
        <v>39</v>
      </c>
      <c r="E305" t="s">
        <v>28</v>
      </c>
      <c r="F305" t="s">
        <v>80</v>
      </c>
      <c r="G305" t="s">
        <v>58</v>
      </c>
      <c r="H305" t="s">
        <v>42</v>
      </c>
      <c r="I305" t="s">
        <v>65</v>
      </c>
      <c r="J305" s="1">
        <v>43586</v>
      </c>
      <c r="K305">
        <v>7</v>
      </c>
      <c r="L305">
        <v>29959232</v>
      </c>
      <c r="M305">
        <v>3460159</v>
      </c>
      <c r="N305" t="s">
        <v>34</v>
      </c>
      <c r="O305">
        <v>3.25</v>
      </c>
      <c r="P305">
        <v>58</v>
      </c>
      <c r="Q305">
        <v>3</v>
      </c>
      <c r="R305">
        <v>2</v>
      </c>
      <c r="S305">
        <v>13</v>
      </c>
      <c r="T305" t="s">
        <v>34</v>
      </c>
      <c r="U305" t="s">
        <v>33</v>
      </c>
      <c r="V305" t="s">
        <v>35</v>
      </c>
      <c r="W305" t="s">
        <v>34</v>
      </c>
      <c r="X305" t="s">
        <v>45</v>
      </c>
      <c r="Y305" t="s">
        <v>162</v>
      </c>
      <c r="Z305" t="str">
        <f>IF(Table1[[#This Row],[Age]]&lt;30,"20-29",IF(Table1[[#This Row],[Age]]&lt;40,"30-39",IF(Table1[[#This Row],[Age]]&lt;50,"40-49","50+")))</f>
        <v>30-39</v>
      </c>
      <c r="AA305" t="str">
        <f>IF(Table1[[#This Row],[Salary]]&lt;20000000,"low",IF(Table1[[#This Row],[Salary]]&lt;40000000,"medium","high"))</f>
        <v>medium</v>
      </c>
      <c r="AB305">
        <f>YEAR(Table1[[#This Row],[Hire Date]])</f>
        <v>2019</v>
      </c>
      <c r="AC305" t="str">
        <f>TEXT(Table1[[#This Row],[Hire Date]],"mmmm")</f>
        <v>مه</v>
      </c>
      <c r="AD305" t="str">
        <f>IF(Table1[[#This Row],[Resigned]]="yes","former","active")</f>
        <v>former</v>
      </c>
    </row>
    <row r="306" spans="1:30" x14ac:dyDescent="0.3">
      <c r="A306" t="s">
        <v>677</v>
      </c>
      <c r="B306" t="s">
        <v>678</v>
      </c>
      <c r="C306" t="s">
        <v>27</v>
      </c>
      <c r="D306">
        <v>39</v>
      </c>
      <c r="E306" t="s">
        <v>110</v>
      </c>
      <c r="F306" t="s">
        <v>120</v>
      </c>
      <c r="G306" t="s">
        <v>49</v>
      </c>
      <c r="H306" t="s">
        <v>31</v>
      </c>
      <c r="I306" t="s">
        <v>43</v>
      </c>
      <c r="J306" s="1">
        <v>45779</v>
      </c>
      <c r="K306">
        <v>1</v>
      </c>
      <c r="L306">
        <v>19204553</v>
      </c>
      <c r="M306">
        <v>7004433</v>
      </c>
      <c r="N306" t="s">
        <v>33</v>
      </c>
      <c r="O306">
        <v>3.04</v>
      </c>
      <c r="P306">
        <v>14</v>
      </c>
      <c r="Q306">
        <v>4</v>
      </c>
      <c r="R306">
        <v>4</v>
      </c>
      <c r="S306">
        <v>11</v>
      </c>
      <c r="T306" t="s">
        <v>34</v>
      </c>
      <c r="U306" t="s">
        <v>34</v>
      </c>
      <c r="V306" t="s">
        <v>44</v>
      </c>
      <c r="W306" t="s">
        <v>34</v>
      </c>
      <c r="X306" t="s">
        <v>52</v>
      </c>
      <c r="Z306" t="str">
        <f>IF(Table1[[#This Row],[Age]]&lt;30,"20-29",IF(Table1[[#This Row],[Age]]&lt;40,"30-39",IF(Table1[[#This Row],[Age]]&lt;50,"40-49","50+")))</f>
        <v>30-39</v>
      </c>
      <c r="AA306" t="str">
        <f>IF(Table1[[#This Row],[Salary]]&lt;20000000,"low",IF(Table1[[#This Row],[Salary]]&lt;40000000,"medium","high"))</f>
        <v>low</v>
      </c>
      <c r="AB306">
        <f>YEAR(Table1[[#This Row],[Hire Date]])</f>
        <v>2025</v>
      </c>
      <c r="AC306" t="str">
        <f>TEXT(Table1[[#This Row],[Hire Date]],"mmmm")</f>
        <v>مه</v>
      </c>
      <c r="AD306" t="str">
        <f>IF(Table1[[#This Row],[Resigned]]="yes","former","active")</f>
        <v>active</v>
      </c>
    </row>
    <row r="307" spans="1:30" x14ac:dyDescent="0.3">
      <c r="A307" t="s">
        <v>679</v>
      </c>
      <c r="B307" t="s">
        <v>680</v>
      </c>
      <c r="C307" t="s">
        <v>27</v>
      </c>
      <c r="D307">
        <v>37</v>
      </c>
      <c r="E307" t="s">
        <v>56</v>
      </c>
      <c r="F307" t="s">
        <v>84</v>
      </c>
      <c r="G307" t="s">
        <v>58</v>
      </c>
      <c r="H307" t="s">
        <v>42</v>
      </c>
      <c r="I307" t="s">
        <v>81</v>
      </c>
      <c r="J307" s="1">
        <v>44627</v>
      </c>
      <c r="K307">
        <v>4</v>
      </c>
      <c r="L307">
        <v>46335380</v>
      </c>
      <c r="M307">
        <v>6224579</v>
      </c>
      <c r="N307" t="s">
        <v>33</v>
      </c>
      <c r="O307">
        <v>3.38</v>
      </c>
      <c r="P307">
        <v>69</v>
      </c>
      <c r="Q307">
        <v>5</v>
      </c>
      <c r="R307">
        <v>1</v>
      </c>
      <c r="S307">
        <v>2</v>
      </c>
      <c r="T307" t="s">
        <v>34</v>
      </c>
      <c r="U307" t="s">
        <v>34</v>
      </c>
      <c r="V307" t="s">
        <v>35</v>
      </c>
      <c r="W307" t="s">
        <v>33</v>
      </c>
      <c r="X307" t="s">
        <v>52</v>
      </c>
      <c r="Z307" t="str">
        <f>IF(Table1[[#This Row],[Age]]&lt;30,"20-29",IF(Table1[[#This Row],[Age]]&lt;40,"30-39",IF(Table1[[#This Row],[Age]]&lt;50,"40-49","50+")))</f>
        <v>30-39</v>
      </c>
      <c r="AA307" t="str">
        <f>IF(Table1[[#This Row],[Salary]]&lt;20000000,"low",IF(Table1[[#This Row],[Salary]]&lt;40000000,"medium","high"))</f>
        <v>high</v>
      </c>
      <c r="AB307">
        <f>YEAR(Table1[[#This Row],[Hire Date]])</f>
        <v>2022</v>
      </c>
      <c r="AC307" t="str">
        <f>TEXT(Table1[[#This Row],[Hire Date]],"mmmm")</f>
        <v>مارس</v>
      </c>
      <c r="AD307" t="str">
        <f>IF(Table1[[#This Row],[Resigned]]="yes","former","active")</f>
        <v>active</v>
      </c>
    </row>
    <row r="308" spans="1:30" x14ac:dyDescent="0.3">
      <c r="A308" t="s">
        <v>681</v>
      </c>
      <c r="B308" t="s">
        <v>682</v>
      </c>
      <c r="C308" t="s">
        <v>27</v>
      </c>
      <c r="D308">
        <v>51</v>
      </c>
      <c r="E308" t="s">
        <v>73</v>
      </c>
      <c r="F308" t="s">
        <v>127</v>
      </c>
      <c r="G308" t="s">
        <v>30</v>
      </c>
      <c r="H308" t="s">
        <v>42</v>
      </c>
      <c r="I308" t="s">
        <v>65</v>
      </c>
      <c r="J308" s="1">
        <v>42489</v>
      </c>
      <c r="K308">
        <v>10</v>
      </c>
      <c r="L308">
        <v>18208049</v>
      </c>
      <c r="M308">
        <v>2861230</v>
      </c>
      <c r="N308" t="s">
        <v>33</v>
      </c>
      <c r="O308">
        <v>3.9</v>
      </c>
      <c r="P308">
        <v>41</v>
      </c>
      <c r="Q308">
        <v>5</v>
      </c>
      <c r="R308">
        <v>2</v>
      </c>
      <c r="S308">
        <v>11</v>
      </c>
      <c r="T308" t="s">
        <v>34</v>
      </c>
      <c r="U308" t="s">
        <v>33</v>
      </c>
      <c r="V308" t="s">
        <v>70</v>
      </c>
      <c r="W308" t="s">
        <v>33</v>
      </c>
      <c r="X308" t="s">
        <v>52</v>
      </c>
      <c r="Y308" t="s">
        <v>162</v>
      </c>
      <c r="Z308" t="str">
        <f>IF(Table1[[#This Row],[Age]]&lt;30,"20-29",IF(Table1[[#This Row],[Age]]&lt;40,"30-39",IF(Table1[[#This Row],[Age]]&lt;50,"40-49","50+")))</f>
        <v>50+</v>
      </c>
      <c r="AA308" t="str">
        <f>IF(Table1[[#This Row],[Salary]]&lt;20000000,"low",IF(Table1[[#This Row],[Salary]]&lt;40000000,"medium","high"))</f>
        <v>low</v>
      </c>
      <c r="AB308">
        <f>YEAR(Table1[[#This Row],[Hire Date]])</f>
        <v>2016</v>
      </c>
      <c r="AC308" t="str">
        <f>TEXT(Table1[[#This Row],[Hire Date]],"mmmm")</f>
        <v>آوريل</v>
      </c>
      <c r="AD308" t="str">
        <f>IF(Table1[[#This Row],[Resigned]]="yes","former","active")</f>
        <v>former</v>
      </c>
    </row>
    <row r="309" spans="1:30" x14ac:dyDescent="0.3">
      <c r="A309" t="s">
        <v>683</v>
      </c>
      <c r="B309" t="s">
        <v>684</v>
      </c>
      <c r="C309" t="s">
        <v>39</v>
      </c>
      <c r="D309">
        <v>24</v>
      </c>
      <c r="E309" t="s">
        <v>110</v>
      </c>
      <c r="F309" t="s">
        <v>120</v>
      </c>
      <c r="G309" t="s">
        <v>49</v>
      </c>
      <c r="H309" t="s">
        <v>42</v>
      </c>
      <c r="I309" t="s">
        <v>43</v>
      </c>
      <c r="J309" s="1">
        <v>43159</v>
      </c>
      <c r="K309">
        <v>8</v>
      </c>
      <c r="L309">
        <v>49173670</v>
      </c>
      <c r="M309">
        <v>5435851</v>
      </c>
      <c r="N309" t="s">
        <v>34</v>
      </c>
      <c r="O309">
        <v>3.56</v>
      </c>
      <c r="P309">
        <v>58</v>
      </c>
      <c r="Q309">
        <v>3</v>
      </c>
      <c r="R309">
        <v>2</v>
      </c>
      <c r="S309">
        <v>3</v>
      </c>
      <c r="T309" t="s">
        <v>33</v>
      </c>
      <c r="U309" t="s">
        <v>34</v>
      </c>
      <c r="V309" t="s">
        <v>51</v>
      </c>
      <c r="W309" t="s">
        <v>33</v>
      </c>
      <c r="X309" t="s">
        <v>52</v>
      </c>
      <c r="Z309" t="str">
        <f>IF(Table1[[#This Row],[Age]]&lt;30,"20-29",IF(Table1[[#This Row],[Age]]&lt;40,"30-39",IF(Table1[[#This Row],[Age]]&lt;50,"40-49","50+")))</f>
        <v>20-29</v>
      </c>
      <c r="AA309" t="str">
        <f>IF(Table1[[#This Row],[Salary]]&lt;20000000,"low",IF(Table1[[#This Row],[Salary]]&lt;40000000,"medium","high"))</f>
        <v>high</v>
      </c>
      <c r="AB309">
        <f>YEAR(Table1[[#This Row],[Hire Date]])</f>
        <v>2018</v>
      </c>
      <c r="AC309" t="str">
        <f>TEXT(Table1[[#This Row],[Hire Date]],"mmmm")</f>
        <v>فوريه</v>
      </c>
      <c r="AD309" t="str">
        <f>IF(Table1[[#This Row],[Resigned]]="yes","former","active")</f>
        <v>active</v>
      </c>
    </row>
    <row r="310" spans="1:30" x14ac:dyDescent="0.3">
      <c r="A310" t="s">
        <v>685</v>
      </c>
      <c r="B310" t="s">
        <v>686</v>
      </c>
      <c r="C310" t="s">
        <v>39</v>
      </c>
      <c r="D310">
        <v>27</v>
      </c>
      <c r="E310" t="s">
        <v>110</v>
      </c>
      <c r="F310" t="s">
        <v>111</v>
      </c>
      <c r="G310" t="s">
        <v>49</v>
      </c>
      <c r="H310" t="s">
        <v>31</v>
      </c>
      <c r="I310" t="s">
        <v>50</v>
      </c>
      <c r="J310" s="1">
        <v>42765</v>
      </c>
      <c r="K310">
        <v>9</v>
      </c>
      <c r="L310">
        <v>16384201</v>
      </c>
      <c r="M310">
        <v>3162035</v>
      </c>
      <c r="N310" t="s">
        <v>34</v>
      </c>
      <c r="O310">
        <v>3.29</v>
      </c>
      <c r="P310">
        <v>48</v>
      </c>
      <c r="Q310">
        <v>4</v>
      </c>
      <c r="R310">
        <v>3</v>
      </c>
      <c r="S310">
        <v>15</v>
      </c>
      <c r="T310" t="s">
        <v>33</v>
      </c>
      <c r="U310" t="s">
        <v>34</v>
      </c>
      <c r="V310" t="s">
        <v>59</v>
      </c>
      <c r="W310" t="s">
        <v>34</v>
      </c>
      <c r="X310" t="s">
        <v>52</v>
      </c>
      <c r="Z310" t="str">
        <f>IF(Table1[[#This Row],[Age]]&lt;30,"20-29",IF(Table1[[#This Row],[Age]]&lt;40,"30-39",IF(Table1[[#This Row],[Age]]&lt;50,"40-49","50+")))</f>
        <v>20-29</v>
      </c>
      <c r="AA310" t="str">
        <f>IF(Table1[[#This Row],[Salary]]&lt;20000000,"low",IF(Table1[[#This Row],[Salary]]&lt;40000000,"medium","high"))</f>
        <v>low</v>
      </c>
      <c r="AB310">
        <f>YEAR(Table1[[#This Row],[Hire Date]])</f>
        <v>2017</v>
      </c>
      <c r="AC310" t="str">
        <f>TEXT(Table1[[#This Row],[Hire Date]],"mmmm")</f>
        <v>ژانويه</v>
      </c>
      <c r="AD310" t="str">
        <f>IF(Table1[[#This Row],[Resigned]]="yes","former","active")</f>
        <v>active</v>
      </c>
    </row>
    <row r="311" spans="1:30" x14ac:dyDescent="0.3">
      <c r="A311" t="s">
        <v>687</v>
      </c>
      <c r="B311" t="s">
        <v>688</v>
      </c>
      <c r="C311" t="s">
        <v>39</v>
      </c>
      <c r="D311">
        <v>51</v>
      </c>
      <c r="E311" t="s">
        <v>73</v>
      </c>
      <c r="F311" t="s">
        <v>74</v>
      </c>
      <c r="G311" t="s">
        <v>58</v>
      </c>
      <c r="H311" t="s">
        <v>42</v>
      </c>
      <c r="I311" t="s">
        <v>50</v>
      </c>
      <c r="J311" s="1">
        <v>45833</v>
      </c>
      <c r="K311">
        <v>1</v>
      </c>
      <c r="L311">
        <v>39378160</v>
      </c>
      <c r="M311">
        <v>990883</v>
      </c>
      <c r="N311" t="s">
        <v>34</v>
      </c>
      <c r="O311">
        <v>4.29</v>
      </c>
      <c r="P311">
        <v>12</v>
      </c>
      <c r="Q311">
        <v>4</v>
      </c>
      <c r="R311">
        <v>4</v>
      </c>
      <c r="S311">
        <v>8</v>
      </c>
      <c r="T311" t="s">
        <v>33</v>
      </c>
      <c r="U311" t="s">
        <v>34</v>
      </c>
      <c r="V311" t="s">
        <v>44</v>
      </c>
      <c r="W311" t="s">
        <v>33</v>
      </c>
      <c r="X311" t="s">
        <v>45</v>
      </c>
      <c r="Z311" t="str">
        <f>IF(Table1[[#This Row],[Age]]&lt;30,"20-29",IF(Table1[[#This Row],[Age]]&lt;40,"30-39",IF(Table1[[#This Row],[Age]]&lt;50,"40-49","50+")))</f>
        <v>50+</v>
      </c>
      <c r="AA311" t="str">
        <f>IF(Table1[[#This Row],[Salary]]&lt;20000000,"low",IF(Table1[[#This Row],[Salary]]&lt;40000000,"medium","high"))</f>
        <v>medium</v>
      </c>
      <c r="AB311">
        <f>YEAR(Table1[[#This Row],[Hire Date]])</f>
        <v>2025</v>
      </c>
      <c r="AC311" t="str">
        <f>TEXT(Table1[[#This Row],[Hire Date]],"mmmm")</f>
        <v>ژوئن</v>
      </c>
      <c r="AD311" t="str">
        <f>IF(Table1[[#This Row],[Resigned]]="yes","former","active")</f>
        <v>active</v>
      </c>
    </row>
    <row r="312" spans="1:30" x14ac:dyDescent="0.3">
      <c r="A312" t="s">
        <v>689</v>
      </c>
      <c r="B312" t="s">
        <v>690</v>
      </c>
      <c r="C312" t="s">
        <v>27</v>
      </c>
      <c r="D312">
        <v>39</v>
      </c>
      <c r="E312" t="s">
        <v>40</v>
      </c>
      <c r="F312" t="s">
        <v>41</v>
      </c>
      <c r="G312" t="s">
        <v>30</v>
      </c>
      <c r="H312" t="s">
        <v>42</v>
      </c>
      <c r="I312" t="s">
        <v>81</v>
      </c>
      <c r="J312" s="1">
        <v>44025</v>
      </c>
      <c r="K312">
        <v>6</v>
      </c>
      <c r="L312">
        <v>31027346</v>
      </c>
      <c r="M312">
        <v>4888564</v>
      </c>
      <c r="N312" t="s">
        <v>33</v>
      </c>
      <c r="O312">
        <v>3.96</v>
      </c>
      <c r="P312">
        <v>9</v>
      </c>
      <c r="Q312">
        <v>5</v>
      </c>
      <c r="R312">
        <v>4</v>
      </c>
      <c r="S312">
        <v>2</v>
      </c>
      <c r="T312" t="s">
        <v>33</v>
      </c>
      <c r="U312" t="s">
        <v>34</v>
      </c>
      <c r="V312" t="s">
        <v>59</v>
      </c>
      <c r="W312" t="s">
        <v>34</v>
      </c>
      <c r="X312" t="s">
        <v>52</v>
      </c>
      <c r="Z312" t="str">
        <f>IF(Table1[[#This Row],[Age]]&lt;30,"20-29",IF(Table1[[#This Row],[Age]]&lt;40,"30-39",IF(Table1[[#This Row],[Age]]&lt;50,"40-49","50+")))</f>
        <v>30-39</v>
      </c>
      <c r="AA312" t="str">
        <f>IF(Table1[[#This Row],[Salary]]&lt;20000000,"low",IF(Table1[[#This Row],[Salary]]&lt;40000000,"medium","high"))</f>
        <v>medium</v>
      </c>
      <c r="AB312">
        <f>YEAR(Table1[[#This Row],[Hire Date]])</f>
        <v>2020</v>
      </c>
      <c r="AC312" t="str">
        <f>TEXT(Table1[[#This Row],[Hire Date]],"mmmm")</f>
        <v>ژوئيه</v>
      </c>
      <c r="AD312" t="str">
        <f>IF(Table1[[#This Row],[Resigned]]="yes","former","active")</f>
        <v>active</v>
      </c>
    </row>
    <row r="313" spans="1:30" x14ac:dyDescent="0.3">
      <c r="A313" t="s">
        <v>691</v>
      </c>
      <c r="B313" t="s">
        <v>692</v>
      </c>
      <c r="C313" t="s">
        <v>27</v>
      </c>
      <c r="D313">
        <v>48</v>
      </c>
      <c r="E313" t="s">
        <v>56</v>
      </c>
      <c r="F313" t="s">
        <v>57</v>
      </c>
      <c r="G313" t="s">
        <v>49</v>
      </c>
      <c r="H313" t="s">
        <v>31</v>
      </c>
      <c r="I313" t="s">
        <v>65</v>
      </c>
      <c r="J313" s="1">
        <v>43937</v>
      </c>
      <c r="K313">
        <v>6</v>
      </c>
      <c r="L313">
        <v>53511861</v>
      </c>
      <c r="M313">
        <v>4716053</v>
      </c>
      <c r="N313" t="s">
        <v>33</v>
      </c>
      <c r="O313">
        <v>3.04</v>
      </c>
      <c r="P313">
        <v>10</v>
      </c>
      <c r="Q313">
        <v>1</v>
      </c>
      <c r="R313">
        <v>4</v>
      </c>
      <c r="S313">
        <v>9</v>
      </c>
      <c r="T313" t="s">
        <v>33</v>
      </c>
      <c r="U313" t="s">
        <v>34</v>
      </c>
      <c r="V313" t="s">
        <v>51</v>
      </c>
      <c r="W313" t="s">
        <v>34</v>
      </c>
      <c r="X313" t="s">
        <v>36</v>
      </c>
      <c r="Z313" t="str">
        <f>IF(Table1[[#This Row],[Age]]&lt;30,"20-29",IF(Table1[[#This Row],[Age]]&lt;40,"30-39",IF(Table1[[#This Row],[Age]]&lt;50,"40-49","50+")))</f>
        <v>40-49</v>
      </c>
      <c r="AA313" t="str">
        <f>IF(Table1[[#This Row],[Salary]]&lt;20000000,"low",IF(Table1[[#This Row],[Salary]]&lt;40000000,"medium","high"))</f>
        <v>high</v>
      </c>
      <c r="AB313">
        <f>YEAR(Table1[[#This Row],[Hire Date]])</f>
        <v>2020</v>
      </c>
      <c r="AC313" t="str">
        <f>TEXT(Table1[[#This Row],[Hire Date]],"mmmm")</f>
        <v>آوريل</v>
      </c>
      <c r="AD313" t="str">
        <f>IF(Table1[[#This Row],[Resigned]]="yes","former","active")</f>
        <v>active</v>
      </c>
    </row>
    <row r="314" spans="1:30" x14ac:dyDescent="0.3">
      <c r="A314" t="s">
        <v>693</v>
      </c>
      <c r="B314" t="s">
        <v>694</v>
      </c>
      <c r="C314" t="s">
        <v>39</v>
      </c>
      <c r="D314">
        <v>27</v>
      </c>
      <c r="E314" t="s">
        <v>63</v>
      </c>
      <c r="F314" t="s">
        <v>64</v>
      </c>
      <c r="G314" t="s">
        <v>58</v>
      </c>
      <c r="H314" t="s">
        <v>42</v>
      </c>
      <c r="I314" t="s">
        <v>81</v>
      </c>
      <c r="J314" s="1">
        <v>44947</v>
      </c>
      <c r="K314">
        <v>3</v>
      </c>
      <c r="L314">
        <v>13971509</v>
      </c>
      <c r="M314">
        <v>4757911</v>
      </c>
      <c r="N314" t="s">
        <v>33</v>
      </c>
      <c r="O314">
        <v>2.77</v>
      </c>
      <c r="P314">
        <v>59</v>
      </c>
      <c r="Q314">
        <v>3</v>
      </c>
      <c r="R314">
        <v>1</v>
      </c>
      <c r="S314">
        <v>0</v>
      </c>
      <c r="T314" t="s">
        <v>34</v>
      </c>
      <c r="U314" t="s">
        <v>33</v>
      </c>
      <c r="V314" t="s">
        <v>51</v>
      </c>
      <c r="W314" t="s">
        <v>34</v>
      </c>
      <c r="X314" t="s">
        <v>52</v>
      </c>
      <c r="Y314" t="s">
        <v>162</v>
      </c>
      <c r="Z314" t="str">
        <f>IF(Table1[[#This Row],[Age]]&lt;30,"20-29",IF(Table1[[#This Row],[Age]]&lt;40,"30-39",IF(Table1[[#This Row],[Age]]&lt;50,"40-49","50+")))</f>
        <v>20-29</v>
      </c>
      <c r="AA314" t="str">
        <f>IF(Table1[[#This Row],[Salary]]&lt;20000000,"low",IF(Table1[[#This Row],[Salary]]&lt;40000000,"medium","high"))</f>
        <v>low</v>
      </c>
      <c r="AB314">
        <f>YEAR(Table1[[#This Row],[Hire Date]])</f>
        <v>2023</v>
      </c>
      <c r="AC314" t="str">
        <f>TEXT(Table1[[#This Row],[Hire Date]],"mmmm")</f>
        <v>ژانويه</v>
      </c>
      <c r="AD314" t="str">
        <f>IF(Table1[[#This Row],[Resigned]]="yes","former","active")</f>
        <v>former</v>
      </c>
    </row>
    <row r="315" spans="1:30" x14ac:dyDescent="0.3">
      <c r="A315" t="s">
        <v>695</v>
      </c>
      <c r="B315" t="s">
        <v>696</v>
      </c>
      <c r="C315" t="s">
        <v>27</v>
      </c>
      <c r="D315">
        <v>25</v>
      </c>
      <c r="E315" t="s">
        <v>28</v>
      </c>
      <c r="F315" t="s">
        <v>29</v>
      </c>
      <c r="G315" t="s">
        <v>58</v>
      </c>
      <c r="H315" t="s">
        <v>42</v>
      </c>
      <c r="I315" t="s">
        <v>50</v>
      </c>
      <c r="J315" s="1">
        <v>45081</v>
      </c>
      <c r="K315">
        <v>3</v>
      </c>
      <c r="L315">
        <v>59376380</v>
      </c>
      <c r="M315">
        <v>6781538</v>
      </c>
      <c r="N315" t="s">
        <v>34</v>
      </c>
      <c r="O315">
        <v>3.05</v>
      </c>
      <c r="P315">
        <v>77</v>
      </c>
      <c r="Q315">
        <v>5</v>
      </c>
      <c r="R315">
        <v>1</v>
      </c>
      <c r="S315">
        <v>19</v>
      </c>
      <c r="T315" t="s">
        <v>34</v>
      </c>
      <c r="U315" t="s">
        <v>34</v>
      </c>
      <c r="V315" t="s">
        <v>59</v>
      </c>
      <c r="W315" t="s">
        <v>34</v>
      </c>
      <c r="X315" t="s">
        <v>36</v>
      </c>
      <c r="Z315" t="str">
        <f>IF(Table1[[#This Row],[Age]]&lt;30,"20-29",IF(Table1[[#This Row],[Age]]&lt;40,"30-39",IF(Table1[[#This Row],[Age]]&lt;50,"40-49","50+")))</f>
        <v>20-29</v>
      </c>
      <c r="AA315" t="str">
        <f>IF(Table1[[#This Row],[Salary]]&lt;20000000,"low",IF(Table1[[#This Row],[Salary]]&lt;40000000,"medium","high"))</f>
        <v>high</v>
      </c>
      <c r="AB315">
        <f>YEAR(Table1[[#This Row],[Hire Date]])</f>
        <v>2023</v>
      </c>
      <c r="AC315" t="str">
        <f>TEXT(Table1[[#This Row],[Hire Date]],"mmmm")</f>
        <v>ژوئن</v>
      </c>
      <c r="AD315" t="str">
        <f>IF(Table1[[#This Row],[Resigned]]="yes","former","active")</f>
        <v>active</v>
      </c>
    </row>
    <row r="316" spans="1:30" x14ac:dyDescent="0.3">
      <c r="A316" t="s">
        <v>697</v>
      </c>
      <c r="B316" t="s">
        <v>698</v>
      </c>
      <c r="C316" t="s">
        <v>39</v>
      </c>
      <c r="D316">
        <v>28</v>
      </c>
      <c r="E316" t="s">
        <v>110</v>
      </c>
      <c r="F316" t="s">
        <v>120</v>
      </c>
      <c r="G316" t="s">
        <v>49</v>
      </c>
      <c r="H316" t="s">
        <v>31</v>
      </c>
      <c r="I316" t="s">
        <v>50</v>
      </c>
      <c r="J316" s="1">
        <v>43541</v>
      </c>
      <c r="K316">
        <v>7</v>
      </c>
      <c r="L316">
        <v>51713680</v>
      </c>
      <c r="M316">
        <v>5601195</v>
      </c>
      <c r="N316" t="s">
        <v>34</v>
      </c>
      <c r="O316">
        <v>3.56</v>
      </c>
      <c r="P316">
        <v>35</v>
      </c>
      <c r="Q316">
        <v>5</v>
      </c>
      <c r="R316">
        <v>3</v>
      </c>
      <c r="S316">
        <v>13</v>
      </c>
      <c r="T316" t="s">
        <v>34</v>
      </c>
      <c r="U316" t="s">
        <v>33</v>
      </c>
      <c r="V316" t="s">
        <v>35</v>
      </c>
      <c r="W316" t="s">
        <v>34</v>
      </c>
      <c r="X316" t="s">
        <v>45</v>
      </c>
      <c r="Y316" t="s">
        <v>53</v>
      </c>
      <c r="Z316" t="str">
        <f>IF(Table1[[#This Row],[Age]]&lt;30,"20-29",IF(Table1[[#This Row],[Age]]&lt;40,"30-39",IF(Table1[[#This Row],[Age]]&lt;50,"40-49","50+")))</f>
        <v>20-29</v>
      </c>
      <c r="AA316" t="str">
        <f>IF(Table1[[#This Row],[Salary]]&lt;20000000,"low",IF(Table1[[#This Row],[Salary]]&lt;40000000,"medium","high"))</f>
        <v>high</v>
      </c>
      <c r="AB316">
        <f>YEAR(Table1[[#This Row],[Hire Date]])</f>
        <v>2019</v>
      </c>
      <c r="AC316" t="str">
        <f>TEXT(Table1[[#This Row],[Hire Date]],"mmmm")</f>
        <v>مارس</v>
      </c>
      <c r="AD316" t="str">
        <f>IF(Table1[[#This Row],[Resigned]]="yes","former","active")</f>
        <v>former</v>
      </c>
    </row>
    <row r="317" spans="1:30" x14ac:dyDescent="0.3">
      <c r="A317" t="s">
        <v>699</v>
      </c>
      <c r="B317" t="s">
        <v>700</v>
      </c>
      <c r="C317" t="s">
        <v>27</v>
      </c>
      <c r="D317">
        <v>54</v>
      </c>
      <c r="E317" t="s">
        <v>40</v>
      </c>
      <c r="F317" t="s">
        <v>41</v>
      </c>
      <c r="G317" t="s">
        <v>30</v>
      </c>
      <c r="H317" t="s">
        <v>31</v>
      </c>
      <c r="I317" t="s">
        <v>43</v>
      </c>
      <c r="J317" s="1">
        <v>44219</v>
      </c>
      <c r="K317">
        <v>5</v>
      </c>
      <c r="L317">
        <v>35193183</v>
      </c>
      <c r="M317">
        <v>5326108</v>
      </c>
      <c r="N317" t="s">
        <v>34</v>
      </c>
      <c r="O317">
        <v>4.3099999999999996</v>
      </c>
      <c r="P317">
        <v>16</v>
      </c>
      <c r="Q317">
        <v>2</v>
      </c>
      <c r="R317">
        <v>3</v>
      </c>
      <c r="S317">
        <v>19</v>
      </c>
      <c r="T317" t="s">
        <v>33</v>
      </c>
      <c r="U317" t="s">
        <v>34</v>
      </c>
      <c r="V317" t="s">
        <v>70</v>
      </c>
      <c r="W317" t="s">
        <v>33</v>
      </c>
      <c r="X317" t="s">
        <v>45</v>
      </c>
      <c r="Z317" t="str">
        <f>IF(Table1[[#This Row],[Age]]&lt;30,"20-29",IF(Table1[[#This Row],[Age]]&lt;40,"30-39",IF(Table1[[#This Row],[Age]]&lt;50,"40-49","50+")))</f>
        <v>50+</v>
      </c>
      <c r="AA317" t="str">
        <f>IF(Table1[[#This Row],[Salary]]&lt;20000000,"low",IF(Table1[[#This Row],[Salary]]&lt;40000000,"medium","high"))</f>
        <v>medium</v>
      </c>
      <c r="AB317">
        <f>YEAR(Table1[[#This Row],[Hire Date]])</f>
        <v>2021</v>
      </c>
      <c r="AC317" t="str">
        <f>TEXT(Table1[[#This Row],[Hire Date]],"mmmm")</f>
        <v>ژانويه</v>
      </c>
      <c r="AD317" t="str">
        <f>IF(Table1[[#This Row],[Resigned]]="yes","former","active")</f>
        <v>active</v>
      </c>
    </row>
    <row r="318" spans="1:30" x14ac:dyDescent="0.3">
      <c r="A318" t="s">
        <v>701</v>
      </c>
      <c r="B318" t="s">
        <v>702</v>
      </c>
      <c r="C318" t="s">
        <v>39</v>
      </c>
      <c r="D318">
        <v>26</v>
      </c>
      <c r="E318" t="s">
        <v>40</v>
      </c>
      <c r="F318" t="s">
        <v>41</v>
      </c>
      <c r="G318" t="s">
        <v>58</v>
      </c>
      <c r="H318" t="s">
        <v>31</v>
      </c>
      <c r="I318" t="s">
        <v>32</v>
      </c>
      <c r="J318" s="1">
        <v>45748</v>
      </c>
      <c r="K318">
        <v>1</v>
      </c>
      <c r="L318">
        <v>50312028</v>
      </c>
      <c r="M318">
        <v>8478156</v>
      </c>
      <c r="N318" t="s">
        <v>33</v>
      </c>
      <c r="O318">
        <v>3.31</v>
      </c>
      <c r="P318">
        <v>25</v>
      </c>
      <c r="Q318">
        <v>2</v>
      </c>
      <c r="R318">
        <v>3</v>
      </c>
      <c r="S318">
        <v>17</v>
      </c>
      <c r="T318" t="s">
        <v>33</v>
      </c>
      <c r="U318" t="s">
        <v>34</v>
      </c>
      <c r="V318" t="s">
        <v>51</v>
      </c>
      <c r="W318" t="s">
        <v>34</v>
      </c>
      <c r="X318" t="s">
        <v>36</v>
      </c>
      <c r="Z318" t="str">
        <f>IF(Table1[[#This Row],[Age]]&lt;30,"20-29",IF(Table1[[#This Row],[Age]]&lt;40,"30-39",IF(Table1[[#This Row],[Age]]&lt;50,"40-49","50+")))</f>
        <v>20-29</v>
      </c>
      <c r="AA318" t="str">
        <f>IF(Table1[[#This Row],[Salary]]&lt;20000000,"low",IF(Table1[[#This Row],[Salary]]&lt;40000000,"medium","high"))</f>
        <v>high</v>
      </c>
      <c r="AB318">
        <f>YEAR(Table1[[#This Row],[Hire Date]])</f>
        <v>2025</v>
      </c>
      <c r="AC318" t="str">
        <f>TEXT(Table1[[#This Row],[Hire Date]],"mmmm")</f>
        <v>آوريل</v>
      </c>
      <c r="AD318" t="str">
        <f>IF(Table1[[#This Row],[Resigned]]="yes","former","active")</f>
        <v>active</v>
      </c>
    </row>
    <row r="319" spans="1:30" x14ac:dyDescent="0.3">
      <c r="A319" t="s">
        <v>703</v>
      </c>
      <c r="B319" t="s">
        <v>704</v>
      </c>
      <c r="C319" t="s">
        <v>39</v>
      </c>
      <c r="D319">
        <v>44</v>
      </c>
      <c r="E319" t="s">
        <v>73</v>
      </c>
      <c r="F319" t="s">
        <v>127</v>
      </c>
      <c r="G319" t="s">
        <v>58</v>
      </c>
      <c r="H319" t="s">
        <v>31</v>
      </c>
      <c r="I319" t="s">
        <v>81</v>
      </c>
      <c r="J319" s="1">
        <v>44766</v>
      </c>
      <c r="K319">
        <v>4</v>
      </c>
      <c r="L319">
        <v>15646355</v>
      </c>
      <c r="M319">
        <v>9669770</v>
      </c>
      <c r="N319" t="s">
        <v>34</v>
      </c>
      <c r="O319">
        <v>3.55</v>
      </c>
      <c r="P319">
        <v>0</v>
      </c>
      <c r="Q319">
        <v>5</v>
      </c>
      <c r="R319">
        <v>1</v>
      </c>
      <c r="S319">
        <v>17</v>
      </c>
      <c r="T319" t="s">
        <v>33</v>
      </c>
      <c r="U319" t="s">
        <v>33</v>
      </c>
      <c r="V319" t="s">
        <v>51</v>
      </c>
      <c r="W319" t="s">
        <v>34</v>
      </c>
      <c r="X319" t="s">
        <v>36</v>
      </c>
      <c r="Y319" t="s">
        <v>75</v>
      </c>
      <c r="Z319" t="str">
        <f>IF(Table1[[#This Row],[Age]]&lt;30,"20-29",IF(Table1[[#This Row],[Age]]&lt;40,"30-39",IF(Table1[[#This Row],[Age]]&lt;50,"40-49","50+")))</f>
        <v>40-49</v>
      </c>
      <c r="AA319" t="str">
        <f>IF(Table1[[#This Row],[Salary]]&lt;20000000,"low",IF(Table1[[#This Row],[Salary]]&lt;40000000,"medium","high"))</f>
        <v>low</v>
      </c>
      <c r="AB319">
        <f>YEAR(Table1[[#This Row],[Hire Date]])</f>
        <v>2022</v>
      </c>
      <c r="AC319" t="str">
        <f>TEXT(Table1[[#This Row],[Hire Date]],"mmmm")</f>
        <v>ژوئيه</v>
      </c>
      <c r="AD319" t="str">
        <f>IF(Table1[[#This Row],[Resigned]]="yes","former","active")</f>
        <v>former</v>
      </c>
    </row>
    <row r="320" spans="1:30" x14ac:dyDescent="0.3">
      <c r="A320" t="s">
        <v>705</v>
      </c>
      <c r="B320" t="s">
        <v>706</v>
      </c>
      <c r="C320" t="s">
        <v>27</v>
      </c>
      <c r="D320">
        <v>37</v>
      </c>
      <c r="E320" t="s">
        <v>73</v>
      </c>
      <c r="F320" t="s">
        <v>127</v>
      </c>
      <c r="G320" t="s">
        <v>30</v>
      </c>
      <c r="H320" t="s">
        <v>31</v>
      </c>
      <c r="I320" t="s">
        <v>43</v>
      </c>
      <c r="J320" s="1">
        <v>44908</v>
      </c>
      <c r="K320">
        <v>4</v>
      </c>
      <c r="L320">
        <v>40824227</v>
      </c>
      <c r="M320">
        <v>7616717</v>
      </c>
      <c r="N320" t="s">
        <v>34</v>
      </c>
      <c r="O320">
        <v>2.8</v>
      </c>
      <c r="P320">
        <v>31</v>
      </c>
      <c r="Q320">
        <v>3</v>
      </c>
      <c r="R320">
        <v>4</v>
      </c>
      <c r="S320">
        <v>8</v>
      </c>
      <c r="T320" t="s">
        <v>33</v>
      </c>
      <c r="U320" t="s">
        <v>34</v>
      </c>
      <c r="V320" t="s">
        <v>44</v>
      </c>
      <c r="W320" t="s">
        <v>33</v>
      </c>
      <c r="X320" t="s">
        <v>52</v>
      </c>
      <c r="Z320" t="str">
        <f>IF(Table1[[#This Row],[Age]]&lt;30,"20-29",IF(Table1[[#This Row],[Age]]&lt;40,"30-39",IF(Table1[[#This Row],[Age]]&lt;50,"40-49","50+")))</f>
        <v>30-39</v>
      </c>
      <c r="AA320" t="str">
        <f>IF(Table1[[#This Row],[Salary]]&lt;20000000,"low",IF(Table1[[#This Row],[Salary]]&lt;40000000,"medium","high"))</f>
        <v>high</v>
      </c>
      <c r="AB320">
        <f>YEAR(Table1[[#This Row],[Hire Date]])</f>
        <v>2022</v>
      </c>
      <c r="AC320" t="str">
        <f>TEXT(Table1[[#This Row],[Hire Date]],"mmmm")</f>
        <v>دسامبر</v>
      </c>
      <c r="AD320" t="str">
        <f>IF(Table1[[#This Row],[Resigned]]="yes","former","active")</f>
        <v>active</v>
      </c>
    </row>
    <row r="321" spans="1:30" x14ac:dyDescent="0.3">
      <c r="A321" t="s">
        <v>707</v>
      </c>
      <c r="B321" t="s">
        <v>708</v>
      </c>
      <c r="C321" t="s">
        <v>39</v>
      </c>
      <c r="D321">
        <v>36</v>
      </c>
      <c r="E321" t="s">
        <v>40</v>
      </c>
      <c r="F321" t="s">
        <v>41</v>
      </c>
      <c r="G321" t="s">
        <v>49</v>
      </c>
      <c r="H321" t="s">
        <v>31</v>
      </c>
      <c r="I321" t="s">
        <v>65</v>
      </c>
      <c r="J321" s="1">
        <v>44717</v>
      </c>
      <c r="K321">
        <v>4</v>
      </c>
      <c r="L321">
        <v>53997479</v>
      </c>
      <c r="M321">
        <v>9308938</v>
      </c>
      <c r="N321" t="s">
        <v>34</v>
      </c>
      <c r="O321">
        <v>3.67</v>
      </c>
      <c r="P321">
        <v>39</v>
      </c>
      <c r="Q321">
        <v>2</v>
      </c>
      <c r="R321">
        <v>4</v>
      </c>
      <c r="S321">
        <v>6</v>
      </c>
      <c r="T321" t="s">
        <v>33</v>
      </c>
      <c r="U321" t="s">
        <v>33</v>
      </c>
      <c r="V321" t="s">
        <v>51</v>
      </c>
      <c r="W321" t="s">
        <v>33</v>
      </c>
      <c r="X321" t="s">
        <v>52</v>
      </c>
      <c r="Y321" t="s">
        <v>75</v>
      </c>
      <c r="Z321" t="str">
        <f>IF(Table1[[#This Row],[Age]]&lt;30,"20-29",IF(Table1[[#This Row],[Age]]&lt;40,"30-39",IF(Table1[[#This Row],[Age]]&lt;50,"40-49","50+")))</f>
        <v>30-39</v>
      </c>
      <c r="AA321" t="str">
        <f>IF(Table1[[#This Row],[Salary]]&lt;20000000,"low",IF(Table1[[#This Row],[Salary]]&lt;40000000,"medium","high"))</f>
        <v>high</v>
      </c>
      <c r="AB321">
        <f>YEAR(Table1[[#This Row],[Hire Date]])</f>
        <v>2022</v>
      </c>
      <c r="AC321" t="str">
        <f>TEXT(Table1[[#This Row],[Hire Date]],"mmmm")</f>
        <v>ژوئن</v>
      </c>
      <c r="AD321" t="str">
        <f>IF(Table1[[#This Row],[Resigned]]="yes","former","active")</f>
        <v>former</v>
      </c>
    </row>
    <row r="322" spans="1:30" x14ac:dyDescent="0.3">
      <c r="A322" t="s">
        <v>709</v>
      </c>
      <c r="B322" t="s">
        <v>710</v>
      </c>
      <c r="C322" t="s">
        <v>39</v>
      </c>
      <c r="D322">
        <v>46</v>
      </c>
      <c r="E322" t="s">
        <v>73</v>
      </c>
      <c r="F322" t="s">
        <v>74</v>
      </c>
      <c r="G322" t="s">
        <v>58</v>
      </c>
      <c r="H322" t="s">
        <v>31</v>
      </c>
      <c r="I322" t="s">
        <v>32</v>
      </c>
      <c r="J322" s="1">
        <v>45770</v>
      </c>
      <c r="K322">
        <v>1</v>
      </c>
      <c r="L322">
        <v>43999852</v>
      </c>
      <c r="M322">
        <v>7513534</v>
      </c>
      <c r="N322" t="s">
        <v>34</v>
      </c>
      <c r="O322">
        <v>3.67</v>
      </c>
      <c r="P322">
        <v>0</v>
      </c>
      <c r="Q322">
        <v>3</v>
      </c>
      <c r="R322">
        <v>2</v>
      </c>
      <c r="S322">
        <v>6</v>
      </c>
      <c r="T322" t="s">
        <v>33</v>
      </c>
      <c r="U322" t="s">
        <v>34</v>
      </c>
      <c r="V322" t="s">
        <v>44</v>
      </c>
      <c r="W322" t="s">
        <v>33</v>
      </c>
      <c r="X322" t="s">
        <v>36</v>
      </c>
      <c r="Z322" t="str">
        <f>IF(Table1[[#This Row],[Age]]&lt;30,"20-29",IF(Table1[[#This Row],[Age]]&lt;40,"30-39",IF(Table1[[#This Row],[Age]]&lt;50,"40-49","50+")))</f>
        <v>40-49</v>
      </c>
      <c r="AA322" t="str">
        <f>IF(Table1[[#This Row],[Salary]]&lt;20000000,"low",IF(Table1[[#This Row],[Salary]]&lt;40000000,"medium","high"))</f>
        <v>high</v>
      </c>
      <c r="AB322">
        <f>YEAR(Table1[[#This Row],[Hire Date]])</f>
        <v>2025</v>
      </c>
      <c r="AC322" t="str">
        <f>TEXT(Table1[[#This Row],[Hire Date]],"mmmm")</f>
        <v>آوريل</v>
      </c>
      <c r="AD322" t="str">
        <f>IF(Table1[[#This Row],[Resigned]]="yes","former","active")</f>
        <v>active</v>
      </c>
    </row>
    <row r="323" spans="1:30" x14ac:dyDescent="0.3">
      <c r="A323" t="s">
        <v>711</v>
      </c>
      <c r="B323" t="s">
        <v>712</v>
      </c>
      <c r="C323" t="s">
        <v>39</v>
      </c>
      <c r="D323">
        <v>45</v>
      </c>
      <c r="E323" t="s">
        <v>63</v>
      </c>
      <c r="F323" t="s">
        <v>93</v>
      </c>
      <c r="G323" t="s">
        <v>58</v>
      </c>
      <c r="H323" t="s">
        <v>31</v>
      </c>
      <c r="I323" t="s">
        <v>81</v>
      </c>
      <c r="J323" s="1">
        <v>43443</v>
      </c>
      <c r="K323">
        <v>8</v>
      </c>
      <c r="L323">
        <v>43689366</v>
      </c>
      <c r="M323">
        <v>4903928</v>
      </c>
      <c r="N323" t="s">
        <v>34</v>
      </c>
      <c r="O323">
        <v>4.79</v>
      </c>
      <c r="P323">
        <v>9</v>
      </c>
      <c r="Q323">
        <v>5</v>
      </c>
      <c r="R323">
        <v>1</v>
      </c>
      <c r="S323">
        <v>7</v>
      </c>
      <c r="T323" t="s">
        <v>34</v>
      </c>
      <c r="U323" t="s">
        <v>34</v>
      </c>
      <c r="V323" t="s">
        <v>70</v>
      </c>
      <c r="W323" t="s">
        <v>33</v>
      </c>
      <c r="X323" t="s">
        <v>36</v>
      </c>
      <c r="Z323" t="str">
        <f>IF(Table1[[#This Row],[Age]]&lt;30,"20-29",IF(Table1[[#This Row],[Age]]&lt;40,"30-39",IF(Table1[[#This Row],[Age]]&lt;50,"40-49","50+")))</f>
        <v>40-49</v>
      </c>
      <c r="AA323" t="str">
        <f>IF(Table1[[#This Row],[Salary]]&lt;20000000,"low",IF(Table1[[#This Row],[Salary]]&lt;40000000,"medium","high"))</f>
        <v>high</v>
      </c>
      <c r="AB323">
        <f>YEAR(Table1[[#This Row],[Hire Date]])</f>
        <v>2018</v>
      </c>
      <c r="AC323" t="str">
        <f>TEXT(Table1[[#This Row],[Hire Date]],"mmmm")</f>
        <v>دسامبر</v>
      </c>
      <c r="AD323" t="str">
        <f>IF(Table1[[#This Row],[Resigned]]="yes","former","active")</f>
        <v>active</v>
      </c>
    </row>
    <row r="324" spans="1:30" x14ac:dyDescent="0.3">
      <c r="A324" t="s">
        <v>713</v>
      </c>
      <c r="B324" t="s">
        <v>714</v>
      </c>
      <c r="C324" t="s">
        <v>27</v>
      </c>
      <c r="D324">
        <v>26</v>
      </c>
      <c r="E324" t="s">
        <v>28</v>
      </c>
      <c r="F324" t="s">
        <v>29</v>
      </c>
      <c r="G324" t="s">
        <v>49</v>
      </c>
      <c r="H324" t="s">
        <v>31</v>
      </c>
      <c r="I324" t="s">
        <v>81</v>
      </c>
      <c r="J324" s="1">
        <v>43731</v>
      </c>
      <c r="K324">
        <v>7</v>
      </c>
      <c r="L324">
        <v>18251307</v>
      </c>
      <c r="M324">
        <v>3218168</v>
      </c>
      <c r="N324" t="s">
        <v>33</v>
      </c>
      <c r="O324">
        <v>2.96</v>
      </c>
      <c r="P324">
        <v>9</v>
      </c>
      <c r="Q324">
        <v>4</v>
      </c>
      <c r="R324">
        <v>4</v>
      </c>
      <c r="S324">
        <v>11</v>
      </c>
      <c r="T324" t="s">
        <v>34</v>
      </c>
      <c r="U324" t="s">
        <v>34</v>
      </c>
      <c r="V324" t="s">
        <v>59</v>
      </c>
      <c r="W324" t="s">
        <v>33</v>
      </c>
      <c r="X324" t="s">
        <v>45</v>
      </c>
      <c r="Z324" t="str">
        <f>IF(Table1[[#This Row],[Age]]&lt;30,"20-29",IF(Table1[[#This Row],[Age]]&lt;40,"30-39",IF(Table1[[#This Row],[Age]]&lt;50,"40-49","50+")))</f>
        <v>20-29</v>
      </c>
      <c r="AA324" t="str">
        <f>IF(Table1[[#This Row],[Salary]]&lt;20000000,"low",IF(Table1[[#This Row],[Salary]]&lt;40000000,"medium","high"))</f>
        <v>low</v>
      </c>
      <c r="AB324">
        <f>YEAR(Table1[[#This Row],[Hire Date]])</f>
        <v>2019</v>
      </c>
      <c r="AC324" t="str">
        <f>TEXT(Table1[[#This Row],[Hire Date]],"mmmm")</f>
        <v>سپتامبر</v>
      </c>
      <c r="AD324" t="str">
        <f>IF(Table1[[#This Row],[Resigned]]="yes","former","active")</f>
        <v>active</v>
      </c>
    </row>
    <row r="325" spans="1:30" x14ac:dyDescent="0.3">
      <c r="A325" t="s">
        <v>715</v>
      </c>
      <c r="B325" t="s">
        <v>716</v>
      </c>
      <c r="C325" t="s">
        <v>39</v>
      </c>
      <c r="D325">
        <v>57</v>
      </c>
      <c r="E325" t="s">
        <v>28</v>
      </c>
      <c r="F325" t="s">
        <v>80</v>
      </c>
      <c r="G325" t="s">
        <v>58</v>
      </c>
      <c r="H325" t="s">
        <v>31</v>
      </c>
      <c r="I325" t="s">
        <v>81</v>
      </c>
      <c r="J325" s="1">
        <v>43278</v>
      </c>
      <c r="K325">
        <v>8</v>
      </c>
      <c r="L325">
        <v>45906105</v>
      </c>
      <c r="M325">
        <v>2692066</v>
      </c>
      <c r="N325" t="s">
        <v>33</v>
      </c>
      <c r="O325">
        <v>2.92</v>
      </c>
      <c r="P325">
        <v>32</v>
      </c>
      <c r="Q325">
        <v>1</v>
      </c>
      <c r="R325">
        <v>4</v>
      </c>
      <c r="S325">
        <v>8</v>
      </c>
      <c r="T325" t="s">
        <v>34</v>
      </c>
      <c r="U325" t="s">
        <v>33</v>
      </c>
      <c r="V325" t="s">
        <v>70</v>
      </c>
      <c r="W325" t="s">
        <v>34</v>
      </c>
      <c r="X325" t="s">
        <v>45</v>
      </c>
      <c r="Y325" t="s">
        <v>162</v>
      </c>
      <c r="Z325" t="str">
        <f>IF(Table1[[#This Row],[Age]]&lt;30,"20-29",IF(Table1[[#This Row],[Age]]&lt;40,"30-39",IF(Table1[[#This Row],[Age]]&lt;50,"40-49","50+")))</f>
        <v>50+</v>
      </c>
      <c r="AA325" t="str">
        <f>IF(Table1[[#This Row],[Salary]]&lt;20000000,"low",IF(Table1[[#This Row],[Salary]]&lt;40000000,"medium","high"))</f>
        <v>high</v>
      </c>
      <c r="AB325">
        <f>YEAR(Table1[[#This Row],[Hire Date]])</f>
        <v>2018</v>
      </c>
      <c r="AC325" t="str">
        <f>TEXT(Table1[[#This Row],[Hire Date]],"mmmm")</f>
        <v>ژوئن</v>
      </c>
      <c r="AD325" t="str">
        <f>IF(Table1[[#This Row],[Resigned]]="yes","former","active")</f>
        <v>former</v>
      </c>
    </row>
    <row r="326" spans="1:30" x14ac:dyDescent="0.3">
      <c r="A326" t="s">
        <v>717</v>
      </c>
      <c r="B326" t="s">
        <v>718</v>
      </c>
      <c r="C326" t="s">
        <v>27</v>
      </c>
      <c r="D326">
        <v>39</v>
      </c>
      <c r="E326" t="s">
        <v>28</v>
      </c>
      <c r="F326" t="s">
        <v>80</v>
      </c>
      <c r="G326" t="s">
        <v>30</v>
      </c>
      <c r="H326" t="s">
        <v>42</v>
      </c>
      <c r="I326" t="s">
        <v>43</v>
      </c>
      <c r="J326" s="1">
        <v>44819</v>
      </c>
      <c r="K326">
        <v>4</v>
      </c>
      <c r="L326">
        <v>50396880</v>
      </c>
      <c r="M326">
        <v>4868135</v>
      </c>
      <c r="N326" t="s">
        <v>33</v>
      </c>
      <c r="O326">
        <v>4.0599999999999996</v>
      </c>
      <c r="P326">
        <v>63</v>
      </c>
      <c r="Q326">
        <v>4</v>
      </c>
      <c r="R326">
        <v>2</v>
      </c>
      <c r="S326">
        <v>0</v>
      </c>
      <c r="T326" t="s">
        <v>33</v>
      </c>
      <c r="U326" t="s">
        <v>34</v>
      </c>
      <c r="V326" t="s">
        <v>51</v>
      </c>
      <c r="W326" t="s">
        <v>34</v>
      </c>
      <c r="X326" t="s">
        <v>52</v>
      </c>
      <c r="Z326" t="str">
        <f>IF(Table1[[#This Row],[Age]]&lt;30,"20-29",IF(Table1[[#This Row],[Age]]&lt;40,"30-39",IF(Table1[[#This Row],[Age]]&lt;50,"40-49","50+")))</f>
        <v>30-39</v>
      </c>
      <c r="AA326" t="str">
        <f>IF(Table1[[#This Row],[Salary]]&lt;20000000,"low",IF(Table1[[#This Row],[Salary]]&lt;40000000,"medium","high"))</f>
        <v>high</v>
      </c>
      <c r="AB326">
        <f>YEAR(Table1[[#This Row],[Hire Date]])</f>
        <v>2022</v>
      </c>
      <c r="AC326" t="str">
        <f>TEXT(Table1[[#This Row],[Hire Date]],"mmmm")</f>
        <v>سپتامبر</v>
      </c>
      <c r="AD326" t="str">
        <f>IF(Table1[[#This Row],[Resigned]]="yes","former","active")</f>
        <v>active</v>
      </c>
    </row>
    <row r="327" spans="1:30" x14ac:dyDescent="0.3">
      <c r="A327" t="s">
        <v>719</v>
      </c>
      <c r="B327" t="s">
        <v>720</v>
      </c>
      <c r="C327" t="s">
        <v>27</v>
      </c>
      <c r="D327">
        <v>56</v>
      </c>
      <c r="E327" t="s">
        <v>40</v>
      </c>
      <c r="F327" t="s">
        <v>48</v>
      </c>
      <c r="G327" t="s">
        <v>49</v>
      </c>
      <c r="H327" t="s">
        <v>31</v>
      </c>
      <c r="I327" t="s">
        <v>32</v>
      </c>
      <c r="J327" s="1">
        <v>43494</v>
      </c>
      <c r="K327">
        <v>7</v>
      </c>
      <c r="L327">
        <v>30608546</v>
      </c>
      <c r="M327">
        <v>9179079</v>
      </c>
      <c r="N327" t="s">
        <v>33</v>
      </c>
      <c r="O327">
        <v>4.01</v>
      </c>
      <c r="P327">
        <v>55</v>
      </c>
      <c r="Q327">
        <v>5</v>
      </c>
      <c r="R327">
        <v>4</v>
      </c>
      <c r="S327">
        <v>5</v>
      </c>
      <c r="T327" t="s">
        <v>33</v>
      </c>
      <c r="U327" t="s">
        <v>34</v>
      </c>
      <c r="V327" t="s">
        <v>51</v>
      </c>
      <c r="W327" t="s">
        <v>33</v>
      </c>
      <c r="X327" t="s">
        <v>36</v>
      </c>
      <c r="Z327" t="str">
        <f>IF(Table1[[#This Row],[Age]]&lt;30,"20-29",IF(Table1[[#This Row],[Age]]&lt;40,"30-39",IF(Table1[[#This Row],[Age]]&lt;50,"40-49","50+")))</f>
        <v>50+</v>
      </c>
      <c r="AA327" t="str">
        <f>IF(Table1[[#This Row],[Salary]]&lt;20000000,"low",IF(Table1[[#This Row],[Salary]]&lt;40000000,"medium","high"))</f>
        <v>medium</v>
      </c>
      <c r="AB327">
        <f>YEAR(Table1[[#This Row],[Hire Date]])</f>
        <v>2019</v>
      </c>
      <c r="AC327" t="str">
        <f>TEXT(Table1[[#This Row],[Hire Date]],"mmmm")</f>
        <v>ژانويه</v>
      </c>
      <c r="AD327" t="str">
        <f>IF(Table1[[#This Row],[Resigned]]="yes","former","active")</f>
        <v>active</v>
      </c>
    </row>
    <row r="328" spans="1:30" x14ac:dyDescent="0.3">
      <c r="A328" t="s">
        <v>721</v>
      </c>
      <c r="B328" t="s">
        <v>722</v>
      </c>
      <c r="C328" t="s">
        <v>39</v>
      </c>
      <c r="D328">
        <v>56</v>
      </c>
      <c r="E328" t="s">
        <v>73</v>
      </c>
      <c r="F328" t="s">
        <v>127</v>
      </c>
      <c r="G328" t="s">
        <v>30</v>
      </c>
      <c r="H328" t="s">
        <v>31</v>
      </c>
      <c r="I328" t="s">
        <v>65</v>
      </c>
      <c r="J328" s="1">
        <v>43658</v>
      </c>
      <c r="K328">
        <v>7</v>
      </c>
      <c r="L328">
        <v>14853356</v>
      </c>
      <c r="M328">
        <v>6753615</v>
      </c>
      <c r="N328" t="s">
        <v>34</v>
      </c>
      <c r="O328">
        <v>4.13</v>
      </c>
      <c r="P328">
        <v>46</v>
      </c>
      <c r="Q328">
        <v>1</v>
      </c>
      <c r="R328">
        <v>4</v>
      </c>
      <c r="S328">
        <v>16</v>
      </c>
      <c r="T328" t="s">
        <v>33</v>
      </c>
      <c r="U328" t="s">
        <v>34</v>
      </c>
      <c r="V328" t="s">
        <v>51</v>
      </c>
      <c r="W328" t="s">
        <v>34</v>
      </c>
      <c r="X328" t="s">
        <v>45</v>
      </c>
      <c r="Z328" t="str">
        <f>IF(Table1[[#This Row],[Age]]&lt;30,"20-29",IF(Table1[[#This Row],[Age]]&lt;40,"30-39",IF(Table1[[#This Row],[Age]]&lt;50,"40-49","50+")))</f>
        <v>50+</v>
      </c>
      <c r="AA328" t="str">
        <f>IF(Table1[[#This Row],[Salary]]&lt;20000000,"low",IF(Table1[[#This Row],[Salary]]&lt;40000000,"medium","high"))</f>
        <v>low</v>
      </c>
      <c r="AB328">
        <f>YEAR(Table1[[#This Row],[Hire Date]])</f>
        <v>2019</v>
      </c>
      <c r="AC328" t="str">
        <f>TEXT(Table1[[#This Row],[Hire Date]],"mmmm")</f>
        <v>ژوئيه</v>
      </c>
      <c r="AD328" t="str">
        <f>IF(Table1[[#This Row],[Resigned]]="yes","former","active")</f>
        <v>active</v>
      </c>
    </row>
    <row r="329" spans="1:30" x14ac:dyDescent="0.3">
      <c r="A329" t="s">
        <v>723</v>
      </c>
      <c r="B329" t="s">
        <v>724</v>
      </c>
      <c r="C329" t="s">
        <v>39</v>
      </c>
      <c r="D329">
        <v>51</v>
      </c>
      <c r="E329" t="s">
        <v>73</v>
      </c>
      <c r="F329" t="s">
        <v>74</v>
      </c>
      <c r="G329" t="s">
        <v>49</v>
      </c>
      <c r="H329" t="s">
        <v>31</v>
      </c>
      <c r="I329" t="s">
        <v>81</v>
      </c>
      <c r="J329" s="1">
        <v>43210</v>
      </c>
      <c r="K329">
        <v>8</v>
      </c>
      <c r="L329">
        <v>49183855</v>
      </c>
      <c r="M329">
        <v>5359048</v>
      </c>
      <c r="N329" t="s">
        <v>34</v>
      </c>
      <c r="O329">
        <v>4.8099999999999996</v>
      </c>
      <c r="P329">
        <v>19</v>
      </c>
      <c r="Q329">
        <v>4</v>
      </c>
      <c r="R329">
        <v>4</v>
      </c>
      <c r="S329">
        <v>20</v>
      </c>
      <c r="T329" t="s">
        <v>34</v>
      </c>
      <c r="U329" t="s">
        <v>34</v>
      </c>
      <c r="V329" t="s">
        <v>70</v>
      </c>
      <c r="W329" t="s">
        <v>34</v>
      </c>
      <c r="X329" t="s">
        <v>45</v>
      </c>
      <c r="Z329" t="str">
        <f>IF(Table1[[#This Row],[Age]]&lt;30,"20-29",IF(Table1[[#This Row],[Age]]&lt;40,"30-39",IF(Table1[[#This Row],[Age]]&lt;50,"40-49","50+")))</f>
        <v>50+</v>
      </c>
      <c r="AA329" t="str">
        <f>IF(Table1[[#This Row],[Salary]]&lt;20000000,"low",IF(Table1[[#This Row],[Salary]]&lt;40000000,"medium","high"))</f>
        <v>high</v>
      </c>
      <c r="AB329">
        <f>YEAR(Table1[[#This Row],[Hire Date]])</f>
        <v>2018</v>
      </c>
      <c r="AC329" t="str">
        <f>TEXT(Table1[[#This Row],[Hire Date]],"mmmm")</f>
        <v>آوريل</v>
      </c>
      <c r="AD329" t="str">
        <f>IF(Table1[[#This Row],[Resigned]]="yes","former","active")</f>
        <v>active</v>
      </c>
    </row>
    <row r="330" spans="1:30" x14ac:dyDescent="0.3">
      <c r="A330" t="s">
        <v>725</v>
      </c>
      <c r="B330" t="s">
        <v>726</v>
      </c>
      <c r="C330" t="s">
        <v>39</v>
      </c>
      <c r="D330">
        <v>42</v>
      </c>
      <c r="E330" t="s">
        <v>73</v>
      </c>
      <c r="F330" t="s">
        <v>127</v>
      </c>
      <c r="G330" t="s">
        <v>30</v>
      </c>
      <c r="H330" t="s">
        <v>42</v>
      </c>
      <c r="I330" t="s">
        <v>32</v>
      </c>
      <c r="J330" s="1">
        <v>43662</v>
      </c>
      <c r="K330">
        <v>7</v>
      </c>
      <c r="L330">
        <v>46032727</v>
      </c>
      <c r="M330">
        <v>4158060</v>
      </c>
      <c r="N330" t="s">
        <v>34</v>
      </c>
      <c r="O330">
        <v>3.8</v>
      </c>
      <c r="P330">
        <v>18</v>
      </c>
      <c r="Q330">
        <v>2</v>
      </c>
      <c r="R330">
        <v>4</v>
      </c>
      <c r="S330">
        <v>18</v>
      </c>
      <c r="T330" t="s">
        <v>33</v>
      </c>
      <c r="U330" t="s">
        <v>34</v>
      </c>
      <c r="V330" t="s">
        <v>51</v>
      </c>
      <c r="W330" t="s">
        <v>33</v>
      </c>
      <c r="X330" t="s">
        <v>45</v>
      </c>
      <c r="Z330" t="str">
        <f>IF(Table1[[#This Row],[Age]]&lt;30,"20-29",IF(Table1[[#This Row],[Age]]&lt;40,"30-39",IF(Table1[[#This Row],[Age]]&lt;50,"40-49","50+")))</f>
        <v>40-49</v>
      </c>
      <c r="AA330" t="str">
        <f>IF(Table1[[#This Row],[Salary]]&lt;20000000,"low",IF(Table1[[#This Row],[Salary]]&lt;40000000,"medium","high"))</f>
        <v>high</v>
      </c>
      <c r="AB330">
        <f>YEAR(Table1[[#This Row],[Hire Date]])</f>
        <v>2019</v>
      </c>
      <c r="AC330" t="str">
        <f>TEXT(Table1[[#This Row],[Hire Date]],"mmmm")</f>
        <v>ژوئيه</v>
      </c>
      <c r="AD330" t="str">
        <f>IF(Table1[[#This Row],[Resigned]]="yes","former","active")</f>
        <v>active</v>
      </c>
    </row>
    <row r="331" spans="1:30" x14ac:dyDescent="0.3">
      <c r="A331" t="s">
        <v>727</v>
      </c>
      <c r="B331" t="s">
        <v>728</v>
      </c>
      <c r="C331" t="s">
        <v>27</v>
      </c>
      <c r="D331">
        <v>45</v>
      </c>
      <c r="E331" t="s">
        <v>73</v>
      </c>
      <c r="F331" t="s">
        <v>127</v>
      </c>
      <c r="G331" t="s">
        <v>30</v>
      </c>
      <c r="H331" t="s">
        <v>31</v>
      </c>
      <c r="I331" t="s">
        <v>81</v>
      </c>
      <c r="J331" s="1">
        <v>42481</v>
      </c>
      <c r="K331">
        <v>10</v>
      </c>
      <c r="L331">
        <v>37160794</v>
      </c>
      <c r="M331">
        <v>5902816</v>
      </c>
      <c r="N331" t="s">
        <v>34</v>
      </c>
      <c r="O331">
        <v>4.32</v>
      </c>
      <c r="P331">
        <v>60</v>
      </c>
      <c r="Q331">
        <v>3</v>
      </c>
      <c r="R331">
        <v>4</v>
      </c>
      <c r="S331">
        <v>17</v>
      </c>
      <c r="T331" t="s">
        <v>33</v>
      </c>
      <c r="U331" t="s">
        <v>33</v>
      </c>
      <c r="V331" t="s">
        <v>35</v>
      </c>
      <c r="W331" t="s">
        <v>33</v>
      </c>
      <c r="X331" t="s">
        <v>36</v>
      </c>
      <c r="Y331" t="s">
        <v>75</v>
      </c>
      <c r="Z331" t="str">
        <f>IF(Table1[[#This Row],[Age]]&lt;30,"20-29",IF(Table1[[#This Row],[Age]]&lt;40,"30-39",IF(Table1[[#This Row],[Age]]&lt;50,"40-49","50+")))</f>
        <v>40-49</v>
      </c>
      <c r="AA331" t="str">
        <f>IF(Table1[[#This Row],[Salary]]&lt;20000000,"low",IF(Table1[[#This Row],[Salary]]&lt;40000000,"medium","high"))</f>
        <v>medium</v>
      </c>
      <c r="AB331">
        <f>YEAR(Table1[[#This Row],[Hire Date]])</f>
        <v>2016</v>
      </c>
      <c r="AC331" t="str">
        <f>TEXT(Table1[[#This Row],[Hire Date]],"mmmm")</f>
        <v>آوريل</v>
      </c>
      <c r="AD331" t="str">
        <f>IF(Table1[[#This Row],[Resigned]]="yes","former","active")</f>
        <v>former</v>
      </c>
    </row>
    <row r="332" spans="1:30" x14ac:dyDescent="0.3">
      <c r="A332" t="s">
        <v>729</v>
      </c>
      <c r="B332" t="s">
        <v>730</v>
      </c>
      <c r="C332" t="s">
        <v>39</v>
      </c>
      <c r="D332">
        <v>34</v>
      </c>
      <c r="E332" t="s">
        <v>73</v>
      </c>
      <c r="F332" t="s">
        <v>74</v>
      </c>
      <c r="G332" t="s">
        <v>49</v>
      </c>
      <c r="H332" t="s">
        <v>42</v>
      </c>
      <c r="I332" t="s">
        <v>50</v>
      </c>
      <c r="J332" s="1">
        <v>42449</v>
      </c>
      <c r="K332">
        <v>10</v>
      </c>
      <c r="L332">
        <v>40121612</v>
      </c>
      <c r="M332">
        <v>1385279</v>
      </c>
      <c r="N332" t="s">
        <v>33</v>
      </c>
      <c r="O332">
        <v>4.29</v>
      </c>
      <c r="P332">
        <v>29</v>
      </c>
      <c r="Q332">
        <v>2</v>
      </c>
      <c r="R332">
        <v>4</v>
      </c>
      <c r="S332">
        <v>1</v>
      </c>
      <c r="T332" t="s">
        <v>33</v>
      </c>
      <c r="U332" t="s">
        <v>34</v>
      </c>
      <c r="V332" t="s">
        <v>35</v>
      </c>
      <c r="W332" t="s">
        <v>34</v>
      </c>
      <c r="X332" t="s">
        <v>45</v>
      </c>
      <c r="Z332" t="str">
        <f>IF(Table1[[#This Row],[Age]]&lt;30,"20-29",IF(Table1[[#This Row],[Age]]&lt;40,"30-39",IF(Table1[[#This Row],[Age]]&lt;50,"40-49","50+")))</f>
        <v>30-39</v>
      </c>
      <c r="AA332" t="str">
        <f>IF(Table1[[#This Row],[Salary]]&lt;20000000,"low",IF(Table1[[#This Row],[Salary]]&lt;40000000,"medium","high"))</f>
        <v>high</v>
      </c>
      <c r="AB332">
        <f>YEAR(Table1[[#This Row],[Hire Date]])</f>
        <v>2016</v>
      </c>
      <c r="AC332" t="str">
        <f>TEXT(Table1[[#This Row],[Hire Date]],"mmmm")</f>
        <v>مارس</v>
      </c>
      <c r="AD332" t="str">
        <f>IF(Table1[[#This Row],[Resigned]]="yes","former","active")</f>
        <v>active</v>
      </c>
    </row>
    <row r="333" spans="1:30" x14ac:dyDescent="0.3">
      <c r="A333" t="s">
        <v>731</v>
      </c>
      <c r="B333" t="s">
        <v>732</v>
      </c>
      <c r="C333" t="s">
        <v>27</v>
      </c>
      <c r="D333">
        <v>22</v>
      </c>
      <c r="E333" t="s">
        <v>28</v>
      </c>
      <c r="F333" t="s">
        <v>80</v>
      </c>
      <c r="G333" t="s">
        <v>49</v>
      </c>
      <c r="H333" t="s">
        <v>42</v>
      </c>
      <c r="I333" t="s">
        <v>50</v>
      </c>
      <c r="J333" s="1">
        <v>43310</v>
      </c>
      <c r="K333">
        <v>8</v>
      </c>
      <c r="L333">
        <v>15271499</v>
      </c>
      <c r="M333">
        <v>6106034</v>
      </c>
      <c r="N333" t="s">
        <v>33</v>
      </c>
      <c r="O333">
        <v>3.23</v>
      </c>
      <c r="P333">
        <v>14</v>
      </c>
      <c r="Q333">
        <v>4</v>
      </c>
      <c r="R333">
        <v>2</v>
      </c>
      <c r="S333">
        <v>4</v>
      </c>
      <c r="T333" t="s">
        <v>34</v>
      </c>
      <c r="U333" t="s">
        <v>34</v>
      </c>
      <c r="V333" t="s">
        <v>44</v>
      </c>
      <c r="W333" t="s">
        <v>33</v>
      </c>
      <c r="X333" t="s">
        <v>52</v>
      </c>
      <c r="Z333" t="str">
        <f>IF(Table1[[#This Row],[Age]]&lt;30,"20-29",IF(Table1[[#This Row],[Age]]&lt;40,"30-39",IF(Table1[[#This Row],[Age]]&lt;50,"40-49","50+")))</f>
        <v>20-29</v>
      </c>
      <c r="AA333" t="str">
        <f>IF(Table1[[#This Row],[Salary]]&lt;20000000,"low",IF(Table1[[#This Row],[Salary]]&lt;40000000,"medium","high"))</f>
        <v>low</v>
      </c>
      <c r="AB333">
        <f>YEAR(Table1[[#This Row],[Hire Date]])</f>
        <v>2018</v>
      </c>
      <c r="AC333" t="str">
        <f>TEXT(Table1[[#This Row],[Hire Date]],"mmmm")</f>
        <v>ژوئيه</v>
      </c>
      <c r="AD333" t="str">
        <f>IF(Table1[[#This Row],[Resigned]]="yes","former","active")</f>
        <v>active</v>
      </c>
    </row>
    <row r="334" spans="1:30" x14ac:dyDescent="0.3">
      <c r="A334" t="s">
        <v>733</v>
      </c>
      <c r="B334" t="s">
        <v>734</v>
      </c>
      <c r="C334" t="s">
        <v>39</v>
      </c>
      <c r="D334">
        <v>36</v>
      </c>
      <c r="E334" t="s">
        <v>63</v>
      </c>
      <c r="F334" t="s">
        <v>64</v>
      </c>
      <c r="G334" t="s">
        <v>58</v>
      </c>
      <c r="H334" t="s">
        <v>42</v>
      </c>
      <c r="I334" t="s">
        <v>81</v>
      </c>
      <c r="J334" s="1">
        <v>42463</v>
      </c>
      <c r="K334">
        <v>10</v>
      </c>
      <c r="L334">
        <v>29128675</v>
      </c>
      <c r="M334">
        <v>9922123</v>
      </c>
      <c r="N334" t="s">
        <v>34</v>
      </c>
      <c r="O334">
        <v>4.5199999999999996</v>
      </c>
      <c r="P334">
        <v>43</v>
      </c>
      <c r="Q334">
        <v>3</v>
      </c>
      <c r="R334">
        <v>1</v>
      </c>
      <c r="S334">
        <v>18</v>
      </c>
      <c r="T334" t="s">
        <v>33</v>
      </c>
      <c r="U334" t="s">
        <v>34</v>
      </c>
      <c r="V334" t="s">
        <v>44</v>
      </c>
      <c r="W334" t="s">
        <v>33</v>
      </c>
      <c r="X334" t="s">
        <v>45</v>
      </c>
      <c r="Z334" t="str">
        <f>IF(Table1[[#This Row],[Age]]&lt;30,"20-29",IF(Table1[[#This Row],[Age]]&lt;40,"30-39",IF(Table1[[#This Row],[Age]]&lt;50,"40-49","50+")))</f>
        <v>30-39</v>
      </c>
      <c r="AA334" t="str">
        <f>IF(Table1[[#This Row],[Salary]]&lt;20000000,"low",IF(Table1[[#This Row],[Salary]]&lt;40000000,"medium","high"))</f>
        <v>medium</v>
      </c>
      <c r="AB334">
        <f>YEAR(Table1[[#This Row],[Hire Date]])</f>
        <v>2016</v>
      </c>
      <c r="AC334" t="str">
        <f>TEXT(Table1[[#This Row],[Hire Date]],"mmmm")</f>
        <v>آوريل</v>
      </c>
      <c r="AD334" t="str">
        <f>IF(Table1[[#This Row],[Resigned]]="yes","former","active")</f>
        <v>active</v>
      </c>
    </row>
    <row r="335" spans="1:30" x14ac:dyDescent="0.3">
      <c r="A335" t="s">
        <v>735</v>
      </c>
      <c r="B335" t="s">
        <v>736</v>
      </c>
      <c r="C335" t="s">
        <v>39</v>
      </c>
      <c r="D335">
        <v>53</v>
      </c>
      <c r="E335" t="s">
        <v>28</v>
      </c>
      <c r="F335" t="s">
        <v>29</v>
      </c>
      <c r="G335" t="s">
        <v>58</v>
      </c>
      <c r="H335" t="s">
        <v>42</v>
      </c>
      <c r="I335" t="s">
        <v>32</v>
      </c>
      <c r="J335" s="1">
        <v>44168</v>
      </c>
      <c r="K335">
        <v>6</v>
      </c>
      <c r="L335">
        <v>46857038</v>
      </c>
      <c r="M335">
        <v>3317979</v>
      </c>
      <c r="N335" t="s">
        <v>33</v>
      </c>
      <c r="O335">
        <v>3.46</v>
      </c>
      <c r="P335">
        <v>8</v>
      </c>
      <c r="Q335">
        <v>5</v>
      </c>
      <c r="R335">
        <v>2</v>
      </c>
      <c r="S335">
        <v>19</v>
      </c>
      <c r="T335" t="s">
        <v>33</v>
      </c>
      <c r="U335" t="s">
        <v>34</v>
      </c>
      <c r="V335" t="s">
        <v>70</v>
      </c>
      <c r="W335" t="s">
        <v>34</v>
      </c>
      <c r="X335" t="s">
        <v>36</v>
      </c>
      <c r="Z335" t="str">
        <f>IF(Table1[[#This Row],[Age]]&lt;30,"20-29",IF(Table1[[#This Row],[Age]]&lt;40,"30-39",IF(Table1[[#This Row],[Age]]&lt;50,"40-49","50+")))</f>
        <v>50+</v>
      </c>
      <c r="AA335" t="str">
        <f>IF(Table1[[#This Row],[Salary]]&lt;20000000,"low",IF(Table1[[#This Row],[Salary]]&lt;40000000,"medium","high"))</f>
        <v>high</v>
      </c>
      <c r="AB335">
        <f>YEAR(Table1[[#This Row],[Hire Date]])</f>
        <v>2020</v>
      </c>
      <c r="AC335" t="str">
        <f>TEXT(Table1[[#This Row],[Hire Date]],"mmmm")</f>
        <v>دسامبر</v>
      </c>
      <c r="AD335" t="str">
        <f>IF(Table1[[#This Row],[Resigned]]="yes","former","active")</f>
        <v>active</v>
      </c>
    </row>
    <row r="336" spans="1:30" x14ac:dyDescent="0.3">
      <c r="A336" t="s">
        <v>737</v>
      </c>
      <c r="B336" t="s">
        <v>738</v>
      </c>
      <c r="C336" t="s">
        <v>27</v>
      </c>
      <c r="D336">
        <v>39</v>
      </c>
      <c r="E336" t="s">
        <v>56</v>
      </c>
      <c r="F336" t="s">
        <v>57</v>
      </c>
      <c r="G336" t="s">
        <v>58</v>
      </c>
      <c r="H336" t="s">
        <v>42</v>
      </c>
      <c r="I336" t="s">
        <v>50</v>
      </c>
      <c r="J336" s="1">
        <v>42666</v>
      </c>
      <c r="K336">
        <v>10</v>
      </c>
      <c r="L336">
        <v>38952195</v>
      </c>
      <c r="M336">
        <v>903388</v>
      </c>
      <c r="N336" t="s">
        <v>33</v>
      </c>
      <c r="O336">
        <v>2.69</v>
      </c>
      <c r="P336">
        <v>6</v>
      </c>
      <c r="Q336">
        <v>1</v>
      </c>
      <c r="R336">
        <v>2</v>
      </c>
      <c r="S336">
        <v>3</v>
      </c>
      <c r="T336" t="s">
        <v>34</v>
      </c>
      <c r="U336" t="s">
        <v>34</v>
      </c>
      <c r="V336" t="s">
        <v>35</v>
      </c>
      <c r="W336" t="s">
        <v>34</v>
      </c>
      <c r="X336" t="s">
        <v>45</v>
      </c>
      <c r="Z336" t="str">
        <f>IF(Table1[[#This Row],[Age]]&lt;30,"20-29",IF(Table1[[#This Row],[Age]]&lt;40,"30-39",IF(Table1[[#This Row],[Age]]&lt;50,"40-49","50+")))</f>
        <v>30-39</v>
      </c>
      <c r="AA336" t="str">
        <f>IF(Table1[[#This Row],[Salary]]&lt;20000000,"low",IF(Table1[[#This Row],[Salary]]&lt;40000000,"medium","high"))</f>
        <v>medium</v>
      </c>
      <c r="AB336">
        <f>YEAR(Table1[[#This Row],[Hire Date]])</f>
        <v>2016</v>
      </c>
      <c r="AC336" t="str">
        <f>TEXT(Table1[[#This Row],[Hire Date]],"mmmm")</f>
        <v>اُكتبر</v>
      </c>
      <c r="AD336" t="str">
        <f>IF(Table1[[#This Row],[Resigned]]="yes","former","active")</f>
        <v>active</v>
      </c>
    </row>
    <row r="337" spans="1:30" x14ac:dyDescent="0.3">
      <c r="A337" t="s">
        <v>739</v>
      </c>
      <c r="B337" t="s">
        <v>740</v>
      </c>
      <c r="C337" t="s">
        <v>39</v>
      </c>
      <c r="D337">
        <v>44</v>
      </c>
      <c r="E337" t="s">
        <v>40</v>
      </c>
      <c r="F337" t="s">
        <v>48</v>
      </c>
      <c r="G337" t="s">
        <v>49</v>
      </c>
      <c r="H337" t="s">
        <v>42</v>
      </c>
      <c r="I337" t="s">
        <v>43</v>
      </c>
      <c r="J337" s="1">
        <v>43557</v>
      </c>
      <c r="K337">
        <v>7</v>
      </c>
      <c r="L337">
        <v>27799105</v>
      </c>
      <c r="M337">
        <v>4869841</v>
      </c>
      <c r="N337" t="s">
        <v>33</v>
      </c>
      <c r="O337">
        <v>2.88</v>
      </c>
      <c r="P337">
        <v>72</v>
      </c>
      <c r="Q337">
        <v>3</v>
      </c>
      <c r="R337">
        <v>5</v>
      </c>
      <c r="S337">
        <v>11</v>
      </c>
      <c r="T337" t="s">
        <v>34</v>
      </c>
      <c r="U337" t="s">
        <v>34</v>
      </c>
      <c r="V337" t="s">
        <v>35</v>
      </c>
      <c r="W337" t="s">
        <v>34</v>
      </c>
      <c r="X337" t="s">
        <v>52</v>
      </c>
      <c r="Z337" t="str">
        <f>IF(Table1[[#This Row],[Age]]&lt;30,"20-29",IF(Table1[[#This Row],[Age]]&lt;40,"30-39",IF(Table1[[#This Row],[Age]]&lt;50,"40-49","50+")))</f>
        <v>40-49</v>
      </c>
      <c r="AA337" t="str">
        <f>IF(Table1[[#This Row],[Salary]]&lt;20000000,"low",IF(Table1[[#This Row],[Salary]]&lt;40000000,"medium","high"))</f>
        <v>medium</v>
      </c>
      <c r="AB337">
        <f>YEAR(Table1[[#This Row],[Hire Date]])</f>
        <v>2019</v>
      </c>
      <c r="AC337" t="str">
        <f>TEXT(Table1[[#This Row],[Hire Date]],"mmmm")</f>
        <v>آوريل</v>
      </c>
      <c r="AD337" t="str">
        <f>IF(Table1[[#This Row],[Resigned]]="yes","former","active")</f>
        <v>active</v>
      </c>
    </row>
    <row r="338" spans="1:30" x14ac:dyDescent="0.3">
      <c r="A338" t="s">
        <v>741</v>
      </c>
      <c r="B338" t="s">
        <v>742</v>
      </c>
      <c r="C338" t="s">
        <v>27</v>
      </c>
      <c r="D338">
        <v>27</v>
      </c>
      <c r="E338" t="s">
        <v>56</v>
      </c>
      <c r="F338" t="s">
        <v>84</v>
      </c>
      <c r="G338" t="s">
        <v>49</v>
      </c>
      <c r="H338" t="s">
        <v>42</v>
      </c>
      <c r="I338" t="s">
        <v>32</v>
      </c>
      <c r="J338" s="1">
        <v>45635</v>
      </c>
      <c r="K338">
        <v>2</v>
      </c>
      <c r="L338">
        <v>33929323</v>
      </c>
      <c r="M338">
        <v>8565674</v>
      </c>
      <c r="N338" t="s">
        <v>33</v>
      </c>
      <c r="O338">
        <v>2.65</v>
      </c>
      <c r="P338">
        <v>29</v>
      </c>
      <c r="Q338">
        <v>3</v>
      </c>
      <c r="R338">
        <v>3</v>
      </c>
      <c r="S338">
        <v>16</v>
      </c>
      <c r="T338" t="s">
        <v>33</v>
      </c>
      <c r="U338" t="s">
        <v>34</v>
      </c>
      <c r="V338" t="s">
        <v>35</v>
      </c>
      <c r="W338" t="s">
        <v>33</v>
      </c>
      <c r="X338" t="s">
        <v>45</v>
      </c>
      <c r="Z338" t="str">
        <f>IF(Table1[[#This Row],[Age]]&lt;30,"20-29",IF(Table1[[#This Row],[Age]]&lt;40,"30-39",IF(Table1[[#This Row],[Age]]&lt;50,"40-49","50+")))</f>
        <v>20-29</v>
      </c>
      <c r="AA338" t="str">
        <f>IF(Table1[[#This Row],[Salary]]&lt;20000000,"low",IF(Table1[[#This Row],[Salary]]&lt;40000000,"medium","high"))</f>
        <v>medium</v>
      </c>
      <c r="AB338">
        <f>YEAR(Table1[[#This Row],[Hire Date]])</f>
        <v>2024</v>
      </c>
      <c r="AC338" t="str">
        <f>TEXT(Table1[[#This Row],[Hire Date]],"mmmm")</f>
        <v>دسامبر</v>
      </c>
      <c r="AD338" t="str">
        <f>IF(Table1[[#This Row],[Resigned]]="yes","former","active")</f>
        <v>active</v>
      </c>
    </row>
    <row r="339" spans="1:30" x14ac:dyDescent="0.3">
      <c r="A339" t="s">
        <v>743</v>
      </c>
      <c r="B339" t="s">
        <v>744</v>
      </c>
      <c r="C339" t="s">
        <v>27</v>
      </c>
      <c r="D339">
        <v>53</v>
      </c>
      <c r="E339" t="s">
        <v>110</v>
      </c>
      <c r="F339" t="s">
        <v>120</v>
      </c>
      <c r="G339" t="s">
        <v>49</v>
      </c>
      <c r="H339" t="s">
        <v>42</v>
      </c>
      <c r="I339" t="s">
        <v>32</v>
      </c>
      <c r="J339" s="1">
        <v>42987</v>
      </c>
      <c r="K339">
        <v>9</v>
      </c>
      <c r="L339">
        <v>29856946</v>
      </c>
      <c r="M339">
        <v>1190058</v>
      </c>
      <c r="N339" t="s">
        <v>33</v>
      </c>
      <c r="O339">
        <v>2.88</v>
      </c>
      <c r="P339">
        <v>46</v>
      </c>
      <c r="Q339">
        <v>4</v>
      </c>
      <c r="R339">
        <v>2</v>
      </c>
      <c r="S339">
        <v>5</v>
      </c>
      <c r="T339" t="s">
        <v>33</v>
      </c>
      <c r="U339" t="s">
        <v>34</v>
      </c>
      <c r="V339" t="s">
        <v>44</v>
      </c>
      <c r="W339" t="s">
        <v>34</v>
      </c>
      <c r="X339" t="s">
        <v>52</v>
      </c>
      <c r="Z339" t="str">
        <f>IF(Table1[[#This Row],[Age]]&lt;30,"20-29",IF(Table1[[#This Row],[Age]]&lt;40,"30-39",IF(Table1[[#This Row],[Age]]&lt;50,"40-49","50+")))</f>
        <v>50+</v>
      </c>
      <c r="AA339" t="str">
        <f>IF(Table1[[#This Row],[Salary]]&lt;20000000,"low",IF(Table1[[#This Row],[Salary]]&lt;40000000,"medium","high"))</f>
        <v>medium</v>
      </c>
      <c r="AB339">
        <f>YEAR(Table1[[#This Row],[Hire Date]])</f>
        <v>2017</v>
      </c>
      <c r="AC339" t="str">
        <f>TEXT(Table1[[#This Row],[Hire Date]],"mmmm")</f>
        <v>سپتامبر</v>
      </c>
      <c r="AD339" t="str">
        <f>IF(Table1[[#This Row],[Resigned]]="yes","former","active")</f>
        <v>active</v>
      </c>
    </row>
    <row r="340" spans="1:30" x14ac:dyDescent="0.3">
      <c r="A340" t="s">
        <v>745</v>
      </c>
      <c r="B340" t="s">
        <v>746</v>
      </c>
      <c r="C340" t="s">
        <v>39</v>
      </c>
      <c r="D340">
        <v>44</v>
      </c>
      <c r="E340" t="s">
        <v>73</v>
      </c>
      <c r="F340" t="s">
        <v>74</v>
      </c>
      <c r="G340" t="s">
        <v>49</v>
      </c>
      <c r="H340" t="s">
        <v>42</v>
      </c>
      <c r="I340" t="s">
        <v>81</v>
      </c>
      <c r="J340" s="1">
        <v>44751</v>
      </c>
      <c r="K340">
        <v>4</v>
      </c>
      <c r="L340">
        <v>46016729</v>
      </c>
      <c r="M340">
        <v>821724</v>
      </c>
      <c r="N340" t="s">
        <v>33</v>
      </c>
      <c r="O340">
        <v>2.5</v>
      </c>
      <c r="P340">
        <v>59</v>
      </c>
      <c r="Q340">
        <v>5</v>
      </c>
      <c r="R340">
        <v>3</v>
      </c>
      <c r="S340">
        <v>10</v>
      </c>
      <c r="T340" t="s">
        <v>34</v>
      </c>
      <c r="U340" t="s">
        <v>34</v>
      </c>
      <c r="V340" t="s">
        <v>59</v>
      </c>
      <c r="W340" t="s">
        <v>34</v>
      </c>
      <c r="X340" t="s">
        <v>45</v>
      </c>
      <c r="Z340" t="str">
        <f>IF(Table1[[#This Row],[Age]]&lt;30,"20-29",IF(Table1[[#This Row],[Age]]&lt;40,"30-39",IF(Table1[[#This Row],[Age]]&lt;50,"40-49","50+")))</f>
        <v>40-49</v>
      </c>
      <c r="AA340" t="str">
        <f>IF(Table1[[#This Row],[Salary]]&lt;20000000,"low",IF(Table1[[#This Row],[Salary]]&lt;40000000,"medium","high"))</f>
        <v>high</v>
      </c>
      <c r="AB340">
        <f>YEAR(Table1[[#This Row],[Hire Date]])</f>
        <v>2022</v>
      </c>
      <c r="AC340" t="str">
        <f>TEXT(Table1[[#This Row],[Hire Date]],"mmmm")</f>
        <v>ژوئيه</v>
      </c>
      <c r="AD340" t="str">
        <f>IF(Table1[[#This Row],[Resigned]]="yes","former","active")</f>
        <v>active</v>
      </c>
    </row>
    <row r="341" spans="1:30" x14ac:dyDescent="0.3">
      <c r="A341" t="s">
        <v>747</v>
      </c>
      <c r="B341" t="s">
        <v>748</v>
      </c>
      <c r="C341" t="s">
        <v>27</v>
      </c>
      <c r="D341">
        <v>27</v>
      </c>
      <c r="E341" t="s">
        <v>110</v>
      </c>
      <c r="F341" t="s">
        <v>120</v>
      </c>
      <c r="G341" t="s">
        <v>58</v>
      </c>
      <c r="H341" t="s">
        <v>31</v>
      </c>
      <c r="I341" t="s">
        <v>32</v>
      </c>
      <c r="J341" s="1">
        <v>45629</v>
      </c>
      <c r="K341">
        <v>2</v>
      </c>
      <c r="L341">
        <v>41144404</v>
      </c>
      <c r="M341">
        <v>9011801</v>
      </c>
      <c r="N341" t="s">
        <v>33</v>
      </c>
      <c r="O341">
        <v>3.09</v>
      </c>
      <c r="P341">
        <v>23</v>
      </c>
      <c r="Q341">
        <v>3</v>
      </c>
      <c r="R341">
        <v>5</v>
      </c>
      <c r="S341">
        <v>10</v>
      </c>
      <c r="T341" t="s">
        <v>34</v>
      </c>
      <c r="U341" t="s">
        <v>33</v>
      </c>
      <c r="V341" t="s">
        <v>51</v>
      </c>
      <c r="W341" t="s">
        <v>33</v>
      </c>
      <c r="X341" t="s">
        <v>45</v>
      </c>
      <c r="Y341" t="s">
        <v>162</v>
      </c>
      <c r="Z341" t="str">
        <f>IF(Table1[[#This Row],[Age]]&lt;30,"20-29",IF(Table1[[#This Row],[Age]]&lt;40,"30-39",IF(Table1[[#This Row],[Age]]&lt;50,"40-49","50+")))</f>
        <v>20-29</v>
      </c>
      <c r="AA341" t="str">
        <f>IF(Table1[[#This Row],[Salary]]&lt;20000000,"low",IF(Table1[[#This Row],[Salary]]&lt;40000000,"medium","high"))</f>
        <v>high</v>
      </c>
      <c r="AB341">
        <f>YEAR(Table1[[#This Row],[Hire Date]])</f>
        <v>2024</v>
      </c>
      <c r="AC341" t="str">
        <f>TEXT(Table1[[#This Row],[Hire Date]],"mmmm")</f>
        <v>دسامبر</v>
      </c>
      <c r="AD341" t="str">
        <f>IF(Table1[[#This Row],[Resigned]]="yes","former","active")</f>
        <v>former</v>
      </c>
    </row>
    <row r="342" spans="1:30" x14ac:dyDescent="0.3">
      <c r="A342" t="s">
        <v>749</v>
      </c>
      <c r="B342" t="s">
        <v>750</v>
      </c>
      <c r="C342" t="s">
        <v>27</v>
      </c>
      <c r="D342">
        <v>52</v>
      </c>
      <c r="E342" t="s">
        <v>28</v>
      </c>
      <c r="F342" t="s">
        <v>80</v>
      </c>
      <c r="G342" t="s">
        <v>49</v>
      </c>
      <c r="H342" t="s">
        <v>42</v>
      </c>
      <c r="I342" t="s">
        <v>43</v>
      </c>
      <c r="J342" s="1">
        <v>44483</v>
      </c>
      <c r="K342">
        <v>5</v>
      </c>
      <c r="L342">
        <v>59526822</v>
      </c>
      <c r="M342">
        <v>4324455</v>
      </c>
      <c r="N342" t="s">
        <v>34</v>
      </c>
      <c r="O342">
        <v>3.31</v>
      </c>
      <c r="P342">
        <v>52</v>
      </c>
      <c r="Q342">
        <v>4</v>
      </c>
      <c r="R342">
        <v>2</v>
      </c>
      <c r="S342">
        <v>7</v>
      </c>
      <c r="T342" t="s">
        <v>34</v>
      </c>
      <c r="U342" t="s">
        <v>34</v>
      </c>
      <c r="V342" t="s">
        <v>35</v>
      </c>
      <c r="W342" t="s">
        <v>34</v>
      </c>
      <c r="X342" t="s">
        <v>52</v>
      </c>
      <c r="Z342" t="str">
        <f>IF(Table1[[#This Row],[Age]]&lt;30,"20-29",IF(Table1[[#This Row],[Age]]&lt;40,"30-39",IF(Table1[[#This Row],[Age]]&lt;50,"40-49","50+")))</f>
        <v>50+</v>
      </c>
      <c r="AA342" t="str">
        <f>IF(Table1[[#This Row],[Salary]]&lt;20000000,"low",IF(Table1[[#This Row],[Salary]]&lt;40000000,"medium","high"))</f>
        <v>high</v>
      </c>
      <c r="AB342">
        <f>YEAR(Table1[[#This Row],[Hire Date]])</f>
        <v>2021</v>
      </c>
      <c r="AC342" t="str">
        <f>TEXT(Table1[[#This Row],[Hire Date]],"mmmm")</f>
        <v>اُكتبر</v>
      </c>
      <c r="AD342" t="str">
        <f>IF(Table1[[#This Row],[Resigned]]="yes","former","active")</f>
        <v>active</v>
      </c>
    </row>
    <row r="343" spans="1:30" x14ac:dyDescent="0.3">
      <c r="A343" t="s">
        <v>751</v>
      </c>
      <c r="B343" t="s">
        <v>752</v>
      </c>
      <c r="C343" t="s">
        <v>27</v>
      </c>
      <c r="D343">
        <v>57</v>
      </c>
      <c r="E343" t="s">
        <v>63</v>
      </c>
      <c r="F343" t="s">
        <v>93</v>
      </c>
      <c r="G343" t="s">
        <v>49</v>
      </c>
      <c r="H343" t="s">
        <v>31</v>
      </c>
      <c r="I343" t="s">
        <v>43</v>
      </c>
      <c r="J343" s="1">
        <v>43522</v>
      </c>
      <c r="K343">
        <v>7</v>
      </c>
      <c r="L343">
        <v>21739508</v>
      </c>
      <c r="M343">
        <v>6737624</v>
      </c>
      <c r="N343" t="s">
        <v>33</v>
      </c>
      <c r="O343">
        <v>3.21</v>
      </c>
      <c r="P343">
        <v>60</v>
      </c>
      <c r="Q343">
        <v>4</v>
      </c>
      <c r="R343">
        <v>2</v>
      </c>
      <c r="S343">
        <v>7</v>
      </c>
      <c r="T343" t="s">
        <v>33</v>
      </c>
      <c r="U343" t="s">
        <v>33</v>
      </c>
      <c r="V343" t="s">
        <v>44</v>
      </c>
      <c r="W343" t="s">
        <v>34</v>
      </c>
      <c r="X343" t="s">
        <v>36</v>
      </c>
      <c r="Y343" t="s">
        <v>60</v>
      </c>
      <c r="Z343" t="str">
        <f>IF(Table1[[#This Row],[Age]]&lt;30,"20-29",IF(Table1[[#This Row],[Age]]&lt;40,"30-39",IF(Table1[[#This Row],[Age]]&lt;50,"40-49","50+")))</f>
        <v>50+</v>
      </c>
      <c r="AA343" t="str">
        <f>IF(Table1[[#This Row],[Salary]]&lt;20000000,"low",IF(Table1[[#This Row],[Salary]]&lt;40000000,"medium","high"))</f>
        <v>medium</v>
      </c>
      <c r="AB343">
        <f>YEAR(Table1[[#This Row],[Hire Date]])</f>
        <v>2019</v>
      </c>
      <c r="AC343" t="str">
        <f>TEXT(Table1[[#This Row],[Hire Date]],"mmmm")</f>
        <v>فوريه</v>
      </c>
      <c r="AD343" t="str">
        <f>IF(Table1[[#This Row],[Resigned]]="yes","former","active")</f>
        <v>former</v>
      </c>
    </row>
    <row r="344" spans="1:30" x14ac:dyDescent="0.3">
      <c r="A344" t="s">
        <v>753</v>
      </c>
      <c r="B344" t="s">
        <v>754</v>
      </c>
      <c r="C344" t="s">
        <v>39</v>
      </c>
      <c r="D344">
        <v>44</v>
      </c>
      <c r="E344" t="s">
        <v>28</v>
      </c>
      <c r="F344" t="s">
        <v>80</v>
      </c>
      <c r="G344" t="s">
        <v>58</v>
      </c>
      <c r="H344" t="s">
        <v>42</v>
      </c>
      <c r="I344" t="s">
        <v>65</v>
      </c>
      <c r="J344" s="1">
        <v>44996</v>
      </c>
      <c r="K344">
        <v>3</v>
      </c>
      <c r="L344">
        <v>33989321</v>
      </c>
      <c r="M344">
        <v>3326163</v>
      </c>
      <c r="N344" t="s">
        <v>33</v>
      </c>
      <c r="O344">
        <v>3.75</v>
      </c>
      <c r="P344">
        <v>22</v>
      </c>
      <c r="Q344">
        <v>2</v>
      </c>
      <c r="R344">
        <v>5</v>
      </c>
      <c r="S344">
        <v>3</v>
      </c>
      <c r="T344" t="s">
        <v>34</v>
      </c>
      <c r="U344" t="s">
        <v>34</v>
      </c>
      <c r="V344" t="s">
        <v>44</v>
      </c>
      <c r="W344" t="s">
        <v>33</v>
      </c>
      <c r="X344" t="s">
        <v>45</v>
      </c>
      <c r="Z344" t="str">
        <f>IF(Table1[[#This Row],[Age]]&lt;30,"20-29",IF(Table1[[#This Row],[Age]]&lt;40,"30-39",IF(Table1[[#This Row],[Age]]&lt;50,"40-49","50+")))</f>
        <v>40-49</v>
      </c>
      <c r="AA344" t="str">
        <f>IF(Table1[[#This Row],[Salary]]&lt;20000000,"low",IF(Table1[[#This Row],[Salary]]&lt;40000000,"medium","high"))</f>
        <v>medium</v>
      </c>
      <c r="AB344">
        <f>YEAR(Table1[[#This Row],[Hire Date]])</f>
        <v>2023</v>
      </c>
      <c r="AC344" t="str">
        <f>TEXT(Table1[[#This Row],[Hire Date]],"mmmm")</f>
        <v>مارس</v>
      </c>
      <c r="AD344" t="str">
        <f>IF(Table1[[#This Row],[Resigned]]="yes","former","active")</f>
        <v>active</v>
      </c>
    </row>
    <row r="345" spans="1:30" x14ac:dyDescent="0.3">
      <c r="A345" t="s">
        <v>755</v>
      </c>
      <c r="B345" t="s">
        <v>756</v>
      </c>
      <c r="C345" t="s">
        <v>39</v>
      </c>
      <c r="D345">
        <v>31</v>
      </c>
      <c r="E345" t="s">
        <v>110</v>
      </c>
      <c r="F345" t="s">
        <v>111</v>
      </c>
      <c r="G345" t="s">
        <v>30</v>
      </c>
      <c r="H345" t="s">
        <v>42</v>
      </c>
      <c r="I345" t="s">
        <v>32</v>
      </c>
      <c r="J345" s="1">
        <v>45252</v>
      </c>
      <c r="K345">
        <v>3</v>
      </c>
      <c r="L345">
        <v>51851239</v>
      </c>
      <c r="M345">
        <v>79807</v>
      </c>
      <c r="N345" t="s">
        <v>34</v>
      </c>
      <c r="O345">
        <v>3.16</v>
      </c>
      <c r="P345">
        <v>72</v>
      </c>
      <c r="Q345">
        <v>5</v>
      </c>
      <c r="R345">
        <v>4</v>
      </c>
      <c r="S345">
        <v>4</v>
      </c>
      <c r="T345" t="s">
        <v>34</v>
      </c>
      <c r="U345" t="s">
        <v>34</v>
      </c>
      <c r="V345" t="s">
        <v>51</v>
      </c>
      <c r="W345" t="s">
        <v>33</v>
      </c>
      <c r="X345" t="s">
        <v>45</v>
      </c>
      <c r="Z345" t="str">
        <f>IF(Table1[[#This Row],[Age]]&lt;30,"20-29",IF(Table1[[#This Row],[Age]]&lt;40,"30-39",IF(Table1[[#This Row],[Age]]&lt;50,"40-49","50+")))</f>
        <v>30-39</v>
      </c>
      <c r="AA345" t="str">
        <f>IF(Table1[[#This Row],[Salary]]&lt;20000000,"low",IF(Table1[[#This Row],[Salary]]&lt;40000000,"medium","high"))</f>
        <v>high</v>
      </c>
      <c r="AB345">
        <f>YEAR(Table1[[#This Row],[Hire Date]])</f>
        <v>2023</v>
      </c>
      <c r="AC345" t="str">
        <f>TEXT(Table1[[#This Row],[Hire Date]],"mmmm")</f>
        <v>نوامبر</v>
      </c>
      <c r="AD345" t="str">
        <f>IF(Table1[[#This Row],[Resigned]]="yes","former","active")</f>
        <v>active</v>
      </c>
    </row>
    <row r="346" spans="1:30" x14ac:dyDescent="0.3">
      <c r="A346" t="s">
        <v>757</v>
      </c>
      <c r="B346" t="s">
        <v>758</v>
      </c>
      <c r="C346" t="s">
        <v>39</v>
      </c>
      <c r="D346">
        <v>26</v>
      </c>
      <c r="E346" t="s">
        <v>73</v>
      </c>
      <c r="F346" t="s">
        <v>127</v>
      </c>
      <c r="G346" t="s">
        <v>30</v>
      </c>
      <c r="H346" t="s">
        <v>42</v>
      </c>
      <c r="I346" t="s">
        <v>81</v>
      </c>
      <c r="J346" s="1">
        <v>45542</v>
      </c>
      <c r="K346">
        <v>2</v>
      </c>
      <c r="L346">
        <v>23347295</v>
      </c>
      <c r="M346">
        <v>4996332</v>
      </c>
      <c r="N346" t="s">
        <v>34</v>
      </c>
      <c r="O346">
        <v>3.41</v>
      </c>
      <c r="P346">
        <v>68</v>
      </c>
      <c r="Q346">
        <v>4</v>
      </c>
      <c r="R346">
        <v>4</v>
      </c>
      <c r="S346">
        <v>1</v>
      </c>
      <c r="T346" t="s">
        <v>34</v>
      </c>
      <c r="U346" t="s">
        <v>34</v>
      </c>
      <c r="V346" t="s">
        <v>70</v>
      </c>
      <c r="W346" t="s">
        <v>34</v>
      </c>
      <c r="X346" t="s">
        <v>45</v>
      </c>
      <c r="Z346" t="str">
        <f>IF(Table1[[#This Row],[Age]]&lt;30,"20-29",IF(Table1[[#This Row],[Age]]&lt;40,"30-39",IF(Table1[[#This Row],[Age]]&lt;50,"40-49","50+")))</f>
        <v>20-29</v>
      </c>
      <c r="AA346" t="str">
        <f>IF(Table1[[#This Row],[Salary]]&lt;20000000,"low",IF(Table1[[#This Row],[Salary]]&lt;40000000,"medium","high"))</f>
        <v>medium</v>
      </c>
      <c r="AB346">
        <f>YEAR(Table1[[#This Row],[Hire Date]])</f>
        <v>2024</v>
      </c>
      <c r="AC346" t="str">
        <f>TEXT(Table1[[#This Row],[Hire Date]],"mmmm")</f>
        <v>سپتامبر</v>
      </c>
      <c r="AD346" t="str">
        <f>IF(Table1[[#This Row],[Resigned]]="yes","former","active")</f>
        <v>active</v>
      </c>
    </row>
    <row r="347" spans="1:30" x14ac:dyDescent="0.3">
      <c r="A347" t="s">
        <v>759</v>
      </c>
      <c r="B347" t="s">
        <v>760</v>
      </c>
      <c r="C347" t="s">
        <v>39</v>
      </c>
      <c r="D347">
        <v>49</v>
      </c>
      <c r="E347" t="s">
        <v>56</v>
      </c>
      <c r="F347" t="s">
        <v>57</v>
      </c>
      <c r="G347" t="s">
        <v>49</v>
      </c>
      <c r="H347" t="s">
        <v>31</v>
      </c>
      <c r="I347" t="s">
        <v>50</v>
      </c>
      <c r="J347" s="1">
        <v>45712</v>
      </c>
      <c r="K347">
        <v>1</v>
      </c>
      <c r="L347">
        <v>24361094</v>
      </c>
      <c r="M347">
        <v>4377066</v>
      </c>
      <c r="N347" t="s">
        <v>34</v>
      </c>
      <c r="O347">
        <v>3.37</v>
      </c>
      <c r="P347">
        <v>31</v>
      </c>
      <c r="Q347">
        <v>5</v>
      </c>
      <c r="R347">
        <v>3</v>
      </c>
      <c r="S347">
        <v>20</v>
      </c>
      <c r="T347" t="s">
        <v>34</v>
      </c>
      <c r="U347" t="s">
        <v>34</v>
      </c>
      <c r="V347" t="s">
        <v>51</v>
      </c>
      <c r="W347" t="s">
        <v>34</v>
      </c>
      <c r="X347" t="s">
        <v>52</v>
      </c>
      <c r="Z347" t="str">
        <f>IF(Table1[[#This Row],[Age]]&lt;30,"20-29",IF(Table1[[#This Row],[Age]]&lt;40,"30-39",IF(Table1[[#This Row],[Age]]&lt;50,"40-49","50+")))</f>
        <v>40-49</v>
      </c>
      <c r="AA347" t="str">
        <f>IF(Table1[[#This Row],[Salary]]&lt;20000000,"low",IF(Table1[[#This Row],[Salary]]&lt;40000000,"medium","high"))</f>
        <v>medium</v>
      </c>
      <c r="AB347">
        <f>YEAR(Table1[[#This Row],[Hire Date]])</f>
        <v>2025</v>
      </c>
      <c r="AC347" t="str">
        <f>TEXT(Table1[[#This Row],[Hire Date]],"mmmm")</f>
        <v>فوريه</v>
      </c>
      <c r="AD347" t="str">
        <f>IF(Table1[[#This Row],[Resigned]]="yes","former","active")</f>
        <v>active</v>
      </c>
    </row>
    <row r="348" spans="1:30" x14ac:dyDescent="0.3">
      <c r="A348" t="s">
        <v>761</v>
      </c>
      <c r="B348" t="s">
        <v>762</v>
      </c>
      <c r="C348" t="s">
        <v>27</v>
      </c>
      <c r="D348">
        <v>37</v>
      </c>
      <c r="E348" t="s">
        <v>73</v>
      </c>
      <c r="F348" t="s">
        <v>127</v>
      </c>
      <c r="G348" t="s">
        <v>30</v>
      </c>
      <c r="H348" t="s">
        <v>31</v>
      </c>
      <c r="I348" t="s">
        <v>43</v>
      </c>
      <c r="J348" s="1">
        <v>44928</v>
      </c>
      <c r="K348">
        <v>3</v>
      </c>
      <c r="L348">
        <v>12278249</v>
      </c>
      <c r="M348">
        <v>7103164</v>
      </c>
      <c r="N348" t="s">
        <v>34</v>
      </c>
      <c r="O348">
        <v>4.92</v>
      </c>
      <c r="P348">
        <v>16</v>
      </c>
      <c r="Q348">
        <v>3</v>
      </c>
      <c r="R348">
        <v>3</v>
      </c>
      <c r="S348">
        <v>16</v>
      </c>
      <c r="T348" t="s">
        <v>34</v>
      </c>
      <c r="U348" t="s">
        <v>34</v>
      </c>
      <c r="V348" t="s">
        <v>44</v>
      </c>
      <c r="W348" t="s">
        <v>33</v>
      </c>
      <c r="X348" t="s">
        <v>36</v>
      </c>
      <c r="Z348" t="str">
        <f>IF(Table1[[#This Row],[Age]]&lt;30,"20-29",IF(Table1[[#This Row],[Age]]&lt;40,"30-39",IF(Table1[[#This Row],[Age]]&lt;50,"40-49","50+")))</f>
        <v>30-39</v>
      </c>
      <c r="AA348" t="str">
        <f>IF(Table1[[#This Row],[Salary]]&lt;20000000,"low",IF(Table1[[#This Row],[Salary]]&lt;40000000,"medium","high"))</f>
        <v>low</v>
      </c>
      <c r="AB348">
        <f>YEAR(Table1[[#This Row],[Hire Date]])</f>
        <v>2023</v>
      </c>
      <c r="AC348" t="str">
        <f>TEXT(Table1[[#This Row],[Hire Date]],"mmmm")</f>
        <v>ژانويه</v>
      </c>
      <c r="AD348" t="str">
        <f>IF(Table1[[#This Row],[Resigned]]="yes","former","active")</f>
        <v>active</v>
      </c>
    </row>
    <row r="349" spans="1:30" x14ac:dyDescent="0.3">
      <c r="A349" t="s">
        <v>763</v>
      </c>
      <c r="B349" t="s">
        <v>764</v>
      </c>
      <c r="C349" t="s">
        <v>27</v>
      </c>
      <c r="D349">
        <v>25</v>
      </c>
      <c r="E349" t="s">
        <v>110</v>
      </c>
      <c r="F349" t="s">
        <v>120</v>
      </c>
      <c r="G349" t="s">
        <v>49</v>
      </c>
      <c r="H349" t="s">
        <v>31</v>
      </c>
      <c r="I349" t="s">
        <v>32</v>
      </c>
      <c r="J349" s="1">
        <v>43797</v>
      </c>
      <c r="K349">
        <v>7</v>
      </c>
      <c r="L349">
        <v>18079222</v>
      </c>
      <c r="M349">
        <v>9612493</v>
      </c>
      <c r="N349" t="s">
        <v>33</v>
      </c>
      <c r="O349">
        <v>3.02</v>
      </c>
      <c r="P349">
        <v>78</v>
      </c>
      <c r="Q349">
        <v>2</v>
      </c>
      <c r="R349">
        <v>2</v>
      </c>
      <c r="S349">
        <v>11</v>
      </c>
      <c r="T349" t="s">
        <v>34</v>
      </c>
      <c r="U349" t="s">
        <v>34</v>
      </c>
      <c r="V349" t="s">
        <v>70</v>
      </c>
      <c r="W349" t="s">
        <v>33</v>
      </c>
      <c r="X349" t="s">
        <v>45</v>
      </c>
      <c r="Z349" t="str">
        <f>IF(Table1[[#This Row],[Age]]&lt;30,"20-29",IF(Table1[[#This Row],[Age]]&lt;40,"30-39",IF(Table1[[#This Row],[Age]]&lt;50,"40-49","50+")))</f>
        <v>20-29</v>
      </c>
      <c r="AA349" t="str">
        <f>IF(Table1[[#This Row],[Salary]]&lt;20000000,"low",IF(Table1[[#This Row],[Salary]]&lt;40000000,"medium","high"))</f>
        <v>low</v>
      </c>
      <c r="AB349">
        <f>YEAR(Table1[[#This Row],[Hire Date]])</f>
        <v>2019</v>
      </c>
      <c r="AC349" t="str">
        <f>TEXT(Table1[[#This Row],[Hire Date]],"mmmm")</f>
        <v>نوامبر</v>
      </c>
      <c r="AD349" t="str">
        <f>IF(Table1[[#This Row],[Resigned]]="yes","former","active")</f>
        <v>active</v>
      </c>
    </row>
    <row r="350" spans="1:30" x14ac:dyDescent="0.3">
      <c r="A350" t="s">
        <v>765</v>
      </c>
      <c r="B350" t="s">
        <v>766</v>
      </c>
      <c r="C350" t="s">
        <v>27</v>
      </c>
      <c r="D350">
        <v>35</v>
      </c>
      <c r="E350" t="s">
        <v>28</v>
      </c>
      <c r="F350" t="s">
        <v>29</v>
      </c>
      <c r="G350" t="s">
        <v>58</v>
      </c>
      <c r="H350" t="s">
        <v>42</v>
      </c>
      <c r="I350" t="s">
        <v>81</v>
      </c>
      <c r="J350" s="1">
        <v>43230</v>
      </c>
      <c r="K350">
        <v>8</v>
      </c>
      <c r="L350">
        <v>18816389</v>
      </c>
      <c r="M350">
        <v>6486291</v>
      </c>
      <c r="N350" t="s">
        <v>34</v>
      </c>
      <c r="O350">
        <v>4.13</v>
      </c>
      <c r="P350">
        <v>70</v>
      </c>
      <c r="Q350">
        <v>5</v>
      </c>
      <c r="R350">
        <v>2</v>
      </c>
      <c r="S350">
        <v>12</v>
      </c>
      <c r="T350" t="s">
        <v>34</v>
      </c>
      <c r="U350" t="s">
        <v>34</v>
      </c>
      <c r="V350" t="s">
        <v>44</v>
      </c>
      <c r="W350" t="s">
        <v>34</v>
      </c>
      <c r="X350" t="s">
        <v>36</v>
      </c>
      <c r="Z350" t="str">
        <f>IF(Table1[[#This Row],[Age]]&lt;30,"20-29",IF(Table1[[#This Row],[Age]]&lt;40,"30-39",IF(Table1[[#This Row],[Age]]&lt;50,"40-49","50+")))</f>
        <v>30-39</v>
      </c>
      <c r="AA350" t="str">
        <f>IF(Table1[[#This Row],[Salary]]&lt;20000000,"low",IF(Table1[[#This Row],[Salary]]&lt;40000000,"medium","high"))</f>
        <v>low</v>
      </c>
      <c r="AB350">
        <f>YEAR(Table1[[#This Row],[Hire Date]])</f>
        <v>2018</v>
      </c>
      <c r="AC350" t="str">
        <f>TEXT(Table1[[#This Row],[Hire Date]],"mmmm")</f>
        <v>مه</v>
      </c>
      <c r="AD350" t="str">
        <f>IF(Table1[[#This Row],[Resigned]]="yes","former","active")</f>
        <v>active</v>
      </c>
    </row>
    <row r="351" spans="1:30" x14ac:dyDescent="0.3">
      <c r="A351" t="s">
        <v>767</v>
      </c>
      <c r="B351" t="s">
        <v>768</v>
      </c>
      <c r="C351" t="s">
        <v>27</v>
      </c>
      <c r="D351">
        <v>48</v>
      </c>
      <c r="E351" t="s">
        <v>63</v>
      </c>
      <c r="F351" t="s">
        <v>93</v>
      </c>
      <c r="G351" t="s">
        <v>49</v>
      </c>
      <c r="H351" t="s">
        <v>42</v>
      </c>
      <c r="I351" t="s">
        <v>81</v>
      </c>
      <c r="J351" s="1">
        <v>45407</v>
      </c>
      <c r="K351">
        <v>2</v>
      </c>
      <c r="L351">
        <v>52197269</v>
      </c>
      <c r="M351">
        <v>8720518</v>
      </c>
      <c r="N351" t="s">
        <v>33</v>
      </c>
      <c r="O351">
        <v>3.07</v>
      </c>
      <c r="P351">
        <v>59</v>
      </c>
      <c r="Q351">
        <v>3</v>
      </c>
      <c r="R351">
        <v>2</v>
      </c>
      <c r="S351">
        <v>0</v>
      </c>
      <c r="T351" t="s">
        <v>33</v>
      </c>
      <c r="U351" t="s">
        <v>34</v>
      </c>
      <c r="V351" t="s">
        <v>35</v>
      </c>
      <c r="W351" t="s">
        <v>34</v>
      </c>
      <c r="X351" t="s">
        <v>52</v>
      </c>
      <c r="Z351" t="str">
        <f>IF(Table1[[#This Row],[Age]]&lt;30,"20-29",IF(Table1[[#This Row],[Age]]&lt;40,"30-39",IF(Table1[[#This Row],[Age]]&lt;50,"40-49","50+")))</f>
        <v>40-49</v>
      </c>
      <c r="AA351" t="str">
        <f>IF(Table1[[#This Row],[Salary]]&lt;20000000,"low",IF(Table1[[#This Row],[Salary]]&lt;40000000,"medium","high"))</f>
        <v>high</v>
      </c>
      <c r="AB351">
        <f>YEAR(Table1[[#This Row],[Hire Date]])</f>
        <v>2024</v>
      </c>
      <c r="AC351" t="str">
        <f>TEXT(Table1[[#This Row],[Hire Date]],"mmmm")</f>
        <v>آوريل</v>
      </c>
      <c r="AD351" t="str">
        <f>IF(Table1[[#This Row],[Resigned]]="yes","former","active")</f>
        <v>active</v>
      </c>
    </row>
    <row r="352" spans="1:30" x14ac:dyDescent="0.3">
      <c r="A352" t="s">
        <v>769</v>
      </c>
      <c r="B352" t="s">
        <v>770</v>
      </c>
      <c r="C352" t="s">
        <v>39</v>
      </c>
      <c r="D352">
        <v>41</v>
      </c>
      <c r="E352" t="s">
        <v>63</v>
      </c>
      <c r="F352" t="s">
        <v>64</v>
      </c>
      <c r="G352" t="s">
        <v>30</v>
      </c>
      <c r="H352" t="s">
        <v>42</v>
      </c>
      <c r="I352" t="s">
        <v>32</v>
      </c>
      <c r="J352" s="1">
        <v>45242</v>
      </c>
      <c r="K352">
        <v>3</v>
      </c>
      <c r="L352">
        <v>39102407</v>
      </c>
      <c r="M352">
        <v>3868869</v>
      </c>
      <c r="N352" t="s">
        <v>33</v>
      </c>
      <c r="O352">
        <v>2.84</v>
      </c>
      <c r="P352">
        <v>58</v>
      </c>
      <c r="Q352">
        <v>1</v>
      </c>
      <c r="R352">
        <v>1</v>
      </c>
      <c r="S352">
        <v>13</v>
      </c>
      <c r="T352" t="s">
        <v>34</v>
      </c>
      <c r="U352" t="s">
        <v>34</v>
      </c>
      <c r="V352" t="s">
        <v>35</v>
      </c>
      <c r="W352" t="s">
        <v>34</v>
      </c>
      <c r="X352" t="s">
        <v>45</v>
      </c>
      <c r="Z352" t="str">
        <f>IF(Table1[[#This Row],[Age]]&lt;30,"20-29",IF(Table1[[#This Row],[Age]]&lt;40,"30-39",IF(Table1[[#This Row],[Age]]&lt;50,"40-49","50+")))</f>
        <v>40-49</v>
      </c>
      <c r="AA352" t="str">
        <f>IF(Table1[[#This Row],[Salary]]&lt;20000000,"low",IF(Table1[[#This Row],[Salary]]&lt;40000000,"medium","high"))</f>
        <v>medium</v>
      </c>
      <c r="AB352">
        <f>YEAR(Table1[[#This Row],[Hire Date]])</f>
        <v>2023</v>
      </c>
      <c r="AC352" t="str">
        <f>TEXT(Table1[[#This Row],[Hire Date]],"mmmm")</f>
        <v>نوامبر</v>
      </c>
      <c r="AD352" t="str">
        <f>IF(Table1[[#This Row],[Resigned]]="yes","former","active")</f>
        <v>active</v>
      </c>
    </row>
    <row r="353" spans="1:30" x14ac:dyDescent="0.3">
      <c r="A353" t="s">
        <v>771</v>
      </c>
      <c r="B353" t="s">
        <v>772</v>
      </c>
      <c r="C353" t="s">
        <v>27</v>
      </c>
      <c r="D353">
        <v>45</v>
      </c>
      <c r="E353" t="s">
        <v>110</v>
      </c>
      <c r="F353" t="s">
        <v>111</v>
      </c>
      <c r="G353" t="s">
        <v>30</v>
      </c>
      <c r="H353" t="s">
        <v>31</v>
      </c>
      <c r="I353" t="s">
        <v>32</v>
      </c>
      <c r="J353" s="1">
        <v>43840</v>
      </c>
      <c r="K353">
        <v>6</v>
      </c>
      <c r="L353">
        <v>12739192</v>
      </c>
      <c r="M353">
        <v>6794375</v>
      </c>
      <c r="N353" t="s">
        <v>34</v>
      </c>
      <c r="O353">
        <v>3.66</v>
      </c>
      <c r="P353">
        <v>13</v>
      </c>
      <c r="Q353">
        <v>5</v>
      </c>
      <c r="R353">
        <v>2</v>
      </c>
      <c r="S353">
        <v>5</v>
      </c>
      <c r="T353" t="s">
        <v>34</v>
      </c>
      <c r="U353" t="s">
        <v>34</v>
      </c>
      <c r="V353" t="s">
        <v>59</v>
      </c>
      <c r="W353" t="s">
        <v>34</v>
      </c>
      <c r="X353" t="s">
        <v>36</v>
      </c>
      <c r="Z353" t="str">
        <f>IF(Table1[[#This Row],[Age]]&lt;30,"20-29",IF(Table1[[#This Row],[Age]]&lt;40,"30-39",IF(Table1[[#This Row],[Age]]&lt;50,"40-49","50+")))</f>
        <v>40-49</v>
      </c>
      <c r="AA353" t="str">
        <f>IF(Table1[[#This Row],[Salary]]&lt;20000000,"low",IF(Table1[[#This Row],[Salary]]&lt;40000000,"medium","high"))</f>
        <v>low</v>
      </c>
      <c r="AB353">
        <f>YEAR(Table1[[#This Row],[Hire Date]])</f>
        <v>2020</v>
      </c>
      <c r="AC353" t="str">
        <f>TEXT(Table1[[#This Row],[Hire Date]],"mmmm")</f>
        <v>ژانويه</v>
      </c>
      <c r="AD353" t="str">
        <f>IF(Table1[[#This Row],[Resigned]]="yes","former","active")</f>
        <v>active</v>
      </c>
    </row>
    <row r="354" spans="1:30" x14ac:dyDescent="0.3">
      <c r="A354" t="s">
        <v>773</v>
      </c>
      <c r="B354" t="s">
        <v>774</v>
      </c>
      <c r="C354" t="s">
        <v>39</v>
      </c>
      <c r="D354">
        <v>36</v>
      </c>
      <c r="E354" t="s">
        <v>73</v>
      </c>
      <c r="F354" t="s">
        <v>74</v>
      </c>
      <c r="G354" t="s">
        <v>30</v>
      </c>
      <c r="H354" t="s">
        <v>42</v>
      </c>
      <c r="I354" t="s">
        <v>32</v>
      </c>
      <c r="J354" s="1">
        <v>44900</v>
      </c>
      <c r="K354">
        <v>4</v>
      </c>
      <c r="L354">
        <v>43084384</v>
      </c>
      <c r="M354">
        <v>4017049</v>
      </c>
      <c r="N354" t="s">
        <v>33</v>
      </c>
      <c r="O354">
        <v>4.67</v>
      </c>
      <c r="P354">
        <v>18</v>
      </c>
      <c r="Q354">
        <v>5</v>
      </c>
      <c r="R354">
        <v>1</v>
      </c>
      <c r="S354">
        <v>8</v>
      </c>
      <c r="T354" t="s">
        <v>33</v>
      </c>
      <c r="U354" t="s">
        <v>34</v>
      </c>
      <c r="V354" t="s">
        <v>70</v>
      </c>
      <c r="W354" t="s">
        <v>33</v>
      </c>
      <c r="X354" t="s">
        <v>36</v>
      </c>
      <c r="Z354" t="str">
        <f>IF(Table1[[#This Row],[Age]]&lt;30,"20-29",IF(Table1[[#This Row],[Age]]&lt;40,"30-39",IF(Table1[[#This Row],[Age]]&lt;50,"40-49","50+")))</f>
        <v>30-39</v>
      </c>
      <c r="AA354" t="str">
        <f>IF(Table1[[#This Row],[Salary]]&lt;20000000,"low",IF(Table1[[#This Row],[Salary]]&lt;40000000,"medium","high"))</f>
        <v>high</v>
      </c>
      <c r="AB354">
        <f>YEAR(Table1[[#This Row],[Hire Date]])</f>
        <v>2022</v>
      </c>
      <c r="AC354" t="str">
        <f>TEXT(Table1[[#This Row],[Hire Date]],"mmmm")</f>
        <v>دسامبر</v>
      </c>
      <c r="AD354" t="str">
        <f>IF(Table1[[#This Row],[Resigned]]="yes","former","active")</f>
        <v>active</v>
      </c>
    </row>
    <row r="355" spans="1:30" x14ac:dyDescent="0.3">
      <c r="A355" t="s">
        <v>775</v>
      </c>
      <c r="B355" t="s">
        <v>776</v>
      </c>
      <c r="C355" t="s">
        <v>27</v>
      </c>
      <c r="D355">
        <v>43</v>
      </c>
      <c r="E355" t="s">
        <v>73</v>
      </c>
      <c r="F355" t="s">
        <v>74</v>
      </c>
      <c r="G355" t="s">
        <v>30</v>
      </c>
      <c r="H355" t="s">
        <v>42</v>
      </c>
      <c r="I355" t="s">
        <v>81</v>
      </c>
      <c r="J355" s="1">
        <v>43087</v>
      </c>
      <c r="K355">
        <v>9</v>
      </c>
      <c r="L355">
        <v>51219439</v>
      </c>
      <c r="M355">
        <v>5423031</v>
      </c>
      <c r="N355" t="s">
        <v>34</v>
      </c>
      <c r="O355">
        <v>3.84</v>
      </c>
      <c r="P355">
        <v>55</v>
      </c>
      <c r="Q355">
        <v>2</v>
      </c>
      <c r="R355">
        <v>4</v>
      </c>
      <c r="S355">
        <v>20</v>
      </c>
      <c r="T355" t="s">
        <v>34</v>
      </c>
      <c r="U355" t="s">
        <v>34</v>
      </c>
      <c r="V355" t="s">
        <v>51</v>
      </c>
      <c r="W355" t="s">
        <v>33</v>
      </c>
      <c r="X355" t="s">
        <v>45</v>
      </c>
      <c r="Z355" t="str">
        <f>IF(Table1[[#This Row],[Age]]&lt;30,"20-29",IF(Table1[[#This Row],[Age]]&lt;40,"30-39",IF(Table1[[#This Row],[Age]]&lt;50,"40-49","50+")))</f>
        <v>40-49</v>
      </c>
      <c r="AA355" t="str">
        <f>IF(Table1[[#This Row],[Salary]]&lt;20000000,"low",IF(Table1[[#This Row],[Salary]]&lt;40000000,"medium","high"))</f>
        <v>high</v>
      </c>
      <c r="AB355">
        <f>YEAR(Table1[[#This Row],[Hire Date]])</f>
        <v>2017</v>
      </c>
      <c r="AC355" t="str">
        <f>TEXT(Table1[[#This Row],[Hire Date]],"mmmm")</f>
        <v>دسامبر</v>
      </c>
      <c r="AD355" t="str">
        <f>IF(Table1[[#This Row],[Resigned]]="yes","former","active")</f>
        <v>active</v>
      </c>
    </row>
    <row r="356" spans="1:30" x14ac:dyDescent="0.3">
      <c r="A356" t="s">
        <v>777</v>
      </c>
      <c r="B356" t="s">
        <v>778</v>
      </c>
      <c r="C356" t="s">
        <v>39</v>
      </c>
      <c r="D356">
        <v>37</v>
      </c>
      <c r="E356" t="s">
        <v>110</v>
      </c>
      <c r="F356" t="s">
        <v>111</v>
      </c>
      <c r="G356" t="s">
        <v>30</v>
      </c>
      <c r="H356" t="s">
        <v>42</v>
      </c>
      <c r="I356" t="s">
        <v>65</v>
      </c>
      <c r="J356" s="1">
        <v>42460</v>
      </c>
      <c r="K356">
        <v>10</v>
      </c>
      <c r="L356">
        <v>24269879</v>
      </c>
      <c r="M356">
        <v>8497497</v>
      </c>
      <c r="N356" t="s">
        <v>33</v>
      </c>
      <c r="O356">
        <v>3.03</v>
      </c>
      <c r="P356">
        <v>4</v>
      </c>
      <c r="Q356">
        <v>4</v>
      </c>
      <c r="R356">
        <v>2</v>
      </c>
      <c r="S356">
        <v>17</v>
      </c>
      <c r="T356" t="s">
        <v>33</v>
      </c>
      <c r="U356" t="s">
        <v>34</v>
      </c>
      <c r="V356" t="s">
        <v>35</v>
      </c>
      <c r="W356" t="s">
        <v>34</v>
      </c>
      <c r="X356" t="s">
        <v>45</v>
      </c>
      <c r="Z356" t="str">
        <f>IF(Table1[[#This Row],[Age]]&lt;30,"20-29",IF(Table1[[#This Row],[Age]]&lt;40,"30-39",IF(Table1[[#This Row],[Age]]&lt;50,"40-49","50+")))</f>
        <v>30-39</v>
      </c>
      <c r="AA356" t="str">
        <f>IF(Table1[[#This Row],[Salary]]&lt;20000000,"low",IF(Table1[[#This Row],[Salary]]&lt;40000000,"medium","high"))</f>
        <v>medium</v>
      </c>
      <c r="AB356">
        <f>YEAR(Table1[[#This Row],[Hire Date]])</f>
        <v>2016</v>
      </c>
      <c r="AC356" t="str">
        <f>TEXT(Table1[[#This Row],[Hire Date]],"mmmm")</f>
        <v>مارس</v>
      </c>
      <c r="AD356" t="str">
        <f>IF(Table1[[#This Row],[Resigned]]="yes","former","active")</f>
        <v>active</v>
      </c>
    </row>
    <row r="357" spans="1:30" x14ac:dyDescent="0.3">
      <c r="A357" t="s">
        <v>779</v>
      </c>
      <c r="B357" t="s">
        <v>780</v>
      </c>
      <c r="C357" t="s">
        <v>39</v>
      </c>
      <c r="D357">
        <v>41</v>
      </c>
      <c r="E357" t="s">
        <v>63</v>
      </c>
      <c r="F357" t="s">
        <v>93</v>
      </c>
      <c r="G357" t="s">
        <v>49</v>
      </c>
      <c r="H357" t="s">
        <v>31</v>
      </c>
      <c r="I357" t="s">
        <v>65</v>
      </c>
      <c r="J357" s="1">
        <v>44680</v>
      </c>
      <c r="K357">
        <v>4</v>
      </c>
      <c r="L357">
        <v>18342802</v>
      </c>
      <c r="M357">
        <v>2762714</v>
      </c>
      <c r="N357" t="s">
        <v>34</v>
      </c>
      <c r="O357">
        <v>2.94</v>
      </c>
      <c r="P357">
        <v>72</v>
      </c>
      <c r="Q357">
        <v>3</v>
      </c>
      <c r="R357">
        <v>1</v>
      </c>
      <c r="S357">
        <v>1</v>
      </c>
      <c r="T357" t="s">
        <v>34</v>
      </c>
      <c r="U357" t="s">
        <v>34</v>
      </c>
      <c r="V357" t="s">
        <v>70</v>
      </c>
      <c r="W357" t="s">
        <v>33</v>
      </c>
      <c r="X357" t="s">
        <v>45</v>
      </c>
      <c r="Z357" t="str">
        <f>IF(Table1[[#This Row],[Age]]&lt;30,"20-29",IF(Table1[[#This Row],[Age]]&lt;40,"30-39",IF(Table1[[#This Row],[Age]]&lt;50,"40-49","50+")))</f>
        <v>40-49</v>
      </c>
      <c r="AA357" t="str">
        <f>IF(Table1[[#This Row],[Salary]]&lt;20000000,"low",IF(Table1[[#This Row],[Salary]]&lt;40000000,"medium","high"))</f>
        <v>low</v>
      </c>
      <c r="AB357">
        <f>YEAR(Table1[[#This Row],[Hire Date]])</f>
        <v>2022</v>
      </c>
      <c r="AC357" t="str">
        <f>TEXT(Table1[[#This Row],[Hire Date]],"mmmm")</f>
        <v>آوريل</v>
      </c>
      <c r="AD357" t="str">
        <f>IF(Table1[[#This Row],[Resigned]]="yes","former","active")</f>
        <v>active</v>
      </c>
    </row>
    <row r="358" spans="1:30" x14ac:dyDescent="0.3">
      <c r="A358" t="s">
        <v>781</v>
      </c>
      <c r="B358" t="s">
        <v>782</v>
      </c>
      <c r="C358" t="s">
        <v>27</v>
      </c>
      <c r="D358">
        <v>36</v>
      </c>
      <c r="E358" t="s">
        <v>40</v>
      </c>
      <c r="F358" t="s">
        <v>48</v>
      </c>
      <c r="G358" t="s">
        <v>30</v>
      </c>
      <c r="H358" t="s">
        <v>31</v>
      </c>
      <c r="I358" t="s">
        <v>32</v>
      </c>
      <c r="J358" s="1">
        <v>42969</v>
      </c>
      <c r="K358">
        <v>9</v>
      </c>
      <c r="L358">
        <v>28515616</v>
      </c>
      <c r="M358">
        <v>6154089</v>
      </c>
      <c r="N358" t="s">
        <v>34</v>
      </c>
      <c r="O358">
        <v>4.6399999999999997</v>
      </c>
      <c r="P358">
        <v>15</v>
      </c>
      <c r="Q358">
        <v>3</v>
      </c>
      <c r="R358">
        <v>1</v>
      </c>
      <c r="S358">
        <v>20</v>
      </c>
      <c r="T358" t="s">
        <v>33</v>
      </c>
      <c r="U358" t="s">
        <v>34</v>
      </c>
      <c r="V358" t="s">
        <v>59</v>
      </c>
      <c r="W358" t="s">
        <v>34</v>
      </c>
      <c r="X358" t="s">
        <v>36</v>
      </c>
      <c r="Z358" t="str">
        <f>IF(Table1[[#This Row],[Age]]&lt;30,"20-29",IF(Table1[[#This Row],[Age]]&lt;40,"30-39",IF(Table1[[#This Row],[Age]]&lt;50,"40-49","50+")))</f>
        <v>30-39</v>
      </c>
      <c r="AA358" t="str">
        <f>IF(Table1[[#This Row],[Salary]]&lt;20000000,"low",IF(Table1[[#This Row],[Salary]]&lt;40000000,"medium","high"))</f>
        <v>medium</v>
      </c>
      <c r="AB358">
        <f>YEAR(Table1[[#This Row],[Hire Date]])</f>
        <v>2017</v>
      </c>
      <c r="AC358" t="str">
        <f>TEXT(Table1[[#This Row],[Hire Date]],"mmmm")</f>
        <v>اوت</v>
      </c>
      <c r="AD358" t="str">
        <f>IF(Table1[[#This Row],[Resigned]]="yes","former","active")</f>
        <v>active</v>
      </c>
    </row>
    <row r="359" spans="1:30" x14ac:dyDescent="0.3">
      <c r="A359" t="s">
        <v>783</v>
      </c>
      <c r="B359" t="s">
        <v>784</v>
      </c>
      <c r="C359" t="s">
        <v>39</v>
      </c>
      <c r="D359">
        <v>28</v>
      </c>
      <c r="E359" t="s">
        <v>56</v>
      </c>
      <c r="F359" t="s">
        <v>57</v>
      </c>
      <c r="G359" t="s">
        <v>30</v>
      </c>
      <c r="H359" t="s">
        <v>31</v>
      </c>
      <c r="I359" t="s">
        <v>65</v>
      </c>
      <c r="J359" s="1">
        <v>42732</v>
      </c>
      <c r="K359">
        <v>10</v>
      </c>
      <c r="L359">
        <v>13991237</v>
      </c>
      <c r="M359">
        <v>2857160</v>
      </c>
      <c r="N359" t="s">
        <v>33</v>
      </c>
      <c r="O359">
        <v>2.63</v>
      </c>
      <c r="P359">
        <v>77</v>
      </c>
      <c r="Q359">
        <v>2</v>
      </c>
      <c r="R359">
        <v>3</v>
      </c>
      <c r="S359">
        <v>5</v>
      </c>
      <c r="T359" t="s">
        <v>34</v>
      </c>
      <c r="U359" t="s">
        <v>34</v>
      </c>
      <c r="V359" t="s">
        <v>44</v>
      </c>
      <c r="W359" t="s">
        <v>33</v>
      </c>
      <c r="X359" t="s">
        <v>45</v>
      </c>
      <c r="Z359" t="str">
        <f>IF(Table1[[#This Row],[Age]]&lt;30,"20-29",IF(Table1[[#This Row],[Age]]&lt;40,"30-39",IF(Table1[[#This Row],[Age]]&lt;50,"40-49","50+")))</f>
        <v>20-29</v>
      </c>
      <c r="AA359" t="str">
        <f>IF(Table1[[#This Row],[Salary]]&lt;20000000,"low",IF(Table1[[#This Row],[Salary]]&lt;40000000,"medium","high"))</f>
        <v>low</v>
      </c>
      <c r="AB359">
        <f>YEAR(Table1[[#This Row],[Hire Date]])</f>
        <v>2016</v>
      </c>
      <c r="AC359" t="str">
        <f>TEXT(Table1[[#This Row],[Hire Date]],"mmmm")</f>
        <v>دسامبر</v>
      </c>
      <c r="AD359" t="str">
        <f>IF(Table1[[#This Row],[Resigned]]="yes","former","active")</f>
        <v>active</v>
      </c>
    </row>
    <row r="360" spans="1:30" x14ac:dyDescent="0.3">
      <c r="A360" t="s">
        <v>785</v>
      </c>
      <c r="B360" t="s">
        <v>786</v>
      </c>
      <c r="C360" t="s">
        <v>27</v>
      </c>
      <c r="D360">
        <v>26</v>
      </c>
      <c r="E360" t="s">
        <v>73</v>
      </c>
      <c r="F360" t="s">
        <v>74</v>
      </c>
      <c r="G360" t="s">
        <v>30</v>
      </c>
      <c r="H360" t="s">
        <v>31</v>
      </c>
      <c r="I360" t="s">
        <v>43</v>
      </c>
      <c r="J360" s="1">
        <v>44692</v>
      </c>
      <c r="K360">
        <v>4</v>
      </c>
      <c r="L360">
        <v>32097806</v>
      </c>
      <c r="M360">
        <v>2946216</v>
      </c>
      <c r="N360" t="s">
        <v>33</v>
      </c>
      <c r="O360">
        <v>4.5999999999999996</v>
      </c>
      <c r="P360">
        <v>31</v>
      </c>
      <c r="Q360">
        <v>4</v>
      </c>
      <c r="R360">
        <v>5</v>
      </c>
      <c r="S360">
        <v>20</v>
      </c>
      <c r="T360" t="s">
        <v>34</v>
      </c>
      <c r="U360" t="s">
        <v>33</v>
      </c>
      <c r="V360" t="s">
        <v>70</v>
      </c>
      <c r="W360" t="s">
        <v>34</v>
      </c>
      <c r="X360" t="s">
        <v>36</v>
      </c>
      <c r="Y360" t="s">
        <v>53</v>
      </c>
      <c r="Z360" t="str">
        <f>IF(Table1[[#This Row],[Age]]&lt;30,"20-29",IF(Table1[[#This Row],[Age]]&lt;40,"30-39",IF(Table1[[#This Row],[Age]]&lt;50,"40-49","50+")))</f>
        <v>20-29</v>
      </c>
      <c r="AA360" t="str">
        <f>IF(Table1[[#This Row],[Salary]]&lt;20000000,"low",IF(Table1[[#This Row],[Salary]]&lt;40000000,"medium","high"))</f>
        <v>medium</v>
      </c>
      <c r="AB360">
        <f>YEAR(Table1[[#This Row],[Hire Date]])</f>
        <v>2022</v>
      </c>
      <c r="AC360" t="str">
        <f>TEXT(Table1[[#This Row],[Hire Date]],"mmmm")</f>
        <v>مه</v>
      </c>
      <c r="AD360" t="str">
        <f>IF(Table1[[#This Row],[Resigned]]="yes","former","active")</f>
        <v>former</v>
      </c>
    </row>
    <row r="361" spans="1:30" x14ac:dyDescent="0.3">
      <c r="A361" t="s">
        <v>787</v>
      </c>
      <c r="B361" t="s">
        <v>788</v>
      </c>
      <c r="C361" t="s">
        <v>27</v>
      </c>
      <c r="D361">
        <v>29</v>
      </c>
      <c r="E361" t="s">
        <v>40</v>
      </c>
      <c r="F361" t="s">
        <v>48</v>
      </c>
      <c r="G361" t="s">
        <v>58</v>
      </c>
      <c r="H361" t="s">
        <v>42</v>
      </c>
      <c r="I361" t="s">
        <v>43</v>
      </c>
      <c r="J361" s="1">
        <v>43403</v>
      </c>
      <c r="K361">
        <v>8</v>
      </c>
      <c r="L361">
        <v>34456807</v>
      </c>
      <c r="M361">
        <v>4955835</v>
      </c>
      <c r="N361" t="s">
        <v>33</v>
      </c>
      <c r="O361">
        <v>4.9800000000000004</v>
      </c>
      <c r="P361">
        <v>22</v>
      </c>
      <c r="Q361">
        <v>5</v>
      </c>
      <c r="R361">
        <v>2</v>
      </c>
      <c r="S361">
        <v>4</v>
      </c>
      <c r="T361" t="s">
        <v>33</v>
      </c>
      <c r="U361" t="s">
        <v>34</v>
      </c>
      <c r="V361" t="s">
        <v>70</v>
      </c>
      <c r="W361" t="s">
        <v>33</v>
      </c>
      <c r="X361" t="s">
        <v>36</v>
      </c>
      <c r="Z361" t="str">
        <f>IF(Table1[[#This Row],[Age]]&lt;30,"20-29",IF(Table1[[#This Row],[Age]]&lt;40,"30-39",IF(Table1[[#This Row],[Age]]&lt;50,"40-49","50+")))</f>
        <v>20-29</v>
      </c>
      <c r="AA361" t="str">
        <f>IF(Table1[[#This Row],[Salary]]&lt;20000000,"low",IF(Table1[[#This Row],[Salary]]&lt;40000000,"medium","high"))</f>
        <v>medium</v>
      </c>
      <c r="AB361">
        <f>YEAR(Table1[[#This Row],[Hire Date]])</f>
        <v>2018</v>
      </c>
      <c r="AC361" t="str">
        <f>TEXT(Table1[[#This Row],[Hire Date]],"mmmm")</f>
        <v>اُكتبر</v>
      </c>
      <c r="AD361" t="str">
        <f>IF(Table1[[#This Row],[Resigned]]="yes","former","active")</f>
        <v>active</v>
      </c>
    </row>
    <row r="362" spans="1:30" x14ac:dyDescent="0.3">
      <c r="A362" t="s">
        <v>789</v>
      </c>
      <c r="B362" t="s">
        <v>790</v>
      </c>
      <c r="C362" t="s">
        <v>39</v>
      </c>
      <c r="D362">
        <v>58</v>
      </c>
      <c r="E362" t="s">
        <v>110</v>
      </c>
      <c r="F362" t="s">
        <v>111</v>
      </c>
      <c r="G362" t="s">
        <v>30</v>
      </c>
      <c r="H362" t="s">
        <v>42</v>
      </c>
      <c r="I362" t="s">
        <v>65</v>
      </c>
      <c r="J362" s="1">
        <v>45125</v>
      </c>
      <c r="K362">
        <v>3</v>
      </c>
      <c r="L362">
        <v>59183058</v>
      </c>
      <c r="M362">
        <v>633882</v>
      </c>
      <c r="N362" t="s">
        <v>34</v>
      </c>
      <c r="O362">
        <v>4.01</v>
      </c>
      <c r="P362">
        <v>46</v>
      </c>
      <c r="Q362">
        <v>2</v>
      </c>
      <c r="R362">
        <v>2</v>
      </c>
      <c r="S362">
        <v>1</v>
      </c>
      <c r="T362" t="s">
        <v>33</v>
      </c>
      <c r="U362" t="s">
        <v>34</v>
      </c>
      <c r="V362" t="s">
        <v>44</v>
      </c>
      <c r="W362" t="s">
        <v>33</v>
      </c>
      <c r="X362" t="s">
        <v>52</v>
      </c>
      <c r="Z362" t="str">
        <f>IF(Table1[[#This Row],[Age]]&lt;30,"20-29",IF(Table1[[#This Row],[Age]]&lt;40,"30-39",IF(Table1[[#This Row],[Age]]&lt;50,"40-49","50+")))</f>
        <v>50+</v>
      </c>
      <c r="AA362" t="str">
        <f>IF(Table1[[#This Row],[Salary]]&lt;20000000,"low",IF(Table1[[#This Row],[Salary]]&lt;40000000,"medium","high"))</f>
        <v>high</v>
      </c>
      <c r="AB362">
        <f>YEAR(Table1[[#This Row],[Hire Date]])</f>
        <v>2023</v>
      </c>
      <c r="AC362" t="str">
        <f>TEXT(Table1[[#This Row],[Hire Date]],"mmmm")</f>
        <v>ژوئيه</v>
      </c>
      <c r="AD362" t="str">
        <f>IF(Table1[[#This Row],[Resigned]]="yes","former","active")</f>
        <v>active</v>
      </c>
    </row>
    <row r="363" spans="1:30" x14ac:dyDescent="0.3">
      <c r="A363" t="s">
        <v>791</v>
      </c>
      <c r="B363" t="s">
        <v>792</v>
      </c>
      <c r="C363" t="s">
        <v>27</v>
      </c>
      <c r="D363">
        <v>58</v>
      </c>
      <c r="E363" t="s">
        <v>40</v>
      </c>
      <c r="F363" t="s">
        <v>41</v>
      </c>
      <c r="G363" t="s">
        <v>30</v>
      </c>
      <c r="H363" t="s">
        <v>31</v>
      </c>
      <c r="I363" t="s">
        <v>65</v>
      </c>
      <c r="J363" s="1">
        <v>43838</v>
      </c>
      <c r="K363">
        <v>6</v>
      </c>
      <c r="L363">
        <v>51104303</v>
      </c>
      <c r="M363">
        <v>6119275</v>
      </c>
      <c r="N363" t="s">
        <v>34</v>
      </c>
      <c r="O363">
        <v>3.28</v>
      </c>
      <c r="P363">
        <v>57</v>
      </c>
      <c r="Q363">
        <v>4</v>
      </c>
      <c r="R363">
        <v>5</v>
      </c>
      <c r="S363">
        <v>20</v>
      </c>
      <c r="T363" t="s">
        <v>34</v>
      </c>
      <c r="U363" t="s">
        <v>34</v>
      </c>
      <c r="V363" t="s">
        <v>51</v>
      </c>
      <c r="W363" t="s">
        <v>33</v>
      </c>
      <c r="X363" t="s">
        <v>52</v>
      </c>
      <c r="Z363" t="str">
        <f>IF(Table1[[#This Row],[Age]]&lt;30,"20-29",IF(Table1[[#This Row],[Age]]&lt;40,"30-39",IF(Table1[[#This Row],[Age]]&lt;50,"40-49","50+")))</f>
        <v>50+</v>
      </c>
      <c r="AA363" t="str">
        <f>IF(Table1[[#This Row],[Salary]]&lt;20000000,"low",IF(Table1[[#This Row],[Salary]]&lt;40000000,"medium","high"))</f>
        <v>high</v>
      </c>
      <c r="AB363">
        <f>YEAR(Table1[[#This Row],[Hire Date]])</f>
        <v>2020</v>
      </c>
      <c r="AC363" t="str">
        <f>TEXT(Table1[[#This Row],[Hire Date]],"mmmm")</f>
        <v>ژانويه</v>
      </c>
      <c r="AD363" t="str">
        <f>IF(Table1[[#This Row],[Resigned]]="yes","former","active")</f>
        <v>active</v>
      </c>
    </row>
    <row r="364" spans="1:30" x14ac:dyDescent="0.3">
      <c r="A364" t="s">
        <v>793</v>
      </c>
      <c r="B364" t="s">
        <v>794</v>
      </c>
      <c r="C364" t="s">
        <v>27</v>
      </c>
      <c r="D364">
        <v>26</v>
      </c>
      <c r="E364" t="s">
        <v>110</v>
      </c>
      <c r="F364" t="s">
        <v>111</v>
      </c>
      <c r="G364" t="s">
        <v>58</v>
      </c>
      <c r="H364" t="s">
        <v>42</v>
      </c>
      <c r="I364" t="s">
        <v>65</v>
      </c>
      <c r="J364" s="1">
        <v>42607</v>
      </c>
      <c r="K364">
        <v>10</v>
      </c>
      <c r="L364">
        <v>53334801</v>
      </c>
      <c r="M364">
        <v>7275799</v>
      </c>
      <c r="N364" t="s">
        <v>34</v>
      </c>
      <c r="O364">
        <v>3.24</v>
      </c>
      <c r="P364">
        <v>7</v>
      </c>
      <c r="Q364">
        <v>5</v>
      </c>
      <c r="R364">
        <v>5</v>
      </c>
      <c r="S364">
        <v>14</v>
      </c>
      <c r="T364" t="s">
        <v>34</v>
      </c>
      <c r="U364" t="s">
        <v>34</v>
      </c>
      <c r="V364" t="s">
        <v>51</v>
      </c>
      <c r="W364" t="s">
        <v>34</v>
      </c>
      <c r="X364" t="s">
        <v>45</v>
      </c>
      <c r="Z364" t="str">
        <f>IF(Table1[[#This Row],[Age]]&lt;30,"20-29",IF(Table1[[#This Row],[Age]]&lt;40,"30-39",IF(Table1[[#This Row],[Age]]&lt;50,"40-49","50+")))</f>
        <v>20-29</v>
      </c>
      <c r="AA364" t="str">
        <f>IF(Table1[[#This Row],[Salary]]&lt;20000000,"low",IF(Table1[[#This Row],[Salary]]&lt;40000000,"medium","high"))</f>
        <v>high</v>
      </c>
      <c r="AB364">
        <f>YEAR(Table1[[#This Row],[Hire Date]])</f>
        <v>2016</v>
      </c>
      <c r="AC364" t="str">
        <f>TEXT(Table1[[#This Row],[Hire Date]],"mmmm")</f>
        <v>اوت</v>
      </c>
      <c r="AD364" t="str">
        <f>IF(Table1[[#This Row],[Resigned]]="yes","former","active")</f>
        <v>active</v>
      </c>
    </row>
    <row r="365" spans="1:30" x14ac:dyDescent="0.3">
      <c r="A365" t="s">
        <v>795</v>
      </c>
      <c r="B365" t="s">
        <v>796</v>
      </c>
      <c r="C365" t="s">
        <v>39</v>
      </c>
      <c r="D365">
        <v>53</v>
      </c>
      <c r="E365" t="s">
        <v>56</v>
      </c>
      <c r="F365" t="s">
        <v>57</v>
      </c>
      <c r="G365" t="s">
        <v>30</v>
      </c>
      <c r="H365" t="s">
        <v>42</v>
      </c>
      <c r="I365" t="s">
        <v>32</v>
      </c>
      <c r="J365" s="1">
        <v>43862</v>
      </c>
      <c r="K365">
        <v>6</v>
      </c>
      <c r="L365">
        <v>25192517</v>
      </c>
      <c r="M365">
        <v>1190693</v>
      </c>
      <c r="N365" t="s">
        <v>34</v>
      </c>
      <c r="O365">
        <v>2.94</v>
      </c>
      <c r="P365">
        <v>48</v>
      </c>
      <c r="Q365">
        <v>5</v>
      </c>
      <c r="R365">
        <v>4</v>
      </c>
      <c r="S365">
        <v>10</v>
      </c>
      <c r="T365" t="s">
        <v>34</v>
      </c>
      <c r="U365" t="s">
        <v>34</v>
      </c>
      <c r="V365" t="s">
        <v>70</v>
      </c>
      <c r="W365" t="s">
        <v>34</v>
      </c>
      <c r="X365" t="s">
        <v>45</v>
      </c>
      <c r="Z365" t="str">
        <f>IF(Table1[[#This Row],[Age]]&lt;30,"20-29",IF(Table1[[#This Row],[Age]]&lt;40,"30-39",IF(Table1[[#This Row],[Age]]&lt;50,"40-49","50+")))</f>
        <v>50+</v>
      </c>
      <c r="AA365" t="str">
        <f>IF(Table1[[#This Row],[Salary]]&lt;20000000,"low",IF(Table1[[#This Row],[Salary]]&lt;40000000,"medium","high"))</f>
        <v>medium</v>
      </c>
      <c r="AB365">
        <f>YEAR(Table1[[#This Row],[Hire Date]])</f>
        <v>2020</v>
      </c>
      <c r="AC365" t="str">
        <f>TEXT(Table1[[#This Row],[Hire Date]],"mmmm")</f>
        <v>فوريه</v>
      </c>
      <c r="AD365" t="str">
        <f>IF(Table1[[#This Row],[Resigned]]="yes","former","active")</f>
        <v>active</v>
      </c>
    </row>
    <row r="366" spans="1:30" x14ac:dyDescent="0.3">
      <c r="A366" t="s">
        <v>797</v>
      </c>
      <c r="B366" t="s">
        <v>798</v>
      </c>
      <c r="C366" t="s">
        <v>27</v>
      </c>
      <c r="D366">
        <v>42</v>
      </c>
      <c r="E366" t="s">
        <v>40</v>
      </c>
      <c r="F366" t="s">
        <v>48</v>
      </c>
      <c r="G366" t="s">
        <v>58</v>
      </c>
      <c r="H366" t="s">
        <v>31</v>
      </c>
      <c r="I366" t="s">
        <v>81</v>
      </c>
      <c r="J366" s="1">
        <v>42976</v>
      </c>
      <c r="K366">
        <v>9</v>
      </c>
      <c r="L366">
        <v>59933205</v>
      </c>
      <c r="M366">
        <v>4868234</v>
      </c>
      <c r="N366" t="s">
        <v>34</v>
      </c>
      <c r="O366">
        <v>3.05</v>
      </c>
      <c r="P366">
        <v>2</v>
      </c>
      <c r="Q366">
        <v>4</v>
      </c>
      <c r="R366">
        <v>2</v>
      </c>
      <c r="S366">
        <v>4</v>
      </c>
      <c r="T366" t="s">
        <v>34</v>
      </c>
      <c r="U366" t="s">
        <v>34</v>
      </c>
      <c r="V366" t="s">
        <v>35</v>
      </c>
      <c r="W366" t="s">
        <v>33</v>
      </c>
      <c r="X366" t="s">
        <v>52</v>
      </c>
      <c r="Z366" t="str">
        <f>IF(Table1[[#This Row],[Age]]&lt;30,"20-29",IF(Table1[[#This Row],[Age]]&lt;40,"30-39",IF(Table1[[#This Row],[Age]]&lt;50,"40-49","50+")))</f>
        <v>40-49</v>
      </c>
      <c r="AA366" t="str">
        <f>IF(Table1[[#This Row],[Salary]]&lt;20000000,"low",IF(Table1[[#This Row],[Salary]]&lt;40000000,"medium","high"))</f>
        <v>high</v>
      </c>
      <c r="AB366">
        <f>YEAR(Table1[[#This Row],[Hire Date]])</f>
        <v>2017</v>
      </c>
      <c r="AC366" t="str">
        <f>TEXT(Table1[[#This Row],[Hire Date]],"mmmm")</f>
        <v>اوت</v>
      </c>
      <c r="AD366" t="str">
        <f>IF(Table1[[#This Row],[Resigned]]="yes","former","active")</f>
        <v>active</v>
      </c>
    </row>
    <row r="367" spans="1:30" x14ac:dyDescent="0.3">
      <c r="A367" t="s">
        <v>799</v>
      </c>
      <c r="B367" t="s">
        <v>800</v>
      </c>
      <c r="C367" t="s">
        <v>39</v>
      </c>
      <c r="D367">
        <v>22</v>
      </c>
      <c r="E367" t="s">
        <v>56</v>
      </c>
      <c r="F367" t="s">
        <v>57</v>
      </c>
      <c r="G367" t="s">
        <v>30</v>
      </c>
      <c r="H367" t="s">
        <v>31</v>
      </c>
      <c r="I367" t="s">
        <v>32</v>
      </c>
      <c r="J367" s="1">
        <v>42952</v>
      </c>
      <c r="K367">
        <v>9</v>
      </c>
      <c r="L367">
        <v>54089993</v>
      </c>
      <c r="M367">
        <v>6664507</v>
      </c>
      <c r="N367" t="s">
        <v>34</v>
      </c>
      <c r="O367">
        <v>3.11</v>
      </c>
      <c r="P367">
        <v>38</v>
      </c>
      <c r="Q367">
        <v>1</v>
      </c>
      <c r="R367">
        <v>2</v>
      </c>
      <c r="S367">
        <v>8</v>
      </c>
      <c r="T367" t="s">
        <v>34</v>
      </c>
      <c r="U367" t="s">
        <v>34</v>
      </c>
      <c r="V367" t="s">
        <v>35</v>
      </c>
      <c r="W367" t="s">
        <v>34</v>
      </c>
      <c r="X367" t="s">
        <v>45</v>
      </c>
      <c r="Z367" t="str">
        <f>IF(Table1[[#This Row],[Age]]&lt;30,"20-29",IF(Table1[[#This Row],[Age]]&lt;40,"30-39",IF(Table1[[#This Row],[Age]]&lt;50,"40-49","50+")))</f>
        <v>20-29</v>
      </c>
      <c r="AA367" t="str">
        <f>IF(Table1[[#This Row],[Salary]]&lt;20000000,"low",IF(Table1[[#This Row],[Salary]]&lt;40000000,"medium","high"))</f>
        <v>high</v>
      </c>
      <c r="AB367">
        <f>YEAR(Table1[[#This Row],[Hire Date]])</f>
        <v>2017</v>
      </c>
      <c r="AC367" t="str">
        <f>TEXT(Table1[[#This Row],[Hire Date]],"mmmm")</f>
        <v>اوت</v>
      </c>
      <c r="AD367" t="str">
        <f>IF(Table1[[#This Row],[Resigned]]="yes","former","active")</f>
        <v>active</v>
      </c>
    </row>
    <row r="368" spans="1:30" x14ac:dyDescent="0.3">
      <c r="A368" t="s">
        <v>801</v>
      </c>
      <c r="B368" t="s">
        <v>802</v>
      </c>
      <c r="C368" t="s">
        <v>39</v>
      </c>
      <c r="D368">
        <v>49</v>
      </c>
      <c r="E368" t="s">
        <v>28</v>
      </c>
      <c r="F368" t="s">
        <v>80</v>
      </c>
      <c r="G368" t="s">
        <v>58</v>
      </c>
      <c r="H368" t="s">
        <v>31</v>
      </c>
      <c r="I368" t="s">
        <v>81</v>
      </c>
      <c r="J368" s="1">
        <v>43371</v>
      </c>
      <c r="K368">
        <v>8</v>
      </c>
      <c r="L368">
        <v>46510577</v>
      </c>
      <c r="M368">
        <v>4166399</v>
      </c>
      <c r="N368" t="s">
        <v>34</v>
      </c>
      <c r="O368">
        <v>3.69</v>
      </c>
      <c r="P368">
        <v>74</v>
      </c>
      <c r="Q368">
        <v>1</v>
      </c>
      <c r="R368">
        <v>4</v>
      </c>
      <c r="S368">
        <v>2</v>
      </c>
      <c r="T368" t="s">
        <v>33</v>
      </c>
      <c r="U368" t="s">
        <v>34</v>
      </c>
      <c r="V368" t="s">
        <v>44</v>
      </c>
      <c r="W368" t="s">
        <v>34</v>
      </c>
      <c r="X368" t="s">
        <v>45</v>
      </c>
      <c r="Z368" t="str">
        <f>IF(Table1[[#This Row],[Age]]&lt;30,"20-29",IF(Table1[[#This Row],[Age]]&lt;40,"30-39",IF(Table1[[#This Row],[Age]]&lt;50,"40-49","50+")))</f>
        <v>40-49</v>
      </c>
      <c r="AA368" t="str">
        <f>IF(Table1[[#This Row],[Salary]]&lt;20000000,"low",IF(Table1[[#This Row],[Salary]]&lt;40000000,"medium","high"))</f>
        <v>high</v>
      </c>
      <c r="AB368">
        <f>YEAR(Table1[[#This Row],[Hire Date]])</f>
        <v>2018</v>
      </c>
      <c r="AC368" t="str">
        <f>TEXT(Table1[[#This Row],[Hire Date]],"mmmm")</f>
        <v>سپتامبر</v>
      </c>
      <c r="AD368" t="str">
        <f>IF(Table1[[#This Row],[Resigned]]="yes","former","active")</f>
        <v>active</v>
      </c>
    </row>
    <row r="369" spans="1:30" x14ac:dyDescent="0.3">
      <c r="A369" t="s">
        <v>803</v>
      </c>
      <c r="B369" t="s">
        <v>804</v>
      </c>
      <c r="C369" t="s">
        <v>27</v>
      </c>
      <c r="D369">
        <v>57</v>
      </c>
      <c r="E369" t="s">
        <v>63</v>
      </c>
      <c r="F369" t="s">
        <v>93</v>
      </c>
      <c r="G369" t="s">
        <v>58</v>
      </c>
      <c r="H369" t="s">
        <v>31</v>
      </c>
      <c r="I369" t="s">
        <v>81</v>
      </c>
      <c r="J369" s="1">
        <v>42561</v>
      </c>
      <c r="K369">
        <v>10</v>
      </c>
      <c r="L369">
        <v>16386038</v>
      </c>
      <c r="M369">
        <v>6039990</v>
      </c>
      <c r="N369" t="s">
        <v>34</v>
      </c>
      <c r="O369">
        <v>2.89</v>
      </c>
      <c r="P369">
        <v>73</v>
      </c>
      <c r="Q369">
        <v>5</v>
      </c>
      <c r="R369">
        <v>1</v>
      </c>
      <c r="S369">
        <v>6</v>
      </c>
      <c r="T369" t="s">
        <v>34</v>
      </c>
      <c r="U369" t="s">
        <v>34</v>
      </c>
      <c r="V369" t="s">
        <v>44</v>
      </c>
      <c r="W369" t="s">
        <v>34</v>
      </c>
      <c r="X369" t="s">
        <v>52</v>
      </c>
      <c r="Z369" t="str">
        <f>IF(Table1[[#This Row],[Age]]&lt;30,"20-29",IF(Table1[[#This Row],[Age]]&lt;40,"30-39",IF(Table1[[#This Row],[Age]]&lt;50,"40-49","50+")))</f>
        <v>50+</v>
      </c>
      <c r="AA369" t="str">
        <f>IF(Table1[[#This Row],[Salary]]&lt;20000000,"low",IF(Table1[[#This Row],[Salary]]&lt;40000000,"medium","high"))</f>
        <v>low</v>
      </c>
      <c r="AB369">
        <f>YEAR(Table1[[#This Row],[Hire Date]])</f>
        <v>2016</v>
      </c>
      <c r="AC369" t="str">
        <f>TEXT(Table1[[#This Row],[Hire Date]],"mmmm")</f>
        <v>ژوئيه</v>
      </c>
      <c r="AD369" t="str">
        <f>IF(Table1[[#This Row],[Resigned]]="yes","former","active")</f>
        <v>active</v>
      </c>
    </row>
    <row r="370" spans="1:30" x14ac:dyDescent="0.3">
      <c r="A370" t="s">
        <v>805</v>
      </c>
      <c r="B370" t="s">
        <v>806</v>
      </c>
      <c r="C370" t="s">
        <v>39</v>
      </c>
      <c r="D370">
        <v>32</v>
      </c>
      <c r="E370" t="s">
        <v>63</v>
      </c>
      <c r="F370" t="s">
        <v>64</v>
      </c>
      <c r="G370" t="s">
        <v>30</v>
      </c>
      <c r="H370" t="s">
        <v>31</v>
      </c>
      <c r="I370" t="s">
        <v>43</v>
      </c>
      <c r="J370" s="1">
        <v>45574</v>
      </c>
      <c r="K370">
        <v>2</v>
      </c>
      <c r="L370">
        <v>17702661</v>
      </c>
      <c r="M370">
        <v>9334692</v>
      </c>
      <c r="N370" t="s">
        <v>34</v>
      </c>
      <c r="O370">
        <v>4.4400000000000004</v>
      </c>
      <c r="P370">
        <v>66</v>
      </c>
      <c r="Q370">
        <v>4</v>
      </c>
      <c r="R370">
        <v>5</v>
      </c>
      <c r="S370">
        <v>3</v>
      </c>
      <c r="T370" t="s">
        <v>34</v>
      </c>
      <c r="U370" t="s">
        <v>34</v>
      </c>
      <c r="V370" t="s">
        <v>59</v>
      </c>
      <c r="W370" t="s">
        <v>33</v>
      </c>
      <c r="X370" t="s">
        <v>52</v>
      </c>
      <c r="Z370" t="str">
        <f>IF(Table1[[#This Row],[Age]]&lt;30,"20-29",IF(Table1[[#This Row],[Age]]&lt;40,"30-39",IF(Table1[[#This Row],[Age]]&lt;50,"40-49","50+")))</f>
        <v>30-39</v>
      </c>
      <c r="AA370" t="str">
        <f>IF(Table1[[#This Row],[Salary]]&lt;20000000,"low",IF(Table1[[#This Row],[Salary]]&lt;40000000,"medium","high"))</f>
        <v>low</v>
      </c>
      <c r="AB370">
        <f>YEAR(Table1[[#This Row],[Hire Date]])</f>
        <v>2024</v>
      </c>
      <c r="AC370" t="str">
        <f>TEXT(Table1[[#This Row],[Hire Date]],"mmmm")</f>
        <v>اُكتبر</v>
      </c>
      <c r="AD370" t="str">
        <f>IF(Table1[[#This Row],[Resigned]]="yes","former","active")</f>
        <v>active</v>
      </c>
    </row>
    <row r="371" spans="1:30" x14ac:dyDescent="0.3">
      <c r="A371" t="s">
        <v>807</v>
      </c>
      <c r="B371" t="s">
        <v>808</v>
      </c>
      <c r="C371" t="s">
        <v>39</v>
      </c>
      <c r="D371">
        <v>42</v>
      </c>
      <c r="E371" t="s">
        <v>40</v>
      </c>
      <c r="F371" t="s">
        <v>48</v>
      </c>
      <c r="G371" t="s">
        <v>49</v>
      </c>
      <c r="H371" t="s">
        <v>31</v>
      </c>
      <c r="I371" t="s">
        <v>81</v>
      </c>
      <c r="J371" s="1">
        <v>44576</v>
      </c>
      <c r="K371">
        <v>4</v>
      </c>
      <c r="L371">
        <v>48910981</v>
      </c>
      <c r="M371">
        <v>1632422</v>
      </c>
      <c r="N371" t="s">
        <v>33</v>
      </c>
      <c r="O371">
        <v>3.54</v>
      </c>
      <c r="P371">
        <v>75</v>
      </c>
      <c r="Q371">
        <v>2</v>
      </c>
      <c r="R371">
        <v>2</v>
      </c>
      <c r="S371">
        <v>0</v>
      </c>
      <c r="T371" t="s">
        <v>34</v>
      </c>
      <c r="U371" t="s">
        <v>34</v>
      </c>
      <c r="V371" t="s">
        <v>51</v>
      </c>
      <c r="W371" t="s">
        <v>33</v>
      </c>
      <c r="X371" t="s">
        <v>36</v>
      </c>
      <c r="Z371" t="str">
        <f>IF(Table1[[#This Row],[Age]]&lt;30,"20-29",IF(Table1[[#This Row],[Age]]&lt;40,"30-39",IF(Table1[[#This Row],[Age]]&lt;50,"40-49","50+")))</f>
        <v>40-49</v>
      </c>
      <c r="AA371" t="str">
        <f>IF(Table1[[#This Row],[Salary]]&lt;20000000,"low",IF(Table1[[#This Row],[Salary]]&lt;40000000,"medium","high"))</f>
        <v>high</v>
      </c>
      <c r="AB371">
        <f>YEAR(Table1[[#This Row],[Hire Date]])</f>
        <v>2022</v>
      </c>
      <c r="AC371" t="str">
        <f>TEXT(Table1[[#This Row],[Hire Date]],"mmmm")</f>
        <v>ژانويه</v>
      </c>
      <c r="AD371" t="str">
        <f>IF(Table1[[#This Row],[Resigned]]="yes","former","active")</f>
        <v>active</v>
      </c>
    </row>
    <row r="372" spans="1:30" x14ac:dyDescent="0.3">
      <c r="A372" t="s">
        <v>809</v>
      </c>
      <c r="B372" t="s">
        <v>810</v>
      </c>
      <c r="C372" t="s">
        <v>39</v>
      </c>
      <c r="D372">
        <v>39</v>
      </c>
      <c r="E372" t="s">
        <v>28</v>
      </c>
      <c r="F372" t="s">
        <v>80</v>
      </c>
      <c r="G372" t="s">
        <v>49</v>
      </c>
      <c r="H372" t="s">
        <v>42</v>
      </c>
      <c r="I372" t="s">
        <v>32</v>
      </c>
      <c r="J372" s="1">
        <v>45467</v>
      </c>
      <c r="K372">
        <v>2</v>
      </c>
      <c r="L372">
        <v>34675850</v>
      </c>
      <c r="M372">
        <v>8578540</v>
      </c>
      <c r="N372" t="s">
        <v>34</v>
      </c>
      <c r="O372">
        <v>4.54</v>
      </c>
      <c r="P372">
        <v>59</v>
      </c>
      <c r="Q372">
        <v>5</v>
      </c>
      <c r="R372">
        <v>5</v>
      </c>
      <c r="S372">
        <v>17</v>
      </c>
      <c r="T372" t="s">
        <v>34</v>
      </c>
      <c r="U372" t="s">
        <v>33</v>
      </c>
      <c r="V372" t="s">
        <v>44</v>
      </c>
      <c r="W372" t="s">
        <v>34</v>
      </c>
      <c r="X372" t="s">
        <v>36</v>
      </c>
      <c r="Y372" t="s">
        <v>75</v>
      </c>
      <c r="Z372" t="str">
        <f>IF(Table1[[#This Row],[Age]]&lt;30,"20-29",IF(Table1[[#This Row],[Age]]&lt;40,"30-39",IF(Table1[[#This Row],[Age]]&lt;50,"40-49","50+")))</f>
        <v>30-39</v>
      </c>
      <c r="AA372" t="str">
        <f>IF(Table1[[#This Row],[Salary]]&lt;20000000,"low",IF(Table1[[#This Row],[Salary]]&lt;40000000,"medium","high"))</f>
        <v>medium</v>
      </c>
      <c r="AB372">
        <f>YEAR(Table1[[#This Row],[Hire Date]])</f>
        <v>2024</v>
      </c>
      <c r="AC372" t="str">
        <f>TEXT(Table1[[#This Row],[Hire Date]],"mmmm")</f>
        <v>ژوئن</v>
      </c>
      <c r="AD372" t="str">
        <f>IF(Table1[[#This Row],[Resigned]]="yes","former","active")</f>
        <v>former</v>
      </c>
    </row>
    <row r="373" spans="1:30" x14ac:dyDescent="0.3">
      <c r="A373" t="s">
        <v>811</v>
      </c>
      <c r="B373" t="s">
        <v>812</v>
      </c>
      <c r="C373" t="s">
        <v>39</v>
      </c>
      <c r="D373">
        <v>46</v>
      </c>
      <c r="E373" t="s">
        <v>73</v>
      </c>
      <c r="F373" t="s">
        <v>74</v>
      </c>
      <c r="G373" t="s">
        <v>30</v>
      </c>
      <c r="H373" t="s">
        <v>31</v>
      </c>
      <c r="I373" t="s">
        <v>32</v>
      </c>
      <c r="J373" s="1">
        <v>45762</v>
      </c>
      <c r="K373">
        <v>1</v>
      </c>
      <c r="L373">
        <v>31989167</v>
      </c>
      <c r="M373">
        <v>6327519</v>
      </c>
      <c r="N373" t="s">
        <v>34</v>
      </c>
      <c r="O373">
        <v>3.6</v>
      </c>
      <c r="P373">
        <v>15</v>
      </c>
      <c r="Q373">
        <v>2</v>
      </c>
      <c r="R373">
        <v>1</v>
      </c>
      <c r="S373">
        <v>8</v>
      </c>
      <c r="T373" t="s">
        <v>33</v>
      </c>
      <c r="U373" t="s">
        <v>33</v>
      </c>
      <c r="V373" t="s">
        <v>51</v>
      </c>
      <c r="W373" t="s">
        <v>34</v>
      </c>
      <c r="X373" t="s">
        <v>45</v>
      </c>
      <c r="Y373" t="s">
        <v>75</v>
      </c>
      <c r="Z373" t="str">
        <f>IF(Table1[[#This Row],[Age]]&lt;30,"20-29",IF(Table1[[#This Row],[Age]]&lt;40,"30-39",IF(Table1[[#This Row],[Age]]&lt;50,"40-49","50+")))</f>
        <v>40-49</v>
      </c>
      <c r="AA373" t="str">
        <f>IF(Table1[[#This Row],[Salary]]&lt;20000000,"low",IF(Table1[[#This Row],[Salary]]&lt;40000000,"medium","high"))</f>
        <v>medium</v>
      </c>
      <c r="AB373">
        <f>YEAR(Table1[[#This Row],[Hire Date]])</f>
        <v>2025</v>
      </c>
      <c r="AC373" t="str">
        <f>TEXT(Table1[[#This Row],[Hire Date]],"mmmm")</f>
        <v>آوريل</v>
      </c>
      <c r="AD373" t="str">
        <f>IF(Table1[[#This Row],[Resigned]]="yes","former","active")</f>
        <v>former</v>
      </c>
    </row>
    <row r="374" spans="1:30" x14ac:dyDescent="0.3">
      <c r="A374" t="s">
        <v>813</v>
      </c>
      <c r="B374" t="s">
        <v>814</v>
      </c>
      <c r="C374" t="s">
        <v>39</v>
      </c>
      <c r="D374">
        <v>24</v>
      </c>
      <c r="E374" t="s">
        <v>73</v>
      </c>
      <c r="F374" t="s">
        <v>74</v>
      </c>
      <c r="G374" t="s">
        <v>30</v>
      </c>
      <c r="H374" t="s">
        <v>31</v>
      </c>
      <c r="I374" t="s">
        <v>50</v>
      </c>
      <c r="J374" s="1">
        <v>43581</v>
      </c>
      <c r="K374">
        <v>7</v>
      </c>
      <c r="L374">
        <v>36075812</v>
      </c>
      <c r="M374">
        <v>6140574</v>
      </c>
      <c r="N374" t="s">
        <v>33</v>
      </c>
      <c r="O374">
        <v>4.5199999999999996</v>
      </c>
      <c r="P374">
        <v>61</v>
      </c>
      <c r="Q374">
        <v>2</v>
      </c>
      <c r="R374">
        <v>2</v>
      </c>
      <c r="S374">
        <v>0</v>
      </c>
      <c r="T374" t="s">
        <v>34</v>
      </c>
      <c r="U374" t="s">
        <v>33</v>
      </c>
      <c r="V374" t="s">
        <v>51</v>
      </c>
      <c r="W374" t="s">
        <v>34</v>
      </c>
      <c r="X374" t="s">
        <v>52</v>
      </c>
      <c r="Y374" t="s">
        <v>75</v>
      </c>
      <c r="Z374" t="str">
        <f>IF(Table1[[#This Row],[Age]]&lt;30,"20-29",IF(Table1[[#This Row],[Age]]&lt;40,"30-39",IF(Table1[[#This Row],[Age]]&lt;50,"40-49","50+")))</f>
        <v>20-29</v>
      </c>
      <c r="AA374" t="str">
        <f>IF(Table1[[#This Row],[Salary]]&lt;20000000,"low",IF(Table1[[#This Row],[Salary]]&lt;40000000,"medium","high"))</f>
        <v>medium</v>
      </c>
      <c r="AB374">
        <f>YEAR(Table1[[#This Row],[Hire Date]])</f>
        <v>2019</v>
      </c>
      <c r="AC374" t="str">
        <f>TEXT(Table1[[#This Row],[Hire Date]],"mmmm")</f>
        <v>آوريل</v>
      </c>
      <c r="AD374" t="str">
        <f>IF(Table1[[#This Row],[Resigned]]="yes","former","active")</f>
        <v>former</v>
      </c>
    </row>
    <row r="375" spans="1:30" x14ac:dyDescent="0.3">
      <c r="A375" t="s">
        <v>815</v>
      </c>
      <c r="B375" t="s">
        <v>816</v>
      </c>
      <c r="C375" t="s">
        <v>27</v>
      </c>
      <c r="D375">
        <v>47</v>
      </c>
      <c r="E375" t="s">
        <v>63</v>
      </c>
      <c r="F375" t="s">
        <v>64</v>
      </c>
      <c r="G375" t="s">
        <v>30</v>
      </c>
      <c r="H375" t="s">
        <v>31</v>
      </c>
      <c r="I375" t="s">
        <v>43</v>
      </c>
      <c r="J375" s="1">
        <v>45001</v>
      </c>
      <c r="K375">
        <v>3</v>
      </c>
      <c r="L375">
        <v>40760122</v>
      </c>
      <c r="M375">
        <v>3920780</v>
      </c>
      <c r="N375" t="s">
        <v>34</v>
      </c>
      <c r="O375">
        <v>3.71</v>
      </c>
      <c r="P375">
        <v>40</v>
      </c>
      <c r="Q375">
        <v>2</v>
      </c>
      <c r="R375">
        <v>4</v>
      </c>
      <c r="S375">
        <v>13</v>
      </c>
      <c r="T375" t="s">
        <v>34</v>
      </c>
      <c r="U375" t="s">
        <v>34</v>
      </c>
      <c r="V375" t="s">
        <v>70</v>
      </c>
      <c r="W375" t="s">
        <v>33</v>
      </c>
      <c r="X375" t="s">
        <v>36</v>
      </c>
      <c r="Z375" t="str">
        <f>IF(Table1[[#This Row],[Age]]&lt;30,"20-29",IF(Table1[[#This Row],[Age]]&lt;40,"30-39",IF(Table1[[#This Row],[Age]]&lt;50,"40-49","50+")))</f>
        <v>40-49</v>
      </c>
      <c r="AA375" t="str">
        <f>IF(Table1[[#This Row],[Salary]]&lt;20000000,"low",IF(Table1[[#This Row],[Salary]]&lt;40000000,"medium","high"))</f>
        <v>high</v>
      </c>
      <c r="AB375">
        <f>YEAR(Table1[[#This Row],[Hire Date]])</f>
        <v>2023</v>
      </c>
      <c r="AC375" t="str">
        <f>TEXT(Table1[[#This Row],[Hire Date]],"mmmm")</f>
        <v>مارس</v>
      </c>
      <c r="AD375" t="str">
        <f>IF(Table1[[#This Row],[Resigned]]="yes","former","active")</f>
        <v>active</v>
      </c>
    </row>
    <row r="376" spans="1:30" x14ac:dyDescent="0.3">
      <c r="A376" t="s">
        <v>817</v>
      </c>
      <c r="B376" t="s">
        <v>818</v>
      </c>
      <c r="C376" t="s">
        <v>39</v>
      </c>
      <c r="D376">
        <v>56</v>
      </c>
      <c r="E376" t="s">
        <v>63</v>
      </c>
      <c r="F376" t="s">
        <v>93</v>
      </c>
      <c r="G376" t="s">
        <v>30</v>
      </c>
      <c r="H376" t="s">
        <v>42</v>
      </c>
      <c r="I376" t="s">
        <v>50</v>
      </c>
      <c r="J376" s="1">
        <v>44913</v>
      </c>
      <c r="K376">
        <v>4</v>
      </c>
      <c r="L376">
        <v>37409616</v>
      </c>
      <c r="M376">
        <v>9306834</v>
      </c>
      <c r="N376" t="s">
        <v>34</v>
      </c>
      <c r="O376">
        <v>3.63</v>
      </c>
      <c r="P376">
        <v>61</v>
      </c>
      <c r="Q376">
        <v>3</v>
      </c>
      <c r="R376">
        <v>2</v>
      </c>
      <c r="S376">
        <v>17</v>
      </c>
      <c r="T376" t="s">
        <v>33</v>
      </c>
      <c r="U376" t="s">
        <v>34</v>
      </c>
      <c r="V376" t="s">
        <v>44</v>
      </c>
      <c r="W376" t="s">
        <v>33</v>
      </c>
      <c r="X376" t="s">
        <v>52</v>
      </c>
      <c r="Z376" t="str">
        <f>IF(Table1[[#This Row],[Age]]&lt;30,"20-29",IF(Table1[[#This Row],[Age]]&lt;40,"30-39",IF(Table1[[#This Row],[Age]]&lt;50,"40-49","50+")))</f>
        <v>50+</v>
      </c>
      <c r="AA376" t="str">
        <f>IF(Table1[[#This Row],[Salary]]&lt;20000000,"low",IF(Table1[[#This Row],[Salary]]&lt;40000000,"medium","high"))</f>
        <v>medium</v>
      </c>
      <c r="AB376">
        <f>YEAR(Table1[[#This Row],[Hire Date]])</f>
        <v>2022</v>
      </c>
      <c r="AC376" t="str">
        <f>TEXT(Table1[[#This Row],[Hire Date]],"mmmm")</f>
        <v>دسامبر</v>
      </c>
      <c r="AD376" t="str">
        <f>IF(Table1[[#This Row],[Resigned]]="yes","former","active")</f>
        <v>active</v>
      </c>
    </row>
    <row r="377" spans="1:30" x14ac:dyDescent="0.3">
      <c r="A377" t="s">
        <v>819</v>
      </c>
      <c r="B377" t="s">
        <v>820</v>
      </c>
      <c r="C377" t="s">
        <v>39</v>
      </c>
      <c r="D377">
        <v>57</v>
      </c>
      <c r="E377" t="s">
        <v>63</v>
      </c>
      <c r="F377" t="s">
        <v>64</v>
      </c>
      <c r="G377" t="s">
        <v>49</v>
      </c>
      <c r="H377" t="s">
        <v>42</v>
      </c>
      <c r="I377" t="s">
        <v>65</v>
      </c>
      <c r="J377" s="1">
        <v>45217</v>
      </c>
      <c r="K377">
        <v>3</v>
      </c>
      <c r="L377">
        <v>41946125</v>
      </c>
      <c r="M377">
        <v>7125116</v>
      </c>
      <c r="N377" t="s">
        <v>33</v>
      </c>
      <c r="O377">
        <v>4.46</v>
      </c>
      <c r="P377">
        <v>36</v>
      </c>
      <c r="Q377">
        <v>5</v>
      </c>
      <c r="R377">
        <v>5</v>
      </c>
      <c r="S377">
        <v>14</v>
      </c>
      <c r="T377" t="s">
        <v>33</v>
      </c>
      <c r="U377" t="s">
        <v>34</v>
      </c>
      <c r="V377" t="s">
        <v>59</v>
      </c>
      <c r="W377" t="s">
        <v>33</v>
      </c>
      <c r="X377" t="s">
        <v>52</v>
      </c>
      <c r="Z377" t="str">
        <f>IF(Table1[[#This Row],[Age]]&lt;30,"20-29",IF(Table1[[#This Row],[Age]]&lt;40,"30-39",IF(Table1[[#This Row],[Age]]&lt;50,"40-49","50+")))</f>
        <v>50+</v>
      </c>
      <c r="AA377" t="str">
        <f>IF(Table1[[#This Row],[Salary]]&lt;20000000,"low",IF(Table1[[#This Row],[Salary]]&lt;40000000,"medium","high"))</f>
        <v>high</v>
      </c>
      <c r="AB377">
        <f>YEAR(Table1[[#This Row],[Hire Date]])</f>
        <v>2023</v>
      </c>
      <c r="AC377" t="str">
        <f>TEXT(Table1[[#This Row],[Hire Date]],"mmmm")</f>
        <v>اُكتبر</v>
      </c>
      <c r="AD377" t="str">
        <f>IF(Table1[[#This Row],[Resigned]]="yes","former","active")</f>
        <v>active</v>
      </c>
    </row>
    <row r="378" spans="1:30" x14ac:dyDescent="0.3">
      <c r="A378" t="s">
        <v>821</v>
      </c>
      <c r="B378" t="s">
        <v>822</v>
      </c>
      <c r="C378" t="s">
        <v>27</v>
      </c>
      <c r="D378">
        <v>48</v>
      </c>
      <c r="E378" t="s">
        <v>40</v>
      </c>
      <c r="F378" t="s">
        <v>41</v>
      </c>
      <c r="G378" t="s">
        <v>58</v>
      </c>
      <c r="H378" t="s">
        <v>31</v>
      </c>
      <c r="I378" t="s">
        <v>32</v>
      </c>
      <c r="J378" s="1">
        <v>45692</v>
      </c>
      <c r="K378">
        <v>1</v>
      </c>
      <c r="L378">
        <v>29518235</v>
      </c>
      <c r="M378">
        <v>9886106</v>
      </c>
      <c r="N378" t="s">
        <v>34</v>
      </c>
      <c r="O378">
        <v>4.0599999999999996</v>
      </c>
      <c r="P378">
        <v>41</v>
      </c>
      <c r="Q378">
        <v>4</v>
      </c>
      <c r="R378">
        <v>5</v>
      </c>
      <c r="S378">
        <v>13</v>
      </c>
      <c r="T378" t="s">
        <v>34</v>
      </c>
      <c r="U378" t="s">
        <v>33</v>
      </c>
      <c r="V378" t="s">
        <v>35</v>
      </c>
      <c r="W378" t="s">
        <v>33</v>
      </c>
      <c r="X378" t="s">
        <v>36</v>
      </c>
      <c r="Y378" t="s">
        <v>75</v>
      </c>
      <c r="Z378" t="str">
        <f>IF(Table1[[#This Row],[Age]]&lt;30,"20-29",IF(Table1[[#This Row],[Age]]&lt;40,"30-39",IF(Table1[[#This Row],[Age]]&lt;50,"40-49","50+")))</f>
        <v>40-49</v>
      </c>
      <c r="AA378" t="str">
        <f>IF(Table1[[#This Row],[Salary]]&lt;20000000,"low",IF(Table1[[#This Row],[Salary]]&lt;40000000,"medium","high"))</f>
        <v>medium</v>
      </c>
      <c r="AB378">
        <f>YEAR(Table1[[#This Row],[Hire Date]])</f>
        <v>2025</v>
      </c>
      <c r="AC378" t="str">
        <f>TEXT(Table1[[#This Row],[Hire Date]],"mmmm")</f>
        <v>فوريه</v>
      </c>
      <c r="AD378" t="str">
        <f>IF(Table1[[#This Row],[Resigned]]="yes","former","active")</f>
        <v>former</v>
      </c>
    </row>
    <row r="379" spans="1:30" x14ac:dyDescent="0.3">
      <c r="A379" t="s">
        <v>823</v>
      </c>
      <c r="B379" t="s">
        <v>824</v>
      </c>
      <c r="C379" t="s">
        <v>39</v>
      </c>
      <c r="D379">
        <v>55</v>
      </c>
      <c r="E379" t="s">
        <v>73</v>
      </c>
      <c r="F379" t="s">
        <v>74</v>
      </c>
      <c r="G379" t="s">
        <v>49</v>
      </c>
      <c r="H379" t="s">
        <v>31</v>
      </c>
      <c r="I379" t="s">
        <v>50</v>
      </c>
      <c r="J379" s="1">
        <v>43865</v>
      </c>
      <c r="K379">
        <v>6</v>
      </c>
      <c r="L379">
        <v>45080753</v>
      </c>
      <c r="M379">
        <v>636006</v>
      </c>
      <c r="N379" t="s">
        <v>34</v>
      </c>
      <c r="O379">
        <v>2.7</v>
      </c>
      <c r="P379">
        <v>35</v>
      </c>
      <c r="Q379">
        <v>2</v>
      </c>
      <c r="R379">
        <v>2</v>
      </c>
      <c r="S379">
        <v>6</v>
      </c>
      <c r="T379" t="s">
        <v>33</v>
      </c>
      <c r="U379" t="s">
        <v>34</v>
      </c>
      <c r="V379" t="s">
        <v>51</v>
      </c>
      <c r="W379" t="s">
        <v>34</v>
      </c>
      <c r="X379" t="s">
        <v>45</v>
      </c>
      <c r="Z379" t="str">
        <f>IF(Table1[[#This Row],[Age]]&lt;30,"20-29",IF(Table1[[#This Row],[Age]]&lt;40,"30-39",IF(Table1[[#This Row],[Age]]&lt;50,"40-49","50+")))</f>
        <v>50+</v>
      </c>
      <c r="AA379" t="str">
        <f>IF(Table1[[#This Row],[Salary]]&lt;20000000,"low",IF(Table1[[#This Row],[Salary]]&lt;40000000,"medium","high"))</f>
        <v>high</v>
      </c>
      <c r="AB379">
        <f>YEAR(Table1[[#This Row],[Hire Date]])</f>
        <v>2020</v>
      </c>
      <c r="AC379" t="str">
        <f>TEXT(Table1[[#This Row],[Hire Date]],"mmmm")</f>
        <v>فوريه</v>
      </c>
      <c r="AD379" t="str">
        <f>IF(Table1[[#This Row],[Resigned]]="yes","former","active")</f>
        <v>active</v>
      </c>
    </row>
    <row r="380" spans="1:30" x14ac:dyDescent="0.3">
      <c r="A380" t="s">
        <v>825</v>
      </c>
      <c r="B380" t="s">
        <v>826</v>
      </c>
      <c r="C380" t="s">
        <v>27</v>
      </c>
      <c r="D380">
        <v>41</v>
      </c>
      <c r="E380" t="s">
        <v>40</v>
      </c>
      <c r="F380" t="s">
        <v>41</v>
      </c>
      <c r="G380" t="s">
        <v>58</v>
      </c>
      <c r="H380" t="s">
        <v>42</v>
      </c>
      <c r="I380" t="s">
        <v>32</v>
      </c>
      <c r="J380" s="1">
        <v>43086</v>
      </c>
      <c r="K380">
        <v>9</v>
      </c>
      <c r="L380">
        <v>51942815</v>
      </c>
      <c r="M380">
        <v>2550439</v>
      </c>
      <c r="N380" t="s">
        <v>33</v>
      </c>
      <c r="O380">
        <v>2.71</v>
      </c>
      <c r="P380">
        <v>41</v>
      </c>
      <c r="Q380">
        <v>2</v>
      </c>
      <c r="R380">
        <v>2</v>
      </c>
      <c r="S380">
        <v>2</v>
      </c>
      <c r="T380" t="s">
        <v>34</v>
      </c>
      <c r="U380" t="s">
        <v>34</v>
      </c>
      <c r="V380" t="s">
        <v>70</v>
      </c>
      <c r="W380" t="s">
        <v>33</v>
      </c>
      <c r="X380" t="s">
        <v>52</v>
      </c>
      <c r="Z380" t="str">
        <f>IF(Table1[[#This Row],[Age]]&lt;30,"20-29",IF(Table1[[#This Row],[Age]]&lt;40,"30-39",IF(Table1[[#This Row],[Age]]&lt;50,"40-49","50+")))</f>
        <v>40-49</v>
      </c>
      <c r="AA380" t="str">
        <f>IF(Table1[[#This Row],[Salary]]&lt;20000000,"low",IF(Table1[[#This Row],[Salary]]&lt;40000000,"medium","high"))</f>
        <v>high</v>
      </c>
      <c r="AB380">
        <f>YEAR(Table1[[#This Row],[Hire Date]])</f>
        <v>2017</v>
      </c>
      <c r="AC380" t="str">
        <f>TEXT(Table1[[#This Row],[Hire Date]],"mmmm")</f>
        <v>دسامبر</v>
      </c>
      <c r="AD380" t="str">
        <f>IF(Table1[[#This Row],[Resigned]]="yes","former","active")</f>
        <v>active</v>
      </c>
    </row>
    <row r="381" spans="1:30" x14ac:dyDescent="0.3">
      <c r="A381" t="s">
        <v>827</v>
      </c>
      <c r="B381" t="s">
        <v>828</v>
      </c>
      <c r="C381" t="s">
        <v>39</v>
      </c>
      <c r="D381">
        <v>33</v>
      </c>
      <c r="E381" t="s">
        <v>56</v>
      </c>
      <c r="F381" t="s">
        <v>84</v>
      </c>
      <c r="G381" t="s">
        <v>49</v>
      </c>
      <c r="H381" t="s">
        <v>42</v>
      </c>
      <c r="I381" t="s">
        <v>50</v>
      </c>
      <c r="J381" s="1">
        <v>43879</v>
      </c>
      <c r="K381">
        <v>6</v>
      </c>
      <c r="L381">
        <v>37142446</v>
      </c>
      <c r="M381">
        <v>880956</v>
      </c>
      <c r="N381" t="s">
        <v>34</v>
      </c>
      <c r="O381">
        <v>3.7</v>
      </c>
      <c r="P381">
        <v>54</v>
      </c>
      <c r="Q381">
        <v>4</v>
      </c>
      <c r="R381">
        <v>4</v>
      </c>
      <c r="S381">
        <v>6</v>
      </c>
      <c r="T381" t="s">
        <v>34</v>
      </c>
      <c r="U381" t="s">
        <v>33</v>
      </c>
      <c r="V381" t="s">
        <v>70</v>
      </c>
      <c r="W381" t="s">
        <v>34</v>
      </c>
      <c r="X381" t="s">
        <v>52</v>
      </c>
      <c r="Y381" t="s">
        <v>162</v>
      </c>
      <c r="Z381" t="str">
        <f>IF(Table1[[#This Row],[Age]]&lt;30,"20-29",IF(Table1[[#This Row],[Age]]&lt;40,"30-39",IF(Table1[[#This Row],[Age]]&lt;50,"40-49","50+")))</f>
        <v>30-39</v>
      </c>
      <c r="AA381" t="str">
        <f>IF(Table1[[#This Row],[Salary]]&lt;20000000,"low",IF(Table1[[#This Row],[Salary]]&lt;40000000,"medium","high"))</f>
        <v>medium</v>
      </c>
      <c r="AB381">
        <f>YEAR(Table1[[#This Row],[Hire Date]])</f>
        <v>2020</v>
      </c>
      <c r="AC381" t="str">
        <f>TEXT(Table1[[#This Row],[Hire Date]],"mmmm")</f>
        <v>فوريه</v>
      </c>
      <c r="AD381" t="str">
        <f>IF(Table1[[#This Row],[Resigned]]="yes","former","active")</f>
        <v>former</v>
      </c>
    </row>
    <row r="382" spans="1:30" x14ac:dyDescent="0.3">
      <c r="A382" t="s">
        <v>829</v>
      </c>
      <c r="B382" t="s">
        <v>830</v>
      </c>
      <c r="C382" t="s">
        <v>27</v>
      </c>
      <c r="D382">
        <v>22</v>
      </c>
      <c r="E382" t="s">
        <v>73</v>
      </c>
      <c r="F382" t="s">
        <v>127</v>
      </c>
      <c r="G382" t="s">
        <v>58</v>
      </c>
      <c r="H382" t="s">
        <v>31</v>
      </c>
      <c r="I382" t="s">
        <v>65</v>
      </c>
      <c r="J382" s="1">
        <v>44936</v>
      </c>
      <c r="K382">
        <v>3</v>
      </c>
      <c r="L382">
        <v>36205238</v>
      </c>
      <c r="M382">
        <v>5488628</v>
      </c>
      <c r="N382" t="s">
        <v>34</v>
      </c>
      <c r="O382">
        <v>4</v>
      </c>
      <c r="P382">
        <v>75</v>
      </c>
      <c r="Q382">
        <v>1</v>
      </c>
      <c r="R382">
        <v>5</v>
      </c>
      <c r="S382">
        <v>0</v>
      </c>
      <c r="T382" t="s">
        <v>33</v>
      </c>
      <c r="U382" t="s">
        <v>34</v>
      </c>
      <c r="V382" t="s">
        <v>35</v>
      </c>
      <c r="W382" t="s">
        <v>34</v>
      </c>
      <c r="X382" t="s">
        <v>45</v>
      </c>
      <c r="Z382" t="str">
        <f>IF(Table1[[#This Row],[Age]]&lt;30,"20-29",IF(Table1[[#This Row],[Age]]&lt;40,"30-39",IF(Table1[[#This Row],[Age]]&lt;50,"40-49","50+")))</f>
        <v>20-29</v>
      </c>
      <c r="AA382" t="str">
        <f>IF(Table1[[#This Row],[Salary]]&lt;20000000,"low",IF(Table1[[#This Row],[Salary]]&lt;40000000,"medium","high"))</f>
        <v>medium</v>
      </c>
      <c r="AB382">
        <f>YEAR(Table1[[#This Row],[Hire Date]])</f>
        <v>2023</v>
      </c>
      <c r="AC382" t="str">
        <f>TEXT(Table1[[#This Row],[Hire Date]],"mmmm")</f>
        <v>ژانويه</v>
      </c>
      <c r="AD382" t="str">
        <f>IF(Table1[[#This Row],[Resigned]]="yes","former","active")</f>
        <v>active</v>
      </c>
    </row>
    <row r="383" spans="1:30" x14ac:dyDescent="0.3">
      <c r="A383" t="s">
        <v>831</v>
      </c>
      <c r="B383" t="s">
        <v>832</v>
      </c>
      <c r="C383" t="s">
        <v>39</v>
      </c>
      <c r="D383">
        <v>32</v>
      </c>
      <c r="E383" t="s">
        <v>56</v>
      </c>
      <c r="F383" t="s">
        <v>84</v>
      </c>
      <c r="G383" t="s">
        <v>58</v>
      </c>
      <c r="H383" t="s">
        <v>42</v>
      </c>
      <c r="I383" t="s">
        <v>43</v>
      </c>
      <c r="J383" s="1">
        <v>44297</v>
      </c>
      <c r="K383">
        <v>5</v>
      </c>
      <c r="L383">
        <v>25546667</v>
      </c>
      <c r="M383">
        <v>87156</v>
      </c>
      <c r="N383" t="s">
        <v>34</v>
      </c>
      <c r="O383">
        <v>4.4000000000000004</v>
      </c>
      <c r="P383">
        <v>45</v>
      </c>
      <c r="Q383">
        <v>5</v>
      </c>
      <c r="R383">
        <v>5</v>
      </c>
      <c r="S383">
        <v>7</v>
      </c>
      <c r="T383" t="s">
        <v>33</v>
      </c>
      <c r="U383" t="s">
        <v>34</v>
      </c>
      <c r="V383" t="s">
        <v>59</v>
      </c>
      <c r="W383" t="s">
        <v>34</v>
      </c>
      <c r="X383" t="s">
        <v>45</v>
      </c>
      <c r="Z383" t="str">
        <f>IF(Table1[[#This Row],[Age]]&lt;30,"20-29",IF(Table1[[#This Row],[Age]]&lt;40,"30-39",IF(Table1[[#This Row],[Age]]&lt;50,"40-49","50+")))</f>
        <v>30-39</v>
      </c>
      <c r="AA383" t="str">
        <f>IF(Table1[[#This Row],[Salary]]&lt;20000000,"low",IF(Table1[[#This Row],[Salary]]&lt;40000000,"medium","high"))</f>
        <v>medium</v>
      </c>
      <c r="AB383">
        <f>YEAR(Table1[[#This Row],[Hire Date]])</f>
        <v>2021</v>
      </c>
      <c r="AC383" t="str">
        <f>TEXT(Table1[[#This Row],[Hire Date]],"mmmm")</f>
        <v>آوريل</v>
      </c>
      <c r="AD383" t="str">
        <f>IF(Table1[[#This Row],[Resigned]]="yes","former","active")</f>
        <v>active</v>
      </c>
    </row>
    <row r="384" spans="1:30" x14ac:dyDescent="0.3">
      <c r="A384" t="s">
        <v>833</v>
      </c>
      <c r="B384" t="s">
        <v>834</v>
      </c>
      <c r="C384" t="s">
        <v>27</v>
      </c>
      <c r="D384">
        <v>47</v>
      </c>
      <c r="E384" t="s">
        <v>73</v>
      </c>
      <c r="F384" t="s">
        <v>127</v>
      </c>
      <c r="G384" t="s">
        <v>58</v>
      </c>
      <c r="H384" t="s">
        <v>42</v>
      </c>
      <c r="I384" t="s">
        <v>81</v>
      </c>
      <c r="J384" s="1">
        <v>43524</v>
      </c>
      <c r="K384">
        <v>7</v>
      </c>
      <c r="L384">
        <v>32926854</v>
      </c>
      <c r="M384">
        <v>8792544</v>
      </c>
      <c r="N384" t="s">
        <v>33</v>
      </c>
      <c r="O384">
        <v>2.63</v>
      </c>
      <c r="P384">
        <v>47</v>
      </c>
      <c r="Q384">
        <v>3</v>
      </c>
      <c r="R384">
        <v>2</v>
      </c>
      <c r="S384">
        <v>9</v>
      </c>
      <c r="T384" t="s">
        <v>34</v>
      </c>
      <c r="U384" t="s">
        <v>33</v>
      </c>
      <c r="V384" t="s">
        <v>51</v>
      </c>
      <c r="W384" t="s">
        <v>34</v>
      </c>
      <c r="X384" t="s">
        <v>52</v>
      </c>
      <c r="Y384" t="s">
        <v>75</v>
      </c>
      <c r="Z384" t="str">
        <f>IF(Table1[[#This Row],[Age]]&lt;30,"20-29",IF(Table1[[#This Row],[Age]]&lt;40,"30-39",IF(Table1[[#This Row],[Age]]&lt;50,"40-49","50+")))</f>
        <v>40-49</v>
      </c>
      <c r="AA384" t="str">
        <f>IF(Table1[[#This Row],[Salary]]&lt;20000000,"low",IF(Table1[[#This Row],[Salary]]&lt;40000000,"medium","high"))</f>
        <v>medium</v>
      </c>
      <c r="AB384">
        <f>YEAR(Table1[[#This Row],[Hire Date]])</f>
        <v>2019</v>
      </c>
      <c r="AC384" t="str">
        <f>TEXT(Table1[[#This Row],[Hire Date]],"mmmm")</f>
        <v>فوريه</v>
      </c>
      <c r="AD384" t="str">
        <f>IF(Table1[[#This Row],[Resigned]]="yes","former","active")</f>
        <v>former</v>
      </c>
    </row>
    <row r="385" spans="1:30" x14ac:dyDescent="0.3">
      <c r="A385" t="s">
        <v>835</v>
      </c>
      <c r="B385" t="s">
        <v>836</v>
      </c>
      <c r="C385" t="s">
        <v>27</v>
      </c>
      <c r="D385">
        <v>34</v>
      </c>
      <c r="E385" t="s">
        <v>56</v>
      </c>
      <c r="F385" t="s">
        <v>57</v>
      </c>
      <c r="G385" t="s">
        <v>58</v>
      </c>
      <c r="H385" t="s">
        <v>42</v>
      </c>
      <c r="I385" t="s">
        <v>50</v>
      </c>
      <c r="J385" s="1">
        <v>43848</v>
      </c>
      <c r="K385">
        <v>6</v>
      </c>
      <c r="L385">
        <v>47702171</v>
      </c>
      <c r="M385">
        <v>1217305</v>
      </c>
      <c r="N385" t="s">
        <v>34</v>
      </c>
      <c r="O385">
        <v>4.75</v>
      </c>
      <c r="P385">
        <v>16</v>
      </c>
      <c r="Q385">
        <v>4</v>
      </c>
      <c r="R385">
        <v>4</v>
      </c>
      <c r="S385">
        <v>15</v>
      </c>
      <c r="T385" t="s">
        <v>33</v>
      </c>
      <c r="U385" t="s">
        <v>34</v>
      </c>
      <c r="V385" t="s">
        <v>44</v>
      </c>
      <c r="W385" t="s">
        <v>33</v>
      </c>
      <c r="X385" t="s">
        <v>45</v>
      </c>
      <c r="Z385" t="str">
        <f>IF(Table1[[#This Row],[Age]]&lt;30,"20-29",IF(Table1[[#This Row],[Age]]&lt;40,"30-39",IF(Table1[[#This Row],[Age]]&lt;50,"40-49","50+")))</f>
        <v>30-39</v>
      </c>
      <c r="AA385" t="str">
        <f>IF(Table1[[#This Row],[Salary]]&lt;20000000,"low",IF(Table1[[#This Row],[Salary]]&lt;40000000,"medium","high"))</f>
        <v>high</v>
      </c>
      <c r="AB385">
        <f>YEAR(Table1[[#This Row],[Hire Date]])</f>
        <v>2020</v>
      </c>
      <c r="AC385" t="str">
        <f>TEXT(Table1[[#This Row],[Hire Date]],"mmmm")</f>
        <v>ژانويه</v>
      </c>
      <c r="AD385" t="str">
        <f>IF(Table1[[#This Row],[Resigned]]="yes","former","active")</f>
        <v>active</v>
      </c>
    </row>
    <row r="386" spans="1:30" x14ac:dyDescent="0.3">
      <c r="A386" t="s">
        <v>837</v>
      </c>
      <c r="B386" t="s">
        <v>838</v>
      </c>
      <c r="C386" t="s">
        <v>27</v>
      </c>
      <c r="D386">
        <v>52</v>
      </c>
      <c r="E386" t="s">
        <v>28</v>
      </c>
      <c r="F386" t="s">
        <v>29</v>
      </c>
      <c r="G386" t="s">
        <v>30</v>
      </c>
      <c r="H386" t="s">
        <v>31</v>
      </c>
      <c r="I386" t="s">
        <v>32</v>
      </c>
      <c r="J386" s="1">
        <v>45714</v>
      </c>
      <c r="K386">
        <v>1</v>
      </c>
      <c r="L386">
        <v>52108170</v>
      </c>
      <c r="M386">
        <v>7745755</v>
      </c>
      <c r="N386" t="s">
        <v>33</v>
      </c>
      <c r="O386">
        <v>3.14</v>
      </c>
      <c r="P386">
        <v>49</v>
      </c>
      <c r="Q386">
        <v>3</v>
      </c>
      <c r="R386">
        <v>3</v>
      </c>
      <c r="S386">
        <v>2</v>
      </c>
      <c r="T386" t="s">
        <v>34</v>
      </c>
      <c r="U386" t="s">
        <v>34</v>
      </c>
      <c r="V386" t="s">
        <v>35</v>
      </c>
      <c r="W386" t="s">
        <v>34</v>
      </c>
      <c r="X386" t="s">
        <v>45</v>
      </c>
      <c r="Z386" t="str">
        <f>IF(Table1[[#This Row],[Age]]&lt;30,"20-29",IF(Table1[[#This Row],[Age]]&lt;40,"30-39",IF(Table1[[#This Row],[Age]]&lt;50,"40-49","50+")))</f>
        <v>50+</v>
      </c>
      <c r="AA386" t="str">
        <f>IF(Table1[[#This Row],[Salary]]&lt;20000000,"low",IF(Table1[[#This Row],[Salary]]&lt;40000000,"medium","high"))</f>
        <v>high</v>
      </c>
      <c r="AB386">
        <f>YEAR(Table1[[#This Row],[Hire Date]])</f>
        <v>2025</v>
      </c>
      <c r="AC386" t="str">
        <f>TEXT(Table1[[#This Row],[Hire Date]],"mmmm")</f>
        <v>فوريه</v>
      </c>
      <c r="AD386" t="str">
        <f>IF(Table1[[#This Row],[Resigned]]="yes","former","active")</f>
        <v>active</v>
      </c>
    </row>
    <row r="387" spans="1:30" x14ac:dyDescent="0.3">
      <c r="A387" t="s">
        <v>839</v>
      </c>
      <c r="B387" t="s">
        <v>840</v>
      </c>
      <c r="C387" t="s">
        <v>39</v>
      </c>
      <c r="D387">
        <v>56</v>
      </c>
      <c r="E387" t="s">
        <v>56</v>
      </c>
      <c r="F387" t="s">
        <v>57</v>
      </c>
      <c r="G387" t="s">
        <v>30</v>
      </c>
      <c r="H387" t="s">
        <v>31</v>
      </c>
      <c r="I387" t="s">
        <v>81</v>
      </c>
      <c r="J387" s="1">
        <v>43846</v>
      </c>
      <c r="K387">
        <v>6</v>
      </c>
      <c r="L387">
        <v>58458233</v>
      </c>
      <c r="M387">
        <v>9452433</v>
      </c>
      <c r="N387" t="s">
        <v>34</v>
      </c>
      <c r="O387">
        <v>4.74</v>
      </c>
      <c r="P387">
        <v>70</v>
      </c>
      <c r="Q387">
        <v>3</v>
      </c>
      <c r="R387">
        <v>1</v>
      </c>
      <c r="S387">
        <v>3</v>
      </c>
      <c r="T387" t="s">
        <v>33</v>
      </c>
      <c r="U387" t="s">
        <v>33</v>
      </c>
      <c r="V387" t="s">
        <v>35</v>
      </c>
      <c r="W387" t="s">
        <v>34</v>
      </c>
      <c r="X387" t="s">
        <v>36</v>
      </c>
      <c r="Y387" t="s">
        <v>162</v>
      </c>
      <c r="Z387" t="str">
        <f>IF(Table1[[#This Row],[Age]]&lt;30,"20-29",IF(Table1[[#This Row],[Age]]&lt;40,"30-39",IF(Table1[[#This Row],[Age]]&lt;50,"40-49","50+")))</f>
        <v>50+</v>
      </c>
      <c r="AA387" t="str">
        <f>IF(Table1[[#This Row],[Salary]]&lt;20000000,"low",IF(Table1[[#This Row],[Salary]]&lt;40000000,"medium","high"))</f>
        <v>high</v>
      </c>
      <c r="AB387">
        <f>YEAR(Table1[[#This Row],[Hire Date]])</f>
        <v>2020</v>
      </c>
      <c r="AC387" t="str">
        <f>TEXT(Table1[[#This Row],[Hire Date]],"mmmm")</f>
        <v>ژانويه</v>
      </c>
      <c r="AD387" t="str">
        <f>IF(Table1[[#This Row],[Resigned]]="yes","former","active")</f>
        <v>former</v>
      </c>
    </row>
    <row r="388" spans="1:30" x14ac:dyDescent="0.3">
      <c r="A388" t="s">
        <v>841</v>
      </c>
      <c r="B388" t="s">
        <v>842</v>
      </c>
      <c r="C388" t="s">
        <v>39</v>
      </c>
      <c r="D388">
        <v>43</v>
      </c>
      <c r="E388" t="s">
        <v>73</v>
      </c>
      <c r="F388" t="s">
        <v>127</v>
      </c>
      <c r="G388" t="s">
        <v>30</v>
      </c>
      <c r="H388" t="s">
        <v>31</v>
      </c>
      <c r="I388" t="s">
        <v>81</v>
      </c>
      <c r="J388" s="1">
        <v>43181</v>
      </c>
      <c r="K388">
        <v>8</v>
      </c>
      <c r="L388">
        <v>21727478</v>
      </c>
      <c r="M388">
        <v>4526091</v>
      </c>
      <c r="N388" t="s">
        <v>33</v>
      </c>
      <c r="O388">
        <v>4.88</v>
      </c>
      <c r="P388">
        <v>68</v>
      </c>
      <c r="Q388">
        <v>2</v>
      </c>
      <c r="R388">
        <v>3</v>
      </c>
      <c r="S388">
        <v>0</v>
      </c>
      <c r="T388" t="s">
        <v>33</v>
      </c>
      <c r="U388" t="s">
        <v>33</v>
      </c>
      <c r="V388" t="s">
        <v>70</v>
      </c>
      <c r="W388" t="s">
        <v>34</v>
      </c>
      <c r="X388" t="s">
        <v>45</v>
      </c>
      <c r="Y388" t="s">
        <v>53</v>
      </c>
      <c r="Z388" t="str">
        <f>IF(Table1[[#This Row],[Age]]&lt;30,"20-29",IF(Table1[[#This Row],[Age]]&lt;40,"30-39",IF(Table1[[#This Row],[Age]]&lt;50,"40-49","50+")))</f>
        <v>40-49</v>
      </c>
      <c r="AA388" t="str">
        <f>IF(Table1[[#This Row],[Salary]]&lt;20000000,"low",IF(Table1[[#This Row],[Salary]]&lt;40000000,"medium","high"))</f>
        <v>medium</v>
      </c>
      <c r="AB388">
        <f>YEAR(Table1[[#This Row],[Hire Date]])</f>
        <v>2018</v>
      </c>
      <c r="AC388" t="str">
        <f>TEXT(Table1[[#This Row],[Hire Date]],"mmmm")</f>
        <v>مارس</v>
      </c>
      <c r="AD388" t="str">
        <f>IF(Table1[[#This Row],[Resigned]]="yes","former","active")</f>
        <v>former</v>
      </c>
    </row>
    <row r="389" spans="1:30" x14ac:dyDescent="0.3">
      <c r="A389" t="s">
        <v>843</v>
      </c>
      <c r="B389" t="s">
        <v>844</v>
      </c>
      <c r="C389" t="s">
        <v>39</v>
      </c>
      <c r="D389">
        <v>33</v>
      </c>
      <c r="E389" t="s">
        <v>40</v>
      </c>
      <c r="F389" t="s">
        <v>41</v>
      </c>
      <c r="G389" t="s">
        <v>30</v>
      </c>
      <c r="H389" t="s">
        <v>42</v>
      </c>
      <c r="I389" t="s">
        <v>32</v>
      </c>
      <c r="J389" s="1">
        <v>42375</v>
      </c>
      <c r="K389">
        <v>10</v>
      </c>
      <c r="L389">
        <v>37068883</v>
      </c>
      <c r="M389">
        <v>8386937</v>
      </c>
      <c r="N389" t="s">
        <v>33</v>
      </c>
      <c r="O389">
        <v>4.2</v>
      </c>
      <c r="P389">
        <v>4</v>
      </c>
      <c r="Q389">
        <v>1</v>
      </c>
      <c r="R389">
        <v>4</v>
      </c>
      <c r="S389">
        <v>3</v>
      </c>
      <c r="T389" t="s">
        <v>33</v>
      </c>
      <c r="U389" t="s">
        <v>34</v>
      </c>
      <c r="V389" t="s">
        <v>51</v>
      </c>
      <c r="W389" t="s">
        <v>34</v>
      </c>
      <c r="X389" t="s">
        <v>36</v>
      </c>
      <c r="Z389" t="str">
        <f>IF(Table1[[#This Row],[Age]]&lt;30,"20-29",IF(Table1[[#This Row],[Age]]&lt;40,"30-39",IF(Table1[[#This Row],[Age]]&lt;50,"40-49","50+")))</f>
        <v>30-39</v>
      </c>
      <c r="AA389" t="str">
        <f>IF(Table1[[#This Row],[Salary]]&lt;20000000,"low",IF(Table1[[#This Row],[Salary]]&lt;40000000,"medium","high"))</f>
        <v>medium</v>
      </c>
      <c r="AB389">
        <f>YEAR(Table1[[#This Row],[Hire Date]])</f>
        <v>2016</v>
      </c>
      <c r="AC389" t="str">
        <f>TEXT(Table1[[#This Row],[Hire Date]],"mmmm")</f>
        <v>ژانويه</v>
      </c>
      <c r="AD389" t="str">
        <f>IF(Table1[[#This Row],[Resigned]]="yes","former","active")</f>
        <v>active</v>
      </c>
    </row>
    <row r="390" spans="1:30" x14ac:dyDescent="0.3">
      <c r="A390" t="s">
        <v>845</v>
      </c>
      <c r="B390" t="s">
        <v>846</v>
      </c>
      <c r="C390" t="s">
        <v>27</v>
      </c>
      <c r="D390">
        <v>40</v>
      </c>
      <c r="E390" t="s">
        <v>56</v>
      </c>
      <c r="F390" t="s">
        <v>57</v>
      </c>
      <c r="G390" t="s">
        <v>49</v>
      </c>
      <c r="H390" t="s">
        <v>31</v>
      </c>
      <c r="I390" t="s">
        <v>43</v>
      </c>
      <c r="J390" s="1">
        <v>42706</v>
      </c>
      <c r="K390">
        <v>10</v>
      </c>
      <c r="L390">
        <v>36325969</v>
      </c>
      <c r="M390">
        <v>717550</v>
      </c>
      <c r="N390" t="s">
        <v>34</v>
      </c>
      <c r="O390">
        <v>2.65</v>
      </c>
      <c r="P390">
        <v>78</v>
      </c>
      <c r="Q390">
        <v>2</v>
      </c>
      <c r="R390">
        <v>2</v>
      </c>
      <c r="S390">
        <v>16</v>
      </c>
      <c r="T390" t="s">
        <v>34</v>
      </c>
      <c r="U390" t="s">
        <v>33</v>
      </c>
      <c r="V390" t="s">
        <v>51</v>
      </c>
      <c r="W390" t="s">
        <v>34</v>
      </c>
      <c r="X390" t="s">
        <v>52</v>
      </c>
      <c r="Y390" t="s">
        <v>60</v>
      </c>
      <c r="Z390" t="str">
        <f>IF(Table1[[#This Row],[Age]]&lt;30,"20-29",IF(Table1[[#This Row],[Age]]&lt;40,"30-39",IF(Table1[[#This Row],[Age]]&lt;50,"40-49","50+")))</f>
        <v>40-49</v>
      </c>
      <c r="AA390" t="str">
        <f>IF(Table1[[#This Row],[Salary]]&lt;20000000,"low",IF(Table1[[#This Row],[Salary]]&lt;40000000,"medium","high"))</f>
        <v>medium</v>
      </c>
      <c r="AB390">
        <f>YEAR(Table1[[#This Row],[Hire Date]])</f>
        <v>2016</v>
      </c>
      <c r="AC390" t="str">
        <f>TEXT(Table1[[#This Row],[Hire Date]],"mmmm")</f>
        <v>دسامبر</v>
      </c>
      <c r="AD390" t="str">
        <f>IF(Table1[[#This Row],[Resigned]]="yes","former","active")</f>
        <v>former</v>
      </c>
    </row>
    <row r="391" spans="1:30" x14ac:dyDescent="0.3">
      <c r="A391" t="s">
        <v>847</v>
      </c>
      <c r="B391" t="s">
        <v>848</v>
      </c>
      <c r="C391" t="s">
        <v>39</v>
      </c>
      <c r="D391">
        <v>37</v>
      </c>
      <c r="E391" t="s">
        <v>40</v>
      </c>
      <c r="F391" t="s">
        <v>48</v>
      </c>
      <c r="G391" t="s">
        <v>49</v>
      </c>
      <c r="H391" t="s">
        <v>42</v>
      </c>
      <c r="I391" t="s">
        <v>32</v>
      </c>
      <c r="J391" s="1">
        <v>43291</v>
      </c>
      <c r="K391">
        <v>8</v>
      </c>
      <c r="L391">
        <v>32433812</v>
      </c>
      <c r="M391">
        <v>2715834</v>
      </c>
      <c r="N391" t="s">
        <v>33</v>
      </c>
      <c r="O391">
        <v>4.26</v>
      </c>
      <c r="P391">
        <v>21</v>
      </c>
      <c r="Q391">
        <v>4</v>
      </c>
      <c r="R391">
        <v>3</v>
      </c>
      <c r="S391">
        <v>12</v>
      </c>
      <c r="T391" t="s">
        <v>34</v>
      </c>
      <c r="U391" t="s">
        <v>34</v>
      </c>
      <c r="V391" t="s">
        <v>35</v>
      </c>
      <c r="W391" t="s">
        <v>34</v>
      </c>
      <c r="X391" t="s">
        <v>52</v>
      </c>
      <c r="Z391" t="str">
        <f>IF(Table1[[#This Row],[Age]]&lt;30,"20-29",IF(Table1[[#This Row],[Age]]&lt;40,"30-39",IF(Table1[[#This Row],[Age]]&lt;50,"40-49","50+")))</f>
        <v>30-39</v>
      </c>
      <c r="AA391" t="str">
        <f>IF(Table1[[#This Row],[Salary]]&lt;20000000,"low",IF(Table1[[#This Row],[Salary]]&lt;40000000,"medium","high"))</f>
        <v>medium</v>
      </c>
      <c r="AB391">
        <f>YEAR(Table1[[#This Row],[Hire Date]])</f>
        <v>2018</v>
      </c>
      <c r="AC391" t="str">
        <f>TEXT(Table1[[#This Row],[Hire Date]],"mmmm")</f>
        <v>ژوئيه</v>
      </c>
      <c r="AD391" t="str">
        <f>IF(Table1[[#This Row],[Resigned]]="yes","former","active")</f>
        <v>active</v>
      </c>
    </row>
    <row r="392" spans="1:30" x14ac:dyDescent="0.3">
      <c r="A392" t="s">
        <v>849</v>
      </c>
      <c r="B392" t="s">
        <v>850</v>
      </c>
      <c r="C392" t="s">
        <v>39</v>
      </c>
      <c r="D392">
        <v>58</v>
      </c>
      <c r="E392" t="s">
        <v>56</v>
      </c>
      <c r="F392" t="s">
        <v>84</v>
      </c>
      <c r="G392" t="s">
        <v>58</v>
      </c>
      <c r="H392" t="s">
        <v>42</v>
      </c>
      <c r="I392" t="s">
        <v>32</v>
      </c>
      <c r="J392" s="1">
        <v>43963</v>
      </c>
      <c r="K392">
        <v>6</v>
      </c>
      <c r="L392">
        <v>42597659</v>
      </c>
      <c r="M392">
        <v>3922641</v>
      </c>
      <c r="N392" t="s">
        <v>33</v>
      </c>
      <c r="O392">
        <v>3.75</v>
      </c>
      <c r="P392">
        <v>22</v>
      </c>
      <c r="Q392">
        <v>2</v>
      </c>
      <c r="R392">
        <v>2</v>
      </c>
      <c r="S392">
        <v>8</v>
      </c>
      <c r="T392" t="s">
        <v>34</v>
      </c>
      <c r="U392" t="s">
        <v>34</v>
      </c>
      <c r="V392" t="s">
        <v>51</v>
      </c>
      <c r="W392" t="s">
        <v>33</v>
      </c>
      <c r="X392" t="s">
        <v>36</v>
      </c>
      <c r="Z392" t="str">
        <f>IF(Table1[[#This Row],[Age]]&lt;30,"20-29",IF(Table1[[#This Row],[Age]]&lt;40,"30-39",IF(Table1[[#This Row],[Age]]&lt;50,"40-49","50+")))</f>
        <v>50+</v>
      </c>
      <c r="AA392" t="str">
        <f>IF(Table1[[#This Row],[Salary]]&lt;20000000,"low",IF(Table1[[#This Row],[Salary]]&lt;40000000,"medium","high"))</f>
        <v>high</v>
      </c>
      <c r="AB392">
        <f>YEAR(Table1[[#This Row],[Hire Date]])</f>
        <v>2020</v>
      </c>
      <c r="AC392" t="str">
        <f>TEXT(Table1[[#This Row],[Hire Date]],"mmmm")</f>
        <v>مه</v>
      </c>
      <c r="AD392" t="str">
        <f>IF(Table1[[#This Row],[Resigned]]="yes","former","active")</f>
        <v>active</v>
      </c>
    </row>
    <row r="393" spans="1:30" x14ac:dyDescent="0.3">
      <c r="A393" t="s">
        <v>851</v>
      </c>
      <c r="B393" t="s">
        <v>852</v>
      </c>
      <c r="C393" t="s">
        <v>39</v>
      </c>
      <c r="D393">
        <v>35</v>
      </c>
      <c r="E393" t="s">
        <v>56</v>
      </c>
      <c r="F393" t="s">
        <v>84</v>
      </c>
      <c r="G393" t="s">
        <v>58</v>
      </c>
      <c r="H393" t="s">
        <v>42</v>
      </c>
      <c r="I393" t="s">
        <v>43</v>
      </c>
      <c r="J393" s="1">
        <v>45063</v>
      </c>
      <c r="K393">
        <v>3</v>
      </c>
      <c r="L393">
        <v>59908012</v>
      </c>
      <c r="M393">
        <v>9005508</v>
      </c>
      <c r="N393" t="s">
        <v>34</v>
      </c>
      <c r="O393">
        <v>4.9800000000000004</v>
      </c>
      <c r="P393">
        <v>14</v>
      </c>
      <c r="Q393">
        <v>1</v>
      </c>
      <c r="R393">
        <v>3</v>
      </c>
      <c r="S393">
        <v>12</v>
      </c>
      <c r="T393" t="s">
        <v>33</v>
      </c>
      <c r="U393" t="s">
        <v>34</v>
      </c>
      <c r="V393" t="s">
        <v>70</v>
      </c>
      <c r="W393" t="s">
        <v>34</v>
      </c>
      <c r="X393" t="s">
        <v>36</v>
      </c>
      <c r="Z393" t="str">
        <f>IF(Table1[[#This Row],[Age]]&lt;30,"20-29",IF(Table1[[#This Row],[Age]]&lt;40,"30-39",IF(Table1[[#This Row],[Age]]&lt;50,"40-49","50+")))</f>
        <v>30-39</v>
      </c>
      <c r="AA393" t="str">
        <f>IF(Table1[[#This Row],[Salary]]&lt;20000000,"low",IF(Table1[[#This Row],[Salary]]&lt;40000000,"medium","high"))</f>
        <v>high</v>
      </c>
      <c r="AB393">
        <f>YEAR(Table1[[#This Row],[Hire Date]])</f>
        <v>2023</v>
      </c>
      <c r="AC393" t="str">
        <f>TEXT(Table1[[#This Row],[Hire Date]],"mmmm")</f>
        <v>مه</v>
      </c>
      <c r="AD393" t="str">
        <f>IF(Table1[[#This Row],[Resigned]]="yes","former","active")</f>
        <v>active</v>
      </c>
    </row>
    <row r="394" spans="1:30" x14ac:dyDescent="0.3">
      <c r="A394" t="s">
        <v>853</v>
      </c>
      <c r="B394" t="s">
        <v>854</v>
      </c>
      <c r="C394" t="s">
        <v>27</v>
      </c>
      <c r="D394">
        <v>25</v>
      </c>
      <c r="E394" t="s">
        <v>40</v>
      </c>
      <c r="F394" t="s">
        <v>41</v>
      </c>
      <c r="G394" t="s">
        <v>30</v>
      </c>
      <c r="H394" t="s">
        <v>42</v>
      </c>
      <c r="I394" t="s">
        <v>81</v>
      </c>
      <c r="J394" s="1">
        <v>45501</v>
      </c>
      <c r="K394">
        <v>2</v>
      </c>
      <c r="L394">
        <v>56265099</v>
      </c>
      <c r="M394">
        <v>9058873</v>
      </c>
      <c r="N394" t="s">
        <v>33</v>
      </c>
      <c r="O394">
        <v>4.5</v>
      </c>
      <c r="P394">
        <v>73</v>
      </c>
      <c r="Q394">
        <v>2</v>
      </c>
      <c r="R394">
        <v>5</v>
      </c>
      <c r="S394">
        <v>19</v>
      </c>
      <c r="T394" t="s">
        <v>33</v>
      </c>
      <c r="U394" t="s">
        <v>34</v>
      </c>
      <c r="V394" t="s">
        <v>35</v>
      </c>
      <c r="W394" t="s">
        <v>33</v>
      </c>
      <c r="X394" t="s">
        <v>45</v>
      </c>
      <c r="Z394" t="str">
        <f>IF(Table1[[#This Row],[Age]]&lt;30,"20-29",IF(Table1[[#This Row],[Age]]&lt;40,"30-39",IF(Table1[[#This Row],[Age]]&lt;50,"40-49","50+")))</f>
        <v>20-29</v>
      </c>
      <c r="AA394" t="str">
        <f>IF(Table1[[#This Row],[Salary]]&lt;20000000,"low",IF(Table1[[#This Row],[Salary]]&lt;40000000,"medium","high"))</f>
        <v>high</v>
      </c>
      <c r="AB394">
        <f>YEAR(Table1[[#This Row],[Hire Date]])</f>
        <v>2024</v>
      </c>
      <c r="AC394" t="str">
        <f>TEXT(Table1[[#This Row],[Hire Date]],"mmmm")</f>
        <v>ژوئيه</v>
      </c>
      <c r="AD394" t="str">
        <f>IF(Table1[[#This Row],[Resigned]]="yes","former","active")</f>
        <v>active</v>
      </c>
    </row>
    <row r="395" spans="1:30" x14ac:dyDescent="0.3">
      <c r="A395" t="s">
        <v>855</v>
      </c>
      <c r="B395" t="s">
        <v>856</v>
      </c>
      <c r="C395" t="s">
        <v>27</v>
      </c>
      <c r="D395">
        <v>58</v>
      </c>
      <c r="E395" t="s">
        <v>28</v>
      </c>
      <c r="F395" t="s">
        <v>80</v>
      </c>
      <c r="G395" t="s">
        <v>58</v>
      </c>
      <c r="H395" t="s">
        <v>42</v>
      </c>
      <c r="I395" t="s">
        <v>81</v>
      </c>
      <c r="J395" s="1">
        <v>44420</v>
      </c>
      <c r="K395">
        <v>5</v>
      </c>
      <c r="L395">
        <v>23404229</v>
      </c>
      <c r="M395">
        <v>9693674</v>
      </c>
      <c r="N395" t="s">
        <v>33</v>
      </c>
      <c r="O395">
        <v>4.4000000000000004</v>
      </c>
      <c r="P395">
        <v>29</v>
      </c>
      <c r="Q395">
        <v>1</v>
      </c>
      <c r="R395">
        <v>1</v>
      </c>
      <c r="S395">
        <v>6</v>
      </c>
      <c r="T395" t="s">
        <v>34</v>
      </c>
      <c r="U395" t="s">
        <v>34</v>
      </c>
      <c r="V395" t="s">
        <v>35</v>
      </c>
      <c r="W395" t="s">
        <v>34</v>
      </c>
      <c r="X395" t="s">
        <v>45</v>
      </c>
      <c r="Z395" t="str">
        <f>IF(Table1[[#This Row],[Age]]&lt;30,"20-29",IF(Table1[[#This Row],[Age]]&lt;40,"30-39",IF(Table1[[#This Row],[Age]]&lt;50,"40-49","50+")))</f>
        <v>50+</v>
      </c>
      <c r="AA395" t="str">
        <f>IF(Table1[[#This Row],[Salary]]&lt;20000000,"low",IF(Table1[[#This Row],[Salary]]&lt;40000000,"medium","high"))</f>
        <v>medium</v>
      </c>
      <c r="AB395">
        <f>YEAR(Table1[[#This Row],[Hire Date]])</f>
        <v>2021</v>
      </c>
      <c r="AC395" t="str">
        <f>TEXT(Table1[[#This Row],[Hire Date]],"mmmm")</f>
        <v>اوت</v>
      </c>
      <c r="AD395" t="str">
        <f>IF(Table1[[#This Row],[Resigned]]="yes","former","active")</f>
        <v>active</v>
      </c>
    </row>
    <row r="396" spans="1:30" x14ac:dyDescent="0.3">
      <c r="A396" t="s">
        <v>857</v>
      </c>
      <c r="B396" t="s">
        <v>858</v>
      </c>
      <c r="C396" t="s">
        <v>39</v>
      </c>
      <c r="D396">
        <v>39</v>
      </c>
      <c r="E396" t="s">
        <v>110</v>
      </c>
      <c r="F396" t="s">
        <v>120</v>
      </c>
      <c r="G396" t="s">
        <v>58</v>
      </c>
      <c r="H396" t="s">
        <v>42</v>
      </c>
      <c r="I396" t="s">
        <v>81</v>
      </c>
      <c r="J396" s="1">
        <v>45160</v>
      </c>
      <c r="K396">
        <v>3</v>
      </c>
      <c r="L396">
        <v>50957977</v>
      </c>
      <c r="M396">
        <v>2578653</v>
      </c>
      <c r="N396" t="s">
        <v>33</v>
      </c>
      <c r="O396">
        <v>4.7</v>
      </c>
      <c r="P396">
        <v>59</v>
      </c>
      <c r="Q396">
        <v>5</v>
      </c>
      <c r="R396">
        <v>4</v>
      </c>
      <c r="S396">
        <v>6</v>
      </c>
      <c r="T396" t="s">
        <v>33</v>
      </c>
      <c r="U396" t="s">
        <v>34</v>
      </c>
      <c r="V396" t="s">
        <v>59</v>
      </c>
      <c r="W396" t="s">
        <v>34</v>
      </c>
      <c r="X396" t="s">
        <v>36</v>
      </c>
      <c r="Z396" t="str">
        <f>IF(Table1[[#This Row],[Age]]&lt;30,"20-29",IF(Table1[[#This Row],[Age]]&lt;40,"30-39",IF(Table1[[#This Row],[Age]]&lt;50,"40-49","50+")))</f>
        <v>30-39</v>
      </c>
      <c r="AA396" t="str">
        <f>IF(Table1[[#This Row],[Salary]]&lt;20000000,"low",IF(Table1[[#This Row],[Salary]]&lt;40000000,"medium","high"))</f>
        <v>high</v>
      </c>
      <c r="AB396">
        <f>YEAR(Table1[[#This Row],[Hire Date]])</f>
        <v>2023</v>
      </c>
      <c r="AC396" t="str">
        <f>TEXT(Table1[[#This Row],[Hire Date]],"mmmm")</f>
        <v>اوت</v>
      </c>
      <c r="AD396" t="str">
        <f>IF(Table1[[#This Row],[Resigned]]="yes","former","active")</f>
        <v>active</v>
      </c>
    </row>
    <row r="397" spans="1:30" x14ac:dyDescent="0.3">
      <c r="A397" t="s">
        <v>859</v>
      </c>
      <c r="B397" t="s">
        <v>860</v>
      </c>
      <c r="C397" t="s">
        <v>39</v>
      </c>
      <c r="D397">
        <v>24</v>
      </c>
      <c r="E397" t="s">
        <v>28</v>
      </c>
      <c r="F397" t="s">
        <v>29</v>
      </c>
      <c r="G397" t="s">
        <v>49</v>
      </c>
      <c r="H397" t="s">
        <v>31</v>
      </c>
      <c r="I397" t="s">
        <v>81</v>
      </c>
      <c r="J397" s="1">
        <v>42739</v>
      </c>
      <c r="K397">
        <v>9</v>
      </c>
      <c r="L397">
        <v>29102709</v>
      </c>
      <c r="M397">
        <v>3474118</v>
      </c>
      <c r="N397" t="s">
        <v>33</v>
      </c>
      <c r="O397">
        <v>4.95</v>
      </c>
      <c r="P397">
        <v>59</v>
      </c>
      <c r="Q397">
        <v>3</v>
      </c>
      <c r="R397">
        <v>2</v>
      </c>
      <c r="S397">
        <v>3</v>
      </c>
      <c r="T397" t="s">
        <v>33</v>
      </c>
      <c r="U397" t="s">
        <v>34</v>
      </c>
      <c r="V397" t="s">
        <v>59</v>
      </c>
      <c r="W397" t="s">
        <v>34</v>
      </c>
      <c r="X397" t="s">
        <v>45</v>
      </c>
      <c r="Z397" t="str">
        <f>IF(Table1[[#This Row],[Age]]&lt;30,"20-29",IF(Table1[[#This Row],[Age]]&lt;40,"30-39",IF(Table1[[#This Row],[Age]]&lt;50,"40-49","50+")))</f>
        <v>20-29</v>
      </c>
      <c r="AA397" t="str">
        <f>IF(Table1[[#This Row],[Salary]]&lt;20000000,"low",IF(Table1[[#This Row],[Salary]]&lt;40000000,"medium","high"))</f>
        <v>medium</v>
      </c>
      <c r="AB397">
        <f>YEAR(Table1[[#This Row],[Hire Date]])</f>
        <v>2017</v>
      </c>
      <c r="AC397" t="str">
        <f>TEXT(Table1[[#This Row],[Hire Date]],"mmmm")</f>
        <v>ژانويه</v>
      </c>
      <c r="AD397" t="str">
        <f>IF(Table1[[#This Row],[Resigned]]="yes","former","active")</f>
        <v>active</v>
      </c>
    </row>
    <row r="398" spans="1:30" x14ac:dyDescent="0.3">
      <c r="A398" t="s">
        <v>861</v>
      </c>
      <c r="B398" t="s">
        <v>862</v>
      </c>
      <c r="C398" t="s">
        <v>39</v>
      </c>
      <c r="D398">
        <v>50</v>
      </c>
      <c r="E398" t="s">
        <v>56</v>
      </c>
      <c r="F398" t="s">
        <v>84</v>
      </c>
      <c r="G398" t="s">
        <v>49</v>
      </c>
      <c r="H398" t="s">
        <v>31</v>
      </c>
      <c r="I398" t="s">
        <v>65</v>
      </c>
      <c r="J398" s="1">
        <v>43622</v>
      </c>
      <c r="K398">
        <v>7</v>
      </c>
      <c r="L398">
        <v>57313024</v>
      </c>
      <c r="M398">
        <v>5907748</v>
      </c>
      <c r="N398" t="s">
        <v>33</v>
      </c>
      <c r="O398">
        <v>4.62</v>
      </c>
      <c r="P398">
        <v>61</v>
      </c>
      <c r="Q398">
        <v>2</v>
      </c>
      <c r="R398">
        <v>4</v>
      </c>
      <c r="S398">
        <v>16</v>
      </c>
      <c r="T398" t="s">
        <v>33</v>
      </c>
      <c r="U398" t="s">
        <v>34</v>
      </c>
      <c r="V398" t="s">
        <v>59</v>
      </c>
      <c r="W398" t="s">
        <v>34</v>
      </c>
      <c r="X398" t="s">
        <v>52</v>
      </c>
      <c r="Z398" t="str">
        <f>IF(Table1[[#This Row],[Age]]&lt;30,"20-29",IF(Table1[[#This Row],[Age]]&lt;40,"30-39",IF(Table1[[#This Row],[Age]]&lt;50,"40-49","50+")))</f>
        <v>50+</v>
      </c>
      <c r="AA398" t="str">
        <f>IF(Table1[[#This Row],[Salary]]&lt;20000000,"low",IF(Table1[[#This Row],[Salary]]&lt;40000000,"medium","high"))</f>
        <v>high</v>
      </c>
      <c r="AB398">
        <f>YEAR(Table1[[#This Row],[Hire Date]])</f>
        <v>2019</v>
      </c>
      <c r="AC398" t="str">
        <f>TEXT(Table1[[#This Row],[Hire Date]],"mmmm")</f>
        <v>ژوئن</v>
      </c>
      <c r="AD398" t="str">
        <f>IF(Table1[[#This Row],[Resigned]]="yes","former","active")</f>
        <v>active</v>
      </c>
    </row>
    <row r="399" spans="1:30" x14ac:dyDescent="0.3">
      <c r="A399" t="s">
        <v>863</v>
      </c>
      <c r="B399" t="s">
        <v>864</v>
      </c>
      <c r="C399" t="s">
        <v>27</v>
      </c>
      <c r="D399">
        <v>24</v>
      </c>
      <c r="E399" t="s">
        <v>28</v>
      </c>
      <c r="F399" t="s">
        <v>29</v>
      </c>
      <c r="G399" t="s">
        <v>58</v>
      </c>
      <c r="H399" t="s">
        <v>42</v>
      </c>
      <c r="I399" t="s">
        <v>65</v>
      </c>
      <c r="J399" s="1">
        <v>43714</v>
      </c>
      <c r="K399">
        <v>7</v>
      </c>
      <c r="L399">
        <v>23751704</v>
      </c>
      <c r="M399">
        <v>8218889</v>
      </c>
      <c r="N399" t="s">
        <v>34</v>
      </c>
      <c r="O399">
        <v>4.32</v>
      </c>
      <c r="P399">
        <v>57</v>
      </c>
      <c r="Q399">
        <v>1</v>
      </c>
      <c r="R399">
        <v>1</v>
      </c>
      <c r="S399">
        <v>4</v>
      </c>
      <c r="T399" t="s">
        <v>34</v>
      </c>
      <c r="U399" t="s">
        <v>33</v>
      </c>
      <c r="V399" t="s">
        <v>35</v>
      </c>
      <c r="W399" t="s">
        <v>33</v>
      </c>
      <c r="X399" t="s">
        <v>52</v>
      </c>
      <c r="Y399" t="s">
        <v>53</v>
      </c>
      <c r="Z399" t="str">
        <f>IF(Table1[[#This Row],[Age]]&lt;30,"20-29",IF(Table1[[#This Row],[Age]]&lt;40,"30-39",IF(Table1[[#This Row],[Age]]&lt;50,"40-49","50+")))</f>
        <v>20-29</v>
      </c>
      <c r="AA399" t="str">
        <f>IF(Table1[[#This Row],[Salary]]&lt;20000000,"low",IF(Table1[[#This Row],[Salary]]&lt;40000000,"medium","high"))</f>
        <v>medium</v>
      </c>
      <c r="AB399">
        <f>YEAR(Table1[[#This Row],[Hire Date]])</f>
        <v>2019</v>
      </c>
      <c r="AC399" t="str">
        <f>TEXT(Table1[[#This Row],[Hire Date]],"mmmm")</f>
        <v>سپتامبر</v>
      </c>
      <c r="AD399" t="str">
        <f>IF(Table1[[#This Row],[Resigned]]="yes","former","active")</f>
        <v>former</v>
      </c>
    </row>
    <row r="400" spans="1:30" x14ac:dyDescent="0.3">
      <c r="A400" t="s">
        <v>865</v>
      </c>
      <c r="B400" t="s">
        <v>866</v>
      </c>
      <c r="C400" t="s">
        <v>27</v>
      </c>
      <c r="D400">
        <v>52</v>
      </c>
      <c r="E400" t="s">
        <v>73</v>
      </c>
      <c r="F400" t="s">
        <v>74</v>
      </c>
      <c r="G400" t="s">
        <v>49</v>
      </c>
      <c r="H400" t="s">
        <v>42</v>
      </c>
      <c r="I400" t="s">
        <v>81</v>
      </c>
      <c r="J400" s="1">
        <v>44869</v>
      </c>
      <c r="K400">
        <v>4</v>
      </c>
      <c r="L400">
        <v>57391315</v>
      </c>
      <c r="M400">
        <v>9457220</v>
      </c>
      <c r="N400" t="s">
        <v>33</v>
      </c>
      <c r="O400">
        <v>3.48</v>
      </c>
      <c r="P400">
        <v>38</v>
      </c>
      <c r="Q400">
        <v>3</v>
      </c>
      <c r="R400">
        <v>2</v>
      </c>
      <c r="S400">
        <v>0</v>
      </c>
      <c r="T400" t="s">
        <v>33</v>
      </c>
      <c r="U400" t="s">
        <v>34</v>
      </c>
      <c r="V400" t="s">
        <v>35</v>
      </c>
      <c r="W400" t="s">
        <v>33</v>
      </c>
      <c r="X400" t="s">
        <v>36</v>
      </c>
      <c r="Z400" t="str">
        <f>IF(Table1[[#This Row],[Age]]&lt;30,"20-29",IF(Table1[[#This Row],[Age]]&lt;40,"30-39",IF(Table1[[#This Row],[Age]]&lt;50,"40-49","50+")))</f>
        <v>50+</v>
      </c>
      <c r="AA400" t="str">
        <f>IF(Table1[[#This Row],[Salary]]&lt;20000000,"low",IF(Table1[[#This Row],[Salary]]&lt;40000000,"medium","high"))</f>
        <v>high</v>
      </c>
      <c r="AB400">
        <f>YEAR(Table1[[#This Row],[Hire Date]])</f>
        <v>2022</v>
      </c>
      <c r="AC400" t="str">
        <f>TEXT(Table1[[#This Row],[Hire Date]],"mmmm")</f>
        <v>نوامبر</v>
      </c>
      <c r="AD400" t="str">
        <f>IF(Table1[[#This Row],[Resigned]]="yes","former","active")</f>
        <v>active</v>
      </c>
    </row>
    <row r="401" spans="1:30" x14ac:dyDescent="0.3">
      <c r="A401" t="s">
        <v>867</v>
      </c>
      <c r="B401" t="s">
        <v>868</v>
      </c>
      <c r="C401" t="s">
        <v>39</v>
      </c>
      <c r="D401">
        <v>48</v>
      </c>
      <c r="E401" t="s">
        <v>73</v>
      </c>
      <c r="F401" t="s">
        <v>127</v>
      </c>
      <c r="G401" t="s">
        <v>58</v>
      </c>
      <c r="H401" t="s">
        <v>31</v>
      </c>
      <c r="I401" t="s">
        <v>32</v>
      </c>
      <c r="J401" s="1">
        <v>44477</v>
      </c>
      <c r="K401">
        <v>5</v>
      </c>
      <c r="L401">
        <v>30356756</v>
      </c>
      <c r="M401">
        <v>5021690</v>
      </c>
      <c r="N401" t="s">
        <v>33</v>
      </c>
      <c r="O401">
        <v>3.1</v>
      </c>
      <c r="P401">
        <v>68</v>
      </c>
      <c r="Q401">
        <v>4</v>
      </c>
      <c r="R401">
        <v>2</v>
      </c>
      <c r="S401">
        <v>20</v>
      </c>
      <c r="T401" t="s">
        <v>33</v>
      </c>
      <c r="U401" t="s">
        <v>34</v>
      </c>
      <c r="V401" t="s">
        <v>35</v>
      </c>
      <c r="W401" t="s">
        <v>33</v>
      </c>
      <c r="X401" t="s">
        <v>36</v>
      </c>
      <c r="Z401" t="str">
        <f>IF(Table1[[#This Row],[Age]]&lt;30,"20-29",IF(Table1[[#This Row],[Age]]&lt;40,"30-39",IF(Table1[[#This Row],[Age]]&lt;50,"40-49","50+")))</f>
        <v>40-49</v>
      </c>
      <c r="AA401" t="str">
        <f>IF(Table1[[#This Row],[Salary]]&lt;20000000,"low",IF(Table1[[#This Row],[Salary]]&lt;40000000,"medium","high"))</f>
        <v>medium</v>
      </c>
      <c r="AB401">
        <f>YEAR(Table1[[#This Row],[Hire Date]])</f>
        <v>2021</v>
      </c>
      <c r="AC401" t="str">
        <f>TEXT(Table1[[#This Row],[Hire Date]],"mmmm")</f>
        <v>اُكتبر</v>
      </c>
      <c r="AD401" t="str">
        <f>IF(Table1[[#This Row],[Resigned]]="yes","former","active")</f>
        <v>active</v>
      </c>
    </row>
    <row r="402" spans="1:30" x14ac:dyDescent="0.3">
      <c r="A402" t="s">
        <v>869</v>
      </c>
      <c r="B402" t="s">
        <v>870</v>
      </c>
      <c r="C402" t="s">
        <v>27</v>
      </c>
      <c r="D402">
        <v>39</v>
      </c>
      <c r="E402" t="s">
        <v>73</v>
      </c>
      <c r="F402" t="s">
        <v>127</v>
      </c>
      <c r="G402" t="s">
        <v>30</v>
      </c>
      <c r="H402" t="s">
        <v>42</v>
      </c>
      <c r="I402" t="s">
        <v>43</v>
      </c>
      <c r="J402" s="1">
        <v>43529</v>
      </c>
      <c r="K402">
        <v>7</v>
      </c>
      <c r="L402">
        <v>23226222</v>
      </c>
      <c r="M402">
        <v>9320633</v>
      </c>
      <c r="N402" t="s">
        <v>33</v>
      </c>
      <c r="O402">
        <v>3.68</v>
      </c>
      <c r="P402">
        <v>76</v>
      </c>
      <c r="Q402">
        <v>3</v>
      </c>
      <c r="R402">
        <v>5</v>
      </c>
      <c r="S402">
        <v>4</v>
      </c>
      <c r="T402" t="s">
        <v>33</v>
      </c>
      <c r="U402" t="s">
        <v>33</v>
      </c>
      <c r="V402" t="s">
        <v>51</v>
      </c>
      <c r="W402" t="s">
        <v>33</v>
      </c>
      <c r="X402" t="s">
        <v>36</v>
      </c>
      <c r="Y402" t="s">
        <v>53</v>
      </c>
      <c r="Z402" t="str">
        <f>IF(Table1[[#This Row],[Age]]&lt;30,"20-29",IF(Table1[[#This Row],[Age]]&lt;40,"30-39",IF(Table1[[#This Row],[Age]]&lt;50,"40-49","50+")))</f>
        <v>30-39</v>
      </c>
      <c r="AA402" t="str">
        <f>IF(Table1[[#This Row],[Salary]]&lt;20000000,"low",IF(Table1[[#This Row],[Salary]]&lt;40000000,"medium","high"))</f>
        <v>medium</v>
      </c>
      <c r="AB402">
        <f>YEAR(Table1[[#This Row],[Hire Date]])</f>
        <v>2019</v>
      </c>
      <c r="AC402" t="str">
        <f>TEXT(Table1[[#This Row],[Hire Date]],"mmmm")</f>
        <v>مارس</v>
      </c>
      <c r="AD402" t="str">
        <f>IF(Table1[[#This Row],[Resigned]]="yes","former","active")</f>
        <v>former</v>
      </c>
    </row>
    <row r="403" spans="1:30" x14ac:dyDescent="0.3">
      <c r="A403" t="s">
        <v>871</v>
      </c>
      <c r="B403" t="s">
        <v>872</v>
      </c>
      <c r="C403" t="s">
        <v>27</v>
      </c>
      <c r="D403">
        <v>39</v>
      </c>
      <c r="E403" t="s">
        <v>73</v>
      </c>
      <c r="F403" t="s">
        <v>127</v>
      </c>
      <c r="G403" t="s">
        <v>58</v>
      </c>
      <c r="H403" t="s">
        <v>31</v>
      </c>
      <c r="I403" t="s">
        <v>32</v>
      </c>
      <c r="J403" s="1">
        <v>45238</v>
      </c>
      <c r="K403">
        <v>3</v>
      </c>
      <c r="L403">
        <v>15120084</v>
      </c>
      <c r="M403">
        <v>7834282</v>
      </c>
      <c r="N403" t="s">
        <v>33</v>
      </c>
      <c r="O403">
        <v>3.16</v>
      </c>
      <c r="P403">
        <v>49</v>
      </c>
      <c r="Q403">
        <v>2</v>
      </c>
      <c r="R403">
        <v>1</v>
      </c>
      <c r="S403">
        <v>15</v>
      </c>
      <c r="T403" t="s">
        <v>33</v>
      </c>
      <c r="U403" t="s">
        <v>33</v>
      </c>
      <c r="V403" t="s">
        <v>59</v>
      </c>
      <c r="W403" t="s">
        <v>34</v>
      </c>
      <c r="X403" t="s">
        <v>45</v>
      </c>
      <c r="Y403" t="s">
        <v>75</v>
      </c>
      <c r="Z403" t="str">
        <f>IF(Table1[[#This Row],[Age]]&lt;30,"20-29",IF(Table1[[#This Row],[Age]]&lt;40,"30-39",IF(Table1[[#This Row],[Age]]&lt;50,"40-49","50+")))</f>
        <v>30-39</v>
      </c>
      <c r="AA403" t="str">
        <f>IF(Table1[[#This Row],[Salary]]&lt;20000000,"low",IF(Table1[[#This Row],[Salary]]&lt;40000000,"medium","high"))</f>
        <v>low</v>
      </c>
      <c r="AB403">
        <f>YEAR(Table1[[#This Row],[Hire Date]])</f>
        <v>2023</v>
      </c>
      <c r="AC403" t="str">
        <f>TEXT(Table1[[#This Row],[Hire Date]],"mmmm")</f>
        <v>نوامبر</v>
      </c>
      <c r="AD403" t="str">
        <f>IF(Table1[[#This Row],[Resigned]]="yes","former","active")</f>
        <v>former</v>
      </c>
    </row>
    <row r="404" spans="1:30" x14ac:dyDescent="0.3">
      <c r="A404" t="s">
        <v>873</v>
      </c>
      <c r="B404" t="s">
        <v>874</v>
      </c>
      <c r="C404" t="s">
        <v>27</v>
      </c>
      <c r="D404">
        <v>35</v>
      </c>
      <c r="E404" t="s">
        <v>73</v>
      </c>
      <c r="F404" t="s">
        <v>74</v>
      </c>
      <c r="G404" t="s">
        <v>58</v>
      </c>
      <c r="H404" t="s">
        <v>42</v>
      </c>
      <c r="I404" t="s">
        <v>81</v>
      </c>
      <c r="J404" s="1">
        <v>43493</v>
      </c>
      <c r="K404">
        <v>7</v>
      </c>
      <c r="L404">
        <v>45643311</v>
      </c>
      <c r="M404">
        <v>443519</v>
      </c>
      <c r="N404" t="s">
        <v>34</v>
      </c>
      <c r="O404">
        <v>4.9800000000000004</v>
      </c>
      <c r="P404">
        <v>65</v>
      </c>
      <c r="Q404">
        <v>1</v>
      </c>
      <c r="R404">
        <v>5</v>
      </c>
      <c r="S404">
        <v>20</v>
      </c>
      <c r="T404" t="s">
        <v>34</v>
      </c>
      <c r="U404" t="s">
        <v>33</v>
      </c>
      <c r="V404" t="s">
        <v>44</v>
      </c>
      <c r="W404" t="s">
        <v>34</v>
      </c>
      <c r="X404" t="s">
        <v>45</v>
      </c>
      <c r="Y404" t="s">
        <v>75</v>
      </c>
      <c r="Z404" t="str">
        <f>IF(Table1[[#This Row],[Age]]&lt;30,"20-29",IF(Table1[[#This Row],[Age]]&lt;40,"30-39",IF(Table1[[#This Row],[Age]]&lt;50,"40-49","50+")))</f>
        <v>30-39</v>
      </c>
      <c r="AA404" t="str">
        <f>IF(Table1[[#This Row],[Salary]]&lt;20000000,"low",IF(Table1[[#This Row],[Salary]]&lt;40000000,"medium","high"))</f>
        <v>high</v>
      </c>
      <c r="AB404">
        <f>YEAR(Table1[[#This Row],[Hire Date]])</f>
        <v>2019</v>
      </c>
      <c r="AC404" t="str">
        <f>TEXT(Table1[[#This Row],[Hire Date]],"mmmm")</f>
        <v>ژانويه</v>
      </c>
      <c r="AD404" t="str">
        <f>IF(Table1[[#This Row],[Resigned]]="yes","former","active")</f>
        <v>former</v>
      </c>
    </row>
    <row r="405" spans="1:30" x14ac:dyDescent="0.3">
      <c r="A405" t="s">
        <v>875</v>
      </c>
      <c r="B405" t="s">
        <v>876</v>
      </c>
      <c r="C405" t="s">
        <v>27</v>
      </c>
      <c r="D405">
        <v>35</v>
      </c>
      <c r="E405" t="s">
        <v>110</v>
      </c>
      <c r="F405" t="s">
        <v>120</v>
      </c>
      <c r="G405" t="s">
        <v>58</v>
      </c>
      <c r="H405" t="s">
        <v>42</v>
      </c>
      <c r="I405" t="s">
        <v>43</v>
      </c>
      <c r="J405" s="1">
        <v>45452</v>
      </c>
      <c r="K405">
        <v>2</v>
      </c>
      <c r="L405">
        <v>52149001</v>
      </c>
      <c r="M405">
        <v>8668157</v>
      </c>
      <c r="N405" t="s">
        <v>34</v>
      </c>
      <c r="O405">
        <v>3.55</v>
      </c>
      <c r="P405">
        <v>56</v>
      </c>
      <c r="Q405">
        <v>1</v>
      </c>
      <c r="R405">
        <v>4</v>
      </c>
      <c r="S405">
        <v>18</v>
      </c>
      <c r="T405" t="s">
        <v>34</v>
      </c>
      <c r="U405" t="s">
        <v>33</v>
      </c>
      <c r="V405" t="s">
        <v>59</v>
      </c>
      <c r="W405" t="s">
        <v>34</v>
      </c>
      <c r="X405" t="s">
        <v>36</v>
      </c>
      <c r="Y405" t="s">
        <v>53</v>
      </c>
      <c r="Z405" t="str">
        <f>IF(Table1[[#This Row],[Age]]&lt;30,"20-29",IF(Table1[[#This Row],[Age]]&lt;40,"30-39",IF(Table1[[#This Row],[Age]]&lt;50,"40-49","50+")))</f>
        <v>30-39</v>
      </c>
      <c r="AA405" t="str">
        <f>IF(Table1[[#This Row],[Salary]]&lt;20000000,"low",IF(Table1[[#This Row],[Salary]]&lt;40000000,"medium","high"))</f>
        <v>high</v>
      </c>
      <c r="AB405">
        <f>YEAR(Table1[[#This Row],[Hire Date]])</f>
        <v>2024</v>
      </c>
      <c r="AC405" t="str">
        <f>TEXT(Table1[[#This Row],[Hire Date]],"mmmm")</f>
        <v>ژوئن</v>
      </c>
      <c r="AD405" t="str">
        <f>IF(Table1[[#This Row],[Resigned]]="yes","former","active")</f>
        <v>former</v>
      </c>
    </row>
    <row r="406" spans="1:30" x14ac:dyDescent="0.3">
      <c r="A406" t="s">
        <v>877</v>
      </c>
      <c r="B406" t="s">
        <v>878</v>
      </c>
      <c r="C406" t="s">
        <v>39</v>
      </c>
      <c r="D406">
        <v>53</v>
      </c>
      <c r="E406" t="s">
        <v>110</v>
      </c>
      <c r="F406" t="s">
        <v>111</v>
      </c>
      <c r="G406" t="s">
        <v>49</v>
      </c>
      <c r="H406" t="s">
        <v>42</v>
      </c>
      <c r="I406" t="s">
        <v>43</v>
      </c>
      <c r="J406" s="1">
        <v>45828</v>
      </c>
      <c r="K406">
        <v>1</v>
      </c>
      <c r="L406">
        <v>49187005</v>
      </c>
      <c r="M406">
        <v>5175258</v>
      </c>
      <c r="N406" t="s">
        <v>33</v>
      </c>
      <c r="O406">
        <v>4.01</v>
      </c>
      <c r="P406">
        <v>64</v>
      </c>
      <c r="Q406">
        <v>1</v>
      </c>
      <c r="R406">
        <v>2</v>
      </c>
      <c r="S406">
        <v>6</v>
      </c>
      <c r="T406" t="s">
        <v>34</v>
      </c>
      <c r="U406" t="s">
        <v>34</v>
      </c>
      <c r="V406" t="s">
        <v>59</v>
      </c>
      <c r="W406" t="s">
        <v>33</v>
      </c>
      <c r="X406" t="s">
        <v>52</v>
      </c>
      <c r="Z406" t="str">
        <f>IF(Table1[[#This Row],[Age]]&lt;30,"20-29",IF(Table1[[#This Row],[Age]]&lt;40,"30-39",IF(Table1[[#This Row],[Age]]&lt;50,"40-49","50+")))</f>
        <v>50+</v>
      </c>
      <c r="AA406" t="str">
        <f>IF(Table1[[#This Row],[Salary]]&lt;20000000,"low",IF(Table1[[#This Row],[Salary]]&lt;40000000,"medium","high"))</f>
        <v>high</v>
      </c>
      <c r="AB406">
        <f>YEAR(Table1[[#This Row],[Hire Date]])</f>
        <v>2025</v>
      </c>
      <c r="AC406" t="str">
        <f>TEXT(Table1[[#This Row],[Hire Date]],"mmmm")</f>
        <v>ژوئن</v>
      </c>
      <c r="AD406" t="str">
        <f>IF(Table1[[#This Row],[Resigned]]="yes","former","active")</f>
        <v>active</v>
      </c>
    </row>
    <row r="407" spans="1:30" x14ac:dyDescent="0.3">
      <c r="A407" t="s">
        <v>879</v>
      </c>
      <c r="B407" t="s">
        <v>880</v>
      </c>
      <c r="C407" t="s">
        <v>39</v>
      </c>
      <c r="D407">
        <v>38</v>
      </c>
      <c r="E407" t="s">
        <v>63</v>
      </c>
      <c r="F407" t="s">
        <v>93</v>
      </c>
      <c r="G407" t="s">
        <v>30</v>
      </c>
      <c r="H407" t="s">
        <v>42</v>
      </c>
      <c r="I407" t="s">
        <v>32</v>
      </c>
      <c r="J407" s="1">
        <v>45158</v>
      </c>
      <c r="K407">
        <v>3</v>
      </c>
      <c r="L407">
        <v>42338060</v>
      </c>
      <c r="M407">
        <v>9119035</v>
      </c>
      <c r="N407" t="s">
        <v>34</v>
      </c>
      <c r="O407">
        <v>4.4800000000000004</v>
      </c>
      <c r="P407">
        <v>71</v>
      </c>
      <c r="Q407">
        <v>2</v>
      </c>
      <c r="R407">
        <v>5</v>
      </c>
      <c r="S407">
        <v>12</v>
      </c>
      <c r="T407" t="s">
        <v>33</v>
      </c>
      <c r="U407" t="s">
        <v>33</v>
      </c>
      <c r="V407" t="s">
        <v>35</v>
      </c>
      <c r="W407" t="s">
        <v>33</v>
      </c>
      <c r="X407" t="s">
        <v>36</v>
      </c>
      <c r="Y407" t="s">
        <v>60</v>
      </c>
      <c r="Z407" t="str">
        <f>IF(Table1[[#This Row],[Age]]&lt;30,"20-29",IF(Table1[[#This Row],[Age]]&lt;40,"30-39",IF(Table1[[#This Row],[Age]]&lt;50,"40-49","50+")))</f>
        <v>30-39</v>
      </c>
      <c r="AA407" t="str">
        <f>IF(Table1[[#This Row],[Salary]]&lt;20000000,"low",IF(Table1[[#This Row],[Salary]]&lt;40000000,"medium","high"))</f>
        <v>high</v>
      </c>
      <c r="AB407">
        <f>YEAR(Table1[[#This Row],[Hire Date]])</f>
        <v>2023</v>
      </c>
      <c r="AC407" t="str">
        <f>TEXT(Table1[[#This Row],[Hire Date]],"mmmm")</f>
        <v>اوت</v>
      </c>
      <c r="AD407" t="str">
        <f>IF(Table1[[#This Row],[Resigned]]="yes","former","active")</f>
        <v>former</v>
      </c>
    </row>
    <row r="408" spans="1:30" x14ac:dyDescent="0.3">
      <c r="A408" t="s">
        <v>881</v>
      </c>
      <c r="B408" t="s">
        <v>882</v>
      </c>
      <c r="C408" t="s">
        <v>27</v>
      </c>
      <c r="D408">
        <v>54</v>
      </c>
      <c r="E408" t="s">
        <v>28</v>
      </c>
      <c r="F408" t="s">
        <v>29</v>
      </c>
      <c r="G408" t="s">
        <v>30</v>
      </c>
      <c r="H408" t="s">
        <v>42</v>
      </c>
      <c r="I408" t="s">
        <v>50</v>
      </c>
      <c r="J408" s="1">
        <v>45802</v>
      </c>
      <c r="K408">
        <v>1</v>
      </c>
      <c r="L408">
        <v>58888899</v>
      </c>
      <c r="M408">
        <v>130331</v>
      </c>
      <c r="N408" t="s">
        <v>34</v>
      </c>
      <c r="O408">
        <v>4.8600000000000003</v>
      </c>
      <c r="P408">
        <v>5</v>
      </c>
      <c r="Q408">
        <v>3</v>
      </c>
      <c r="R408">
        <v>1</v>
      </c>
      <c r="S408">
        <v>0</v>
      </c>
      <c r="T408" t="s">
        <v>34</v>
      </c>
      <c r="U408" t="s">
        <v>34</v>
      </c>
      <c r="V408" t="s">
        <v>59</v>
      </c>
      <c r="W408" t="s">
        <v>34</v>
      </c>
      <c r="X408" t="s">
        <v>36</v>
      </c>
      <c r="Z408" t="str">
        <f>IF(Table1[[#This Row],[Age]]&lt;30,"20-29",IF(Table1[[#This Row],[Age]]&lt;40,"30-39",IF(Table1[[#This Row],[Age]]&lt;50,"40-49","50+")))</f>
        <v>50+</v>
      </c>
      <c r="AA408" t="str">
        <f>IF(Table1[[#This Row],[Salary]]&lt;20000000,"low",IF(Table1[[#This Row],[Salary]]&lt;40000000,"medium","high"))</f>
        <v>high</v>
      </c>
      <c r="AB408">
        <f>YEAR(Table1[[#This Row],[Hire Date]])</f>
        <v>2025</v>
      </c>
      <c r="AC408" t="str">
        <f>TEXT(Table1[[#This Row],[Hire Date]],"mmmm")</f>
        <v>مه</v>
      </c>
      <c r="AD408" t="str">
        <f>IF(Table1[[#This Row],[Resigned]]="yes","former","active")</f>
        <v>active</v>
      </c>
    </row>
    <row r="409" spans="1:30" x14ac:dyDescent="0.3">
      <c r="A409" t="s">
        <v>883</v>
      </c>
      <c r="B409" t="s">
        <v>884</v>
      </c>
      <c r="C409" t="s">
        <v>39</v>
      </c>
      <c r="D409">
        <v>33</v>
      </c>
      <c r="E409" t="s">
        <v>40</v>
      </c>
      <c r="F409" t="s">
        <v>48</v>
      </c>
      <c r="G409" t="s">
        <v>58</v>
      </c>
      <c r="H409" t="s">
        <v>42</v>
      </c>
      <c r="I409" t="s">
        <v>50</v>
      </c>
      <c r="J409" s="1">
        <v>42773</v>
      </c>
      <c r="K409">
        <v>9</v>
      </c>
      <c r="L409">
        <v>27599527</v>
      </c>
      <c r="M409">
        <v>4389139</v>
      </c>
      <c r="N409" t="s">
        <v>34</v>
      </c>
      <c r="O409">
        <v>4.59</v>
      </c>
      <c r="P409">
        <v>77</v>
      </c>
      <c r="Q409">
        <v>1</v>
      </c>
      <c r="R409">
        <v>1</v>
      </c>
      <c r="S409">
        <v>20</v>
      </c>
      <c r="T409" t="s">
        <v>34</v>
      </c>
      <c r="U409" t="s">
        <v>34</v>
      </c>
      <c r="V409" t="s">
        <v>35</v>
      </c>
      <c r="W409" t="s">
        <v>33</v>
      </c>
      <c r="X409" t="s">
        <v>52</v>
      </c>
      <c r="Z409" t="str">
        <f>IF(Table1[[#This Row],[Age]]&lt;30,"20-29",IF(Table1[[#This Row],[Age]]&lt;40,"30-39",IF(Table1[[#This Row],[Age]]&lt;50,"40-49","50+")))</f>
        <v>30-39</v>
      </c>
      <c r="AA409" t="str">
        <f>IF(Table1[[#This Row],[Salary]]&lt;20000000,"low",IF(Table1[[#This Row],[Salary]]&lt;40000000,"medium","high"))</f>
        <v>medium</v>
      </c>
      <c r="AB409">
        <f>YEAR(Table1[[#This Row],[Hire Date]])</f>
        <v>2017</v>
      </c>
      <c r="AC409" t="str">
        <f>TEXT(Table1[[#This Row],[Hire Date]],"mmmm")</f>
        <v>فوريه</v>
      </c>
      <c r="AD409" t="str">
        <f>IF(Table1[[#This Row],[Resigned]]="yes","former","active")</f>
        <v>active</v>
      </c>
    </row>
    <row r="410" spans="1:30" x14ac:dyDescent="0.3">
      <c r="A410" t="s">
        <v>885</v>
      </c>
      <c r="B410" t="s">
        <v>886</v>
      </c>
      <c r="C410" t="s">
        <v>39</v>
      </c>
      <c r="D410">
        <v>58</v>
      </c>
      <c r="E410" t="s">
        <v>28</v>
      </c>
      <c r="F410" t="s">
        <v>29</v>
      </c>
      <c r="G410" t="s">
        <v>30</v>
      </c>
      <c r="H410" t="s">
        <v>31</v>
      </c>
      <c r="I410" t="s">
        <v>81</v>
      </c>
      <c r="J410" s="1">
        <v>43134</v>
      </c>
      <c r="K410">
        <v>8</v>
      </c>
      <c r="L410">
        <v>49390553</v>
      </c>
      <c r="M410">
        <v>4144976</v>
      </c>
      <c r="N410" t="s">
        <v>33</v>
      </c>
      <c r="O410">
        <v>3.8</v>
      </c>
      <c r="P410">
        <v>61</v>
      </c>
      <c r="Q410">
        <v>5</v>
      </c>
      <c r="R410">
        <v>3</v>
      </c>
      <c r="S410">
        <v>9</v>
      </c>
      <c r="T410" t="s">
        <v>33</v>
      </c>
      <c r="U410" t="s">
        <v>33</v>
      </c>
      <c r="V410" t="s">
        <v>44</v>
      </c>
      <c r="W410" t="s">
        <v>33</v>
      </c>
      <c r="X410" t="s">
        <v>45</v>
      </c>
      <c r="Y410" t="s">
        <v>75</v>
      </c>
      <c r="Z410" t="str">
        <f>IF(Table1[[#This Row],[Age]]&lt;30,"20-29",IF(Table1[[#This Row],[Age]]&lt;40,"30-39",IF(Table1[[#This Row],[Age]]&lt;50,"40-49","50+")))</f>
        <v>50+</v>
      </c>
      <c r="AA410" t="str">
        <f>IF(Table1[[#This Row],[Salary]]&lt;20000000,"low",IF(Table1[[#This Row],[Salary]]&lt;40000000,"medium","high"))</f>
        <v>high</v>
      </c>
      <c r="AB410">
        <f>YEAR(Table1[[#This Row],[Hire Date]])</f>
        <v>2018</v>
      </c>
      <c r="AC410" t="str">
        <f>TEXT(Table1[[#This Row],[Hire Date]],"mmmm")</f>
        <v>فوريه</v>
      </c>
      <c r="AD410" t="str">
        <f>IF(Table1[[#This Row],[Resigned]]="yes","former","active")</f>
        <v>former</v>
      </c>
    </row>
    <row r="411" spans="1:30" x14ac:dyDescent="0.3">
      <c r="A411" t="s">
        <v>887</v>
      </c>
      <c r="B411" t="s">
        <v>888</v>
      </c>
      <c r="C411" t="s">
        <v>39</v>
      </c>
      <c r="D411">
        <v>22</v>
      </c>
      <c r="E411" t="s">
        <v>56</v>
      </c>
      <c r="F411" t="s">
        <v>84</v>
      </c>
      <c r="G411" t="s">
        <v>49</v>
      </c>
      <c r="H411" t="s">
        <v>42</v>
      </c>
      <c r="I411" t="s">
        <v>32</v>
      </c>
      <c r="J411" s="1">
        <v>45870</v>
      </c>
      <c r="K411">
        <v>1</v>
      </c>
      <c r="L411">
        <v>20749274</v>
      </c>
      <c r="M411">
        <v>1380869</v>
      </c>
      <c r="N411" t="s">
        <v>34</v>
      </c>
      <c r="O411">
        <v>3.02</v>
      </c>
      <c r="P411">
        <v>35</v>
      </c>
      <c r="Q411">
        <v>3</v>
      </c>
      <c r="R411">
        <v>3</v>
      </c>
      <c r="S411">
        <v>1</v>
      </c>
      <c r="T411" t="s">
        <v>34</v>
      </c>
      <c r="U411" t="s">
        <v>33</v>
      </c>
      <c r="V411" t="s">
        <v>44</v>
      </c>
      <c r="W411" t="s">
        <v>33</v>
      </c>
      <c r="X411" t="s">
        <v>36</v>
      </c>
      <c r="Y411" t="s">
        <v>53</v>
      </c>
      <c r="Z411" t="str">
        <f>IF(Table1[[#This Row],[Age]]&lt;30,"20-29",IF(Table1[[#This Row],[Age]]&lt;40,"30-39",IF(Table1[[#This Row],[Age]]&lt;50,"40-49","50+")))</f>
        <v>20-29</v>
      </c>
      <c r="AA411" t="str">
        <f>IF(Table1[[#This Row],[Salary]]&lt;20000000,"low",IF(Table1[[#This Row],[Salary]]&lt;40000000,"medium","high"))</f>
        <v>medium</v>
      </c>
      <c r="AB411">
        <f>YEAR(Table1[[#This Row],[Hire Date]])</f>
        <v>2025</v>
      </c>
      <c r="AC411" t="str">
        <f>TEXT(Table1[[#This Row],[Hire Date]],"mmmm")</f>
        <v>اوت</v>
      </c>
      <c r="AD411" t="str">
        <f>IF(Table1[[#This Row],[Resigned]]="yes","former","active")</f>
        <v>former</v>
      </c>
    </row>
    <row r="412" spans="1:30" x14ac:dyDescent="0.3">
      <c r="A412" t="s">
        <v>889</v>
      </c>
      <c r="B412" t="s">
        <v>890</v>
      </c>
      <c r="C412" t="s">
        <v>27</v>
      </c>
      <c r="D412">
        <v>51</v>
      </c>
      <c r="E412" t="s">
        <v>28</v>
      </c>
      <c r="F412" t="s">
        <v>29</v>
      </c>
      <c r="G412" t="s">
        <v>30</v>
      </c>
      <c r="H412" t="s">
        <v>42</v>
      </c>
      <c r="I412" t="s">
        <v>65</v>
      </c>
      <c r="J412" s="1">
        <v>45598</v>
      </c>
      <c r="K412">
        <v>2</v>
      </c>
      <c r="L412">
        <v>23170673</v>
      </c>
      <c r="M412">
        <v>3518931</v>
      </c>
      <c r="N412" t="s">
        <v>33</v>
      </c>
      <c r="O412">
        <v>2.98</v>
      </c>
      <c r="P412">
        <v>31</v>
      </c>
      <c r="Q412">
        <v>5</v>
      </c>
      <c r="R412">
        <v>1</v>
      </c>
      <c r="S412">
        <v>5</v>
      </c>
      <c r="T412" t="s">
        <v>34</v>
      </c>
      <c r="U412" t="s">
        <v>34</v>
      </c>
      <c r="V412" t="s">
        <v>59</v>
      </c>
      <c r="W412" t="s">
        <v>33</v>
      </c>
      <c r="X412" t="s">
        <v>52</v>
      </c>
      <c r="Z412" t="str">
        <f>IF(Table1[[#This Row],[Age]]&lt;30,"20-29",IF(Table1[[#This Row],[Age]]&lt;40,"30-39",IF(Table1[[#This Row],[Age]]&lt;50,"40-49","50+")))</f>
        <v>50+</v>
      </c>
      <c r="AA412" t="str">
        <f>IF(Table1[[#This Row],[Salary]]&lt;20000000,"low",IF(Table1[[#This Row],[Salary]]&lt;40000000,"medium","high"))</f>
        <v>medium</v>
      </c>
      <c r="AB412">
        <f>YEAR(Table1[[#This Row],[Hire Date]])</f>
        <v>2024</v>
      </c>
      <c r="AC412" t="str">
        <f>TEXT(Table1[[#This Row],[Hire Date]],"mmmm")</f>
        <v>نوامبر</v>
      </c>
      <c r="AD412" t="str">
        <f>IF(Table1[[#This Row],[Resigned]]="yes","former","active")</f>
        <v>active</v>
      </c>
    </row>
    <row r="413" spans="1:30" x14ac:dyDescent="0.3">
      <c r="A413" t="s">
        <v>891</v>
      </c>
      <c r="B413" t="s">
        <v>892</v>
      </c>
      <c r="C413" t="s">
        <v>27</v>
      </c>
      <c r="D413">
        <v>32</v>
      </c>
      <c r="E413" t="s">
        <v>110</v>
      </c>
      <c r="F413" t="s">
        <v>111</v>
      </c>
      <c r="G413" t="s">
        <v>58</v>
      </c>
      <c r="H413" t="s">
        <v>31</v>
      </c>
      <c r="I413" t="s">
        <v>81</v>
      </c>
      <c r="J413" s="1">
        <v>42724</v>
      </c>
      <c r="K413">
        <v>10</v>
      </c>
      <c r="L413">
        <v>29319825</v>
      </c>
      <c r="M413">
        <v>6954076</v>
      </c>
      <c r="N413" t="s">
        <v>33</v>
      </c>
      <c r="O413">
        <v>4.22</v>
      </c>
      <c r="P413">
        <v>40</v>
      </c>
      <c r="Q413">
        <v>1</v>
      </c>
      <c r="R413">
        <v>1</v>
      </c>
      <c r="S413">
        <v>3</v>
      </c>
      <c r="T413" t="s">
        <v>34</v>
      </c>
      <c r="U413" t="s">
        <v>34</v>
      </c>
      <c r="V413" t="s">
        <v>70</v>
      </c>
      <c r="W413" t="s">
        <v>34</v>
      </c>
      <c r="X413" t="s">
        <v>45</v>
      </c>
      <c r="Z413" t="str">
        <f>IF(Table1[[#This Row],[Age]]&lt;30,"20-29",IF(Table1[[#This Row],[Age]]&lt;40,"30-39",IF(Table1[[#This Row],[Age]]&lt;50,"40-49","50+")))</f>
        <v>30-39</v>
      </c>
      <c r="AA413" t="str">
        <f>IF(Table1[[#This Row],[Salary]]&lt;20000000,"low",IF(Table1[[#This Row],[Salary]]&lt;40000000,"medium","high"))</f>
        <v>medium</v>
      </c>
      <c r="AB413">
        <f>YEAR(Table1[[#This Row],[Hire Date]])</f>
        <v>2016</v>
      </c>
      <c r="AC413" t="str">
        <f>TEXT(Table1[[#This Row],[Hire Date]],"mmmm")</f>
        <v>دسامبر</v>
      </c>
      <c r="AD413" t="str">
        <f>IF(Table1[[#This Row],[Resigned]]="yes","former","active")</f>
        <v>active</v>
      </c>
    </row>
    <row r="414" spans="1:30" x14ac:dyDescent="0.3">
      <c r="A414" t="s">
        <v>893</v>
      </c>
      <c r="B414" t="s">
        <v>894</v>
      </c>
      <c r="C414" t="s">
        <v>39</v>
      </c>
      <c r="D414">
        <v>54</v>
      </c>
      <c r="E414" t="s">
        <v>73</v>
      </c>
      <c r="F414" t="s">
        <v>74</v>
      </c>
      <c r="G414" t="s">
        <v>58</v>
      </c>
      <c r="H414" t="s">
        <v>31</v>
      </c>
      <c r="I414" t="s">
        <v>32</v>
      </c>
      <c r="J414" s="1">
        <v>45485</v>
      </c>
      <c r="K414">
        <v>2</v>
      </c>
      <c r="L414">
        <v>22843040</v>
      </c>
      <c r="M414">
        <v>9117572</v>
      </c>
      <c r="N414" t="s">
        <v>34</v>
      </c>
      <c r="O414">
        <v>4.4800000000000004</v>
      </c>
      <c r="P414">
        <v>79</v>
      </c>
      <c r="Q414">
        <v>1</v>
      </c>
      <c r="R414">
        <v>1</v>
      </c>
      <c r="S414">
        <v>19</v>
      </c>
      <c r="T414" t="s">
        <v>33</v>
      </c>
      <c r="U414" t="s">
        <v>34</v>
      </c>
      <c r="V414" t="s">
        <v>59</v>
      </c>
      <c r="W414" t="s">
        <v>33</v>
      </c>
      <c r="X414" t="s">
        <v>36</v>
      </c>
      <c r="Z414" t="str">
        <f>IF(Table1[[#This Row],[Age]]&lt;30,"20-29",IF(Table1[[#This Row],[Age]]&lt;40,"30-39",IF(Table1[[#This Row],[Age]]&lt;50,"40-49","50+")))</f>
        <v>50+</v>
      </c>
      <c r="AA414" t="str">
        <f>IF(Table1[[#This Row],[Salary]]&lt;20000000,"low",IF(Table1[[#This Row],[Salary]]&lt;40000000,"medium","high"))</f>
        <v>medium</v>
      </c>
      <c r="AB414">
        <f>YEAR(Table1[[#This Row],[Hire Date]])</f>
        <v>2024</v>
      </c>
      <c r="AC414" t="str">
        <f>TEXT(Table1[[#This Row],[Hire Date]],"mmmm")</f>
        <v>ژوئيه</v>
      </c>
      <c r="AD414" t="str">
        <f>IF(Table1[[#This Row],[Resigned]]="yes","former","active")</f>
        <v>active</v>
      </c>
    </row>
    <row r="415" spans="1:30" x14ac:dyDescent="0.3">
      <c r="A415" t="s">
        <v>895</v>
      </c>
      <c r="B415" t="s">
        <v>896</v>
      </c>
      <c r="C415" t="s">
        <v>27</v>
      </c>
      <c r="D415">
        <v>44</v>
      </c>
      <c r="E415" t="s">
        <v>63</v>
      </c>
      <c r="F415" t="s">
        <v>93</v>
      </c>
      <c r="G415" t="s">
        <v>49</v>
      </c>
      <c r="H415" t="s">
        <v>42</v>
      </c>
      <c r="I415" t="s">
        <v>65</v>
      </c>
      <c r="J415" s="1">
        <v>42918</v>
      </c>
      <c r="K415">
        <v>9</v>
      </c>
      <c r="L415">
        <v>32700140</v>
      </c>
      <c r="M415">
        <v>3067700</v>
      </c>
      <c r="N415" t="s">
        <v>34</v>
      </c>
      <c r="O415">
        <v>3.74</v>
      </c>
      <c r="P415">
        <v>13</v>
      </c>
      <c r="Q415">
        <v>5</v>
      </c>
      <c r="R415">
        <v>2</v>
      </c>
      <c r="S415">
        <v>19</v>
      </c>
      <c r="T415" t="s">
        <v>34</v>
      </c>
      <c r="U415" t="s">
        <v>33</v>
      </c>
      <c r="V415" t="s">
        <v>51</v>
      </c>
      <c r="W415" t="s">
        <v>33</v>
      </c>
      <c r="X415" t="s">
        <v>52</v>
      </c>
      <c r="Y415" t="s">
        <v>75</v>
      </c>
      <c r="Z415" t="str">
        <f>IF(Table1[[#This Row],[Age]]&lt;30,"20-29",IF(Table1[[#This Row],[Age]]&lt;40,"30-39",IF(Table1[[#This Row],[Age]]&lt;50,"40-49","50+")))</f>
        <v>40-49</v>
      </c>
      <c r="AA415" t="str">
        <f>IF(Table1[[#This Row],[Salary]]&lt;20000000,"low",IF(Table1[[#This Row],[Salary]]&lt;40000000,"medium","high"))</f>
        <v>medium</v>
      </c>
      <c r="AB415">
        <f>YEAR(Table1[[#This Row],[Hire Date]])</f>
        <v>2017</v>
      </c>
      <c r="AC415" t="str">
        <f>TEXT(Table1[[#This Row],[Hire Date]],"mmmm")</f>
        <v>ژوئيه</v>
      </c>
      <c r="AD415" t="str">
        <f>IF(Table1[[#This Row],[Resigned]]="yes","former","active")</f>
        <v>former</v>
      </c>
    </row>
    <row r="416" spans="1:30" x14ac:dyDescent="0.3">
      <c r="A416" t="s">
        <v>897</v>
      </c>
      <c r="B416" t="s">
        <v>898</v>
      </c>
      <c r="C416" t="s">
        <v>27</v>
      </c>
      <c r="D416">
        <v>30</v>
      </c>
      <c r="E416" t="s">
        <v>40</v>
      </c>
      <c r="F416" t="s">
        <v>48</v>
      </c>
      <c r="G416" t="s">
        <v>49</v>
      </c>
      <c r="H416" t="s">
        <v>42</v>
      </c>
      <c r="I416" t="s">
        <v>65</v>
      </c>
      <c r="J416" s="1">
        <v>42546</v>
      </c>
      <c r="K416">
        <v>10</v>
      </c>
      <c r="L416">
        <v>48822081</v>
      </c>
      <c r="M416">
        <v>1134282</v>
      </c>
      <c r="N416" t="s">
        <v>33</v>
      </c>
      <c r="O416">
        <v>3.35</v>
      </c>
      <c r="P416">
        <v>56</v>
      </c>
      <c r="Q416">
        <v>4</v>
      </c>
      <c r="R416">
        <v>1</v>
      </c>
      <c r="S416">
        <v>6</v>
      </c>
      <c r="T416" t="s">
        <v>33</v>
      </c>
      <c r="U416" t="s">
        <v>34</v>
      </c>
      <c r="V416" t="s">
        <v>35</v>
      </c>
      <c r="W416" t="s">
        <v>33</v>
      </c>
      <c r="X416" t="s">
        <v>36</v>
      </c>
      <c r="Z416" t="str">
        <f>IF(Table1[[#This Row],[Age]]&lt;30,"20-29",IF(Table1[[#This Row],[Age]]&lt;40,"30-39",IF(Table1[[#This Row],[Age]]&lt;50,"40-49","50+")))</f>
        <v>30-39</v>
      </c>
      <c r="AA416" t="str">
        <f>IF(Table1[[#This Row],[Salary]]&lt;20000000,"low",IF(Table1[[#This Row],[Salary]]&lt;40000000,"medium","high"))</f>
        <v>high</v>
      </c>
      <c r="AB416">
        <f>YEAR(Table1[[#This Row],[Hire Date]])</f>
        <v>2016</v>
      </c>
      <c r="AC416" t="str">
        <f>TEXT(Table1[[#This Row],[Hire Date]],"mmmm")</f>
        <v>ژوئن</v>
      </c>
      <c r="AD416" t="str">
        <f>IF(Table1[[#This Row],[Resigned]]="yes","former","active")</f>
        <v>active</v>
      </c>
    </row>
    <row r="417" spans="1:30" x14ac:dyDescent="0.3">
      <c r="A417" t="s">
        <v>899</v>
      </c>
      <c r="B417" t="s">
        <v>900</v>
      </c>
      <c r="C417" t="s">
        <v>27</v>
      </c>
      <c r="D417">
        <v>47</v>
      </c>
      <c r="E417" t="s">
        <v>73</v>
      </c>
      <c r="F417" t="s">
        <v>74</v>
      </c>
      <c r="G417" t="s">
        <v>58</v>
      </c>
      <c r="H417" t="s">
        <v>31</v>
      </c>
      <c r="I417" t="s">
        <v>50</v>
      </c>
      <c r="J417" s="1">
        <v>45693</v>
      </c>
      <c r="K417">
        <v>1</v>
      </c>
      <c r="L417">
        <v>51522305</v>
      </c>
      <c r="M417">
        <v>6850026</v>
      </c>
      <c r="N417" t="s">
        <v>33</v>
      </c>
      <c r="O417">
        <v>2.6</v>
      </c>
      <c r="P417">
        <v>43</v>
      </c>
      <c r="Q417">
        <v>3</v>
      </c>
      <c r="R417">
        <v>5</v>
      </c>
      <c r="S417">
        <v>15</v>
      </c>
      <c r="T417" t="s">
        <v>33</v>
      </c>
      <c r="U417" t="s">
        <v>34</v>
      </c>
      <c r="V417" t="s">
        <v>44</v>
      </c>
      <c r="W417" t="s">
        <v>33</v>
      </c>
      <c r="X417" t="s">
        <v>52</v>
      </c>
      <c r="Z417" t="str">
        <f>IF(Table1[[#This Row],[Age]]&lt;30,"20-29",IF(Table1[[#This Row],[Age]]&lt;40,"30-39",IF(Table1[[#This Row],[Age]]&lt;50,"40-49","50+")))</f>
        <v>40-49</v>
      </c>
      <c r="AA417" t="str">
        <f>IF(Table1[[#This Row],[Salary]]&lt;20000000,"low",IF(Table1[[#This Row],[Salary]]&lt;40000000,"medium","high"))</f>
        <v>high</v>
      </c>
      <c r="AB417">
        <f>YEAR(Table1[[#This Row],[Hire Date]])</f>
        <v>2025</v>
      </c>
      <c r="AC417" t="str">
        <f>TEXT(Table1[[#This Row],[Hire Date]],"mmmm")</f>
        <v>فوريه</v>
      </c>
      <c r="AD417" t="str">
        <f>IF(Table1[[#This Row],[Resigned]]="yes","former","active")</f>
        <v>active</v>
      </c>
    </row>
    <row r="418" spans="1:30" x14ac:dyDescent="0.3">
      <c r="A418" t="s">
        <v>901</v>
      </c>
      <c r="B418" t="s">
        <v>902</v>
      </c>
      <c r="C418" t="s">
        <v>39</v>
      </c>
      <c r="D418">
        <v>38</v>
      </c>
      <c r="E418" t="s">
        <v>56</v>
      </c>
      <c r="F418" t="s">
        <v>57</v>
      </c>
      <c r="G418" t="s">
        <v>49</v>
      </c>
      <c r="H418" t="s">
        <v>31</v>
      </c>
      <c r="I418" t="s">
        <v>81</v>
      </c>
      <c r="J418" s="1">
        <v>45659</v>
      </c>
      <c r="K418">
        <v>1</v>
      </c>
      <c r="L418">
        <v>20934703</v>
      </c>
      <c r="M418">
        <v>9034562</v>
      </c>
      <c r="N418" t="s">
        <v>34</v>
      </c>
      <c r="O418">
        <v>4.46</v>
      </c>
      <c r="P418">
        <v>65</v>
      </c>
      <c r="Q418">
        <v>4</v>
      </c>
      <c r="R418">
        <v>2</v>
      </c>
      <c r="S418">
        <v>10</v>
      </c>
      <c r="T418" t="s">
        <v>33</v>
      </c>
      <c r="U418" t="s">
        <v>34</v>
      </c>
      <c r="V418" t="s">
        <v>51</v>
      </c>
      <c r="W418" t="s">
        <v>34</v>
      </c>
      <c r="X418" t="s">
        <v>52</v>
      </c>
      <c r="Z418" t="str">
        <f>IF(Table1[[#This Row],[Age]]&lt;30,"20-29",IF(Table1[[#This Row],[Age]]&lt;40,"30-39",IF(Table1[[#This Row],[Age]]&lt;50,"40-49","50+")))</f>
        <v>30-39</v>
      </c>
      <c r="AA418" t="str">
        <f>IF(Table1[[#This Row],[Salary]]&lt;20000000,"low",IF(Table1[[#This Row],[Salary]]&lt;40000000,"medium","high"))</f>
        <v>medium</v>
      </c>
      <c r="AB418">
        <f>YEAR(Table1[[#This Row],[Hire Date]])</f>
        <v>2025</v>
      </c>
      <c r="AC418" t="str">
        <f>TEXT(Table1[[#This Row],[Hire Date]],"mmmm")</f>
        <v>ژانويه</v>
      </c>
      <c r="AD418" t="str">
        <f>IF(Table1[[#This Row],[Resigned]]="yes","former","active")</f>
        <v>active</v>
      </c>
    </row>
    <row r="419" spans="1:30" x14ac:dyDescent="0.3">
      <c r="A419" t="s">
        <v>903</v>
      </c>
      <c r="B419" t="s">
        <v>904</v>
      </c>
      <c r="C419" t="s">
        <v>27</v>
      </c>
      <c r="D419">
        <v>35</v>
      </c>
      <c r="E419" t="s">
        <v>56</v>
      </c>
      <c r="F419" t="s">
        <v>84</v>
      </c>
      <c r="G419" t="s">
        <v>49</v>
      </c>
      <c r="H419" t="s">
        <v>31</v>
      </c>
      <c r="I419" t="s">
        <v>32</v>
      </c>
      <c r="J419" s="1">
        <v>45659</v>
      </c>
      <c r="K419">
        <v>1</v>
      </c>
      <c r="L419">
        <v>22117224</v>
      </c>
      <c r="M419">
        <v>208278</v>
      </c>
      <c r="N419" t="s">
        <v>34</v>
      </c>
      <c r="O419">
        <v>4.7699999999999996</v>
      </c>
      <c r="P419">
        <v>18</v>
      </c>
      <c r="Q419">
        <v>2</v>
      </c>
      <c r="R419">
        <v>4</v>
      </c>
      <c r="S419">
        <v>13</v>
      </c>
      <c r="T419" t="s">
        <v>34</v>
      </c>
      <c r="U419" t="s">
        <v>34</v>
      </c>
      <c r="V419" t="s">
        <v>51</v>
      </c>
      <c r="W419" t="s">
        <v>33</v>
      </c>
      <c r="X419" t="s">
        <v>52</v>
      </c>
      <c r="Z419" t="str">
        <f>IF(Table1[[#This Row],[Age]]&lt;30,"20-29",IF(Table1[[#This Row],[Age]]&lt;40,"30-39",IF(Table1[[#This Row],[Age]]&lt;50,"40-49","50+")))</f>
        <v>30-39</v>
      </c>
      <c r="AA419" t="str">
        <f>IF(Table1[[#This Row],[Salary]]&lt;20000000,"low",IF(Table1[[#This Row],[Salary]]&lt;40000000,"medium","high"))</f>
        <v>medium</v>
      </c>
      <c r="AB419">
        <f>YEAR(Table1[[#This Row],[Hire Date]])</f>
        <v>2025</v>
      </c>
      <c r="AC419" t="str">
        <f>TEXT(Table1[[#This Row],[Hire Date]],"mmmm")</f>
        <v>ژانويه</v>
      </c>
      <c r="AD419" t="str">
        <f>IF(Table1[[#This Row],[Resigned]]="yes","former","active")</f>
        <v>active</v>
      </c>
    </row>
    <row r="420" spans="1:30" x14ac:dyDescent="0.3">
      <c r="A420" t="s">
        <v>905</v>
      </c>
      <c r="B420" t="s">
        <v>906</v>
      </c>
      <c r="C420" t="s">
        <v>39</v>
      </c>
      <c r="D420">
        <v>51</v>
      </c>
      <c r="E420" t="s">
        <v>73</v>
      </c>
      <c r="F420" t="s">
        <v>127</v>
      </c>
      <c r="G420" t="s">
        <v>49</v>
      </c>
      <c r="H420" t="s">
        <v>42</v>
      </c>
      <c r="I420" t="s">
        <v>81</v>
      </c>
      <c r="J420" s="1">
        <v>42966</v>
      </c>
      <c r="K420">
        <v>9</v>
      </c>
      <c r="L420">
        <v>20560279</v>
      </c>
      <c r="M420">
        <v>5661036</v>
      </c>
      <c r="N420" t="s">
        <v>33</v>
      </c>
      <c r="O420">
        <v>2.62</v>
      </c>
      <c r="P420">
        <v>52</v>
      </c>
      <c r="Q420">
        <v>3</v>
      </c>
      <c r="R420">
        <v>2</v>
      </c>
      <c r="S420">
        <v>2</v>
      </c>
      <c r="T420" t="s">
        <v>33</v>
      </c>
      <c r="U420" t="s">
        <v>34</v>
      </c>
      <c r="V420" t="s">
        <v>70</v>
      </c>
      <c r="W420" t="s">
        <v>33</v>
      </c>
      <c r="X420" t="s">
        <v>36</v>
      </c>
      <c r="Z420" t="str">
        <f>IF(Table1[[#This Row],[Age]]&lt;30,"20-29",IF(Table1[[#This Row],[Age]]&lt;40,"30-39",IF(Table1[[#This Row],[Age]]&lt;50,"40-49","50+")))</f>
        <v>50+</v>
      </c>
      <c r="AA420" t="str">
        <f>IF(Table1[[#This Row],[Salary]]&lt;20000000,"low",IF(Table1[[#This Row],[Salary]]&lt;40000000,"medium","high"))</f>
        <v>medium</v>
      </c>
      <c r="AB420">
        <f>YEAR(Table1[[#This Row],[Hire Date]])</f>
        <v>2017</v>
      </c>
      <c r="AC420" t="str">
        <f>TEXT(Table1[[#This Row],[Hire Date]],"mmmm")</f>
        <v>اوت</v>
      </c>
      <c r="AD420" t="str">
        <f>IF(Table1[[#This Row],[Resigned]]="yes","former","active")</f>
        <v>active</v>
      </c>
    </row>
    <row r="421" spans="1:30" x14ac:dyDescent="0.3">
      <c r="A421" t="s">
        <v>907</v>
      </c>
      <c r="B421" t="s">
        <v>908</v>
      </c>
      <c r="C421" t="s">
        <v>39</v>
      </c>
      <c r="D421">
        <v>41</v>
      </c>
      <c r="E421" t="s">
        <v>56</v>
      </c>
      <c r="F421" t="s">
        <v>57</v>
      </c>
      <c r="G421" t="s">
        <v>49</v>
      </c>
      <c r="H421" t="s">
        <v>31</v>
      </c>
      <c r="I421" t="s">
        <v>81</v>
      </c>
      <c r="J421" s="1">
        <v>43038</v>
      </c>
      <c r="K421">
        <v>9</v>
      </c>
      <c r="L421">
        <v>12247809</v>
      </c>
      <c r="M421">
        <v>2951626</v>
      </c>
      <c r="N421" t="s">
        <v>34</v>
      </c>
      <c r="O421">
        <v>4.58</v>
      </c>
      <c r="P421">
        <v>22</v>
      </c>
      <c r="Q421">
        <v>4</v>
      </c>
      <c r="R421">
        <v>3</v>
      </c>
      <c r="S421">
        <v>19</v>
      </c>
      <c r="T421" t="s">
        <v>34</v>
      </c>
      <c r="U421" t="s">
        <v>34</v>
      </c>
      <c r="V421" t="s">
        <v>70</v>
      </c>
      <c r="W421" t="s">
        <v>33</v>
      </c>
      <c r="X421" t="s">
        <v>36</v>
      </c>
      <c r="Z421" t="str">
        <f>IF(Table1[[#This Row],[Age]]&lt;30,"20-29",IF(Table1[[#This Row],[Age]]&lt;40,"30-39",IF(Table1[[#This Row],[Age]]&lt;50,"40-49","50+")))</f>
        <v>40-49</v>
      </c>
      <c r="AA421" t="str">
        <f>IF(Table1[[#This Row],[Salary]]&lt;20000000,"low",IF(Table1[[#This Row],[Salary]]&lt;40000000,"medium","high"))</f>
        <v>low</v>
      </c>
      <c r="AB421">
        <f>YEAR(Table1[[#This Row],[Hire Date]])</f>
        <v>2017</v>
      </c>
      <c r="AC421" t="str">
        <f>TEXT(Table1[[#This Row],[Hire Date]],"mmmm")</f>
        <v>اُكتبر</v>
      </c>
      <c r="AD421" t="str">
        <f>IF(Table1[[#This Row],[Resigned]]="yes","former","active")</f>
        <v>active</v>
      </c>
    </row>
    <row r="422" spans="1:30" x14ac:dyDescent="0.3">
      <c r="A422" t="s">
        <v>909</v>
      </c>
      <c r="B422" t="s">
        <v>910</v>
      </c>
      <c r="C422" t="s">
        <v>27</v>
      </c>
      <c r="D422">
        <v>45</v>
      </c>
      <c r="E422" t="s">
        <v>63</v>
      </c>
      <c r="F422" t="s">
        <v>93</v>
      </c>
      <c r="G422" t="s">
        <v>49</v>
      </c>
      <c r="H422" t="s">
        <v>42</v>
      </c>
      <c r="I422" t="s">
        <v>32</v>
      </c>
      <c r="J422" s="1">
        <v>43440</v>
      </c>
      <c r="K422">
        <v>8</v>
      </c>
      <c r="L422">
        <v>58475983</v>
      </c>
      <c r="M422">
        <v>4512889</v>
      </c>
      <c r="N422" t="s">
        <v>34</v>
      </c>
      <c r="O422">
        <v>2.89</v>
      </c>
      <c r="P422">
        <v>7</v>
      </c>
      <c r="Q422">
        <v>5</v>
      </c>
      <c r="R422">
        <v>5</v>
      </c>
      <c r="S422">
        <v>1</v>
      </c>
      <c r="T422" t="s">
        <v>34</v>
      </c>
      <c r="U422" t="s">
        <v>34</v>
      </c>
      <c r="V422" t="s">
        <v>44</v>
      </c>
      <c r="W422" t="s">
        <v>33</v>
      </c>
      <c r="X422" t="s">
        <v>45</v>
      </c>
      <c r="Z422" t="str">
        <f>IF(Table1[[#This Row],[Age]]&lt;30,"20-29",IF(Table1[[#This Row],[Age]]&lt;40,"30-39",IF(Table1[[#This Row],[Age]]&lt;50,"40-49","50+")))</f>
        <v>40-49</v>
      </c>
      <c r="AA422" t="str">
        <f>IF(Table1[[#This Row],[Salary]]&lt;20000000,"low",IF(Table1[[#This Row],[Salary]]&lt;40000000,"medium","high"))</f>
        <v>high</v>
      </c>
      <c r="AB422">
        <f>YEAR(Table1[[#This Row],[Hire Date]])</f>
        <v>2018</v>
      </c>
      <c r="AC422" t="str">
        <f>TEXT(Table1[[#This Row],[Hire Date]],"mmmm")</f>
        <v>دسامبر</v>
      </c>
      <c r="AD422" t="str">
        <f>IF(Table1[[#This Row],[Resigned]]="yes","former","active")</f>
        <v>active</v>
      </c>
    </row>
    <row r="423" spans="1:30" x14ac:dyDescent="0.3">
      <c r="A423" t="s">
        <v>911</v>
      </c>
      <c r="B423" t="s">
        <v>912</v>
      </c>
      <c r="C423" t="s">
        <v>39</v>
      </c>
      <c r="D423">
        <v>38</v>
      </c>
      <c r="E423" t="s">
        <v>40</v>
      </c>
      <c r="F423" t="s">
        <v>41</v>
      </c>
      <c r="G423" t="s">
        <v>30</v>
      </c>
      <c r="H423" t="s">
        <v>31</v>
      </c>
      <c r="I423" t="s">
        <v>43</v>
      </c>
      <c r="J423" s="1">
        <v>43861</v>
      </c>
      <c r="K423">
        <v>6</v>
      </c>
      <c r="L423">
        <v>30985074</v>
      </c>
      <c r="M423">
        <v>1537894</v>
      </c>
      <c r="N423" t="s">
        <v>34</v>
      </c>
      <c r="O423">
        <v>3.48</v>
      </c>
      <c r="P423">
        <v>16</v>
      </c>
      <c r="Q423">
        <v>1</v>
      </c>
      <c r="R423">
        <v>4</v>
      </c>
      <c r="S423">
        <v>8</v>
      </c>
      <c r="T423" t="s">
        <v>33</v>
      </c>
      <c r="U423" t="s">
        <v>34</v>
      </c>
      <c r="V423" t="s">
        <v>51</v>
      </c>
      <c r="W423" t="s">
        <v>33</v>
      </c>
      <c r="X423" t="s">
        <v>36</v>
      </c>
      <c r="Z423" t="str">
        <f>IF(Table1[[#This Row],[Age]]&lt;30,"20-29",IF(Table1[[#This Row],[Age]]&lt;40,"30-39",IF(Table1[[#This Row],[Age]]&lt;50,"40-49","50+")))</f>
        <v>30-39</v>
      </c>
      <c r="AA423" t="str">
        <f>IF(Table1[[#This Row],[Salary]]&lt;20000000,"low",IF(Table1[[#This Row],[Salary]]&lt;40000000,"medium","high"))</f>
        <v>medium</v>
      </c>
      <c r="AB423">
        <f>YEAR(Table1[[#This Row],[Hire Date]])</f>
        <v>2020</v>
      </c>
      <c r="AC423" t="str">
        <f>TEXT(Table1[[#This Row],[Hire Date]],"mmmm")</f>
        <v>ژانويه</v>
      </c>
      <c r="AD423" t="str">
        <f>IF(Table1[[#This Row],[Resigned]]="yes","former","active")</f>
        <v>active</v>
      </c>
    </row>
    <row r="424" spans="1:30" x14ac:dyDescent="0.3">
      <c r="A424" t="s">
        <v>913</v>
      </c>
      <c r="B424" t="s">
        <v>914</v>
      </c>
      <c r="C424" t="s">
        <v>27</v>
      </c>
      <c r="D424">
        <v>31</v>
      </c>
      <c r="E424" t="s">
        <v>110</v>
      </c>
      <c r="F424" t="s">
        <v>120</v>
      </c>
      <c r="G424" t="s">
        <v>49</v>
      </c>
      <c r="H424" t="s">
        <v>42</v>
      </c>
      <c r="I424" t="s">
        <v>65</v>
      </c>
      <c r="J424" s="1">
        <v>42988</v>
      </c>
      <c r="K424">
        <v>9</v>
      </c>
      <c r="L424">
        <v>39520883</v>
      </c>
      <c r="M424">
        <v>2067675</v>
      </c>
      <c r="N424" t="s">
        <v>34</v>
      </c>
      <c r="O424">
        <v>3.45</v>
      </c>
      <c r="P424">
        <v>19</v>
      </c>
      <c r="Q424">
        <v>4</v>
      </c>
      <c r="R424">
        <v>1</v>
      </c>
      <c r="S424">
        <v>14</v>
      </c>
      <c r="T424" t="s">
        <v>33</v>
      </c>
      <c r="U424" t="s">
        <v>34</v>
      </c>
      <c r="V424" t="s">
        <v>70</v>
      </c>
      <c r="W424" t="s">
        <v>33</v>
      </c>
      <c r="X424" t="s">
        <v>52</v>
      </c>
      <c r="Z424" t="str">
        <f>IF(Table1[[#This Row],[Age]]&lt;30,"20-29",IF(Table1[[#This Row],[Age]]&lt;40,"30-39",IF(Table1[[#This Row],[Age]]&lt;50,"40-49","50+")))</f>
        <v>30-39</v>
      </c>
      <c r="AA424" t="str">
        <f>IF(Table1[[#This Row],[Salary]]&lt;20000000,"low",IF(Table1[[#This Row],[Salary]]&lt;40000000,"medium","high"))</f>
        <v>medium</v>
      </c>
      <c r="AB424">
        <f>YEAR(Table1[[#This Row],[Hire Date]])</f>
        <v>2017</v>
      </c>
      <c r="AC424" t="str">
        <f>TEXT(Table1[[#This Row],[Hire Date]],"mmmm")</f>
        <v>سپتامبر</v>
      </c>
      <c r="AD424" t="str">
        <f>IF(Table1[[#This Row],[Resigned]]="yes","former","active")</f>
        <v>active</v>
      </c>
    </row>
    <row r="425" spans="1:30" x14ac:dyDescent="0.3">
      <c r="A425" t="s">
        <v>915</v>
      </c>
      <c r="B425" t="s">
        <v>916</v>
      </c>
      <c r="C425" t="s">
        <v>39</v>
      </c>
      <c r="D425">
        <v>46</v>
      </c>
      <c r="E425" t="s">
        <v>63</v>
      </c>
      <c r="F425" t="s">
        <v>64</v>
      </c>
      <c r="G425" t="s">
        <v>58</v>
      </c>
      <c r="H425" t="s">
        <v>42</v>
      </c>
      <c r="I425" t="s">
        <v>32</v>
      </c>
      <c r="J425" s="1">
        <v>43284</v>
      </c>
      <c r="K425">
        <v>8</v>
      </c>
      <c r="L425">
        <v>52545282</v>
      </c>
      <c r="M425">
        <v>3323801</v>
      </c>
      <c r="N425" t="s">
        <v>34</v>
      </c>
      <c r="O425">
        <v>4.24</v>
      </c>
      <c r="P425">
        <v>9</v>
      </c>
      <c r="Q425">
        <v>1</v>
      </c>
      <c r="R425">
        <v>1</v>
      </c>
      <c r="S425">
        <v>12</v>
      </c>
      <c r="T425" t="s">
        <v>33</v>
      </c>
      <c r="U425" t="s">
        <v>34</v>
      </c>
      <c r="V425" t="s">
        <v>44</v>
      </c>
      <c r="W425" t="s">
        <v>34</v>
      </c>
      <c r="X425" t="s">
        <v>45</v>
      </c>
      <c r="Z425" t="str">
        <f>IF(Table1[[#This Row],[Age]]&lt;30,"20-29",IF(Table1[[#This Row],[Age]]&lt;40,"30-39",IF(Table1[[#This Row],[Age]]&lt;50,"40-49","50+")))</f>
        <v>40-49</v>
      </c>
      <c r="AA425" t="str">
        <f>IF(Table1[[#This Row],[Salary]]&lt;20000000,"low",IF(Table1[[#This Row],[Salary]]&lt;40000000,"medium","high"))</f>
        <v>high</v>
      </c>
      <c r="AB425">
        <f>YEAR(Table1[[#This Row],[Hire Date]])</f>
        <v>2018</v>
      </c>
      <c r="AC425" t="str">
        <f>TEXT(Table1[[#This Row],[Hire Date]],"mmmm")</f>
        <v>ژوئيه</v>
      </c>
      <c r="AD425" t="str">
        <f>IF(Table1[[#This Row],[Resigned]]="yes","former","active")</f>
        <v>active</v>
      </c>
    </row>
    <row r="426" spans="1:30" x14ac:dyDescent="0.3">
      <c r="A426" t="s">
        <v>917</v>
      </c>
      <c r="B426" t="s">
        <v>918</v>
      </c>
      <c r="C426" t="s">
        <v>27</v>
      </c>
      <c r="D426">
        <v>32</v>
      </c>
      <c r="E426" t="s">
        <v>63</v>
      </c>
      <c r="F426" t="s">
        <v>93</v>
      </c>
      <c r="G426" t="s">
        <v>30</v>
      </c>
      <c r="H426" t="s">
        <v>42</v>
      </c>
      <c r="I426" t="s">
        <v>81</v>
      </c>
      <c r="J426" s="1">
        <v>43633</v>
      </c>
      <c r="K426">
        <v>7</v>
      </c>
      <c r="L426">
        <v>32983423</v>
      </c>
      <c r="M426">
        <v>9390388</v>
      </c>
      <c r="N426" t="s">
        <v>33</v>
      </c>
      <c r="O426">
        <v>3.96</v>
      </c>
      <c r="P426">
        <v>40</v>
      </c>
      <c r="Q426">
        <v>5</v>
      </c>
      <c r="R426">
        <v>5</v>
      </c>
      <c r="S426">
        <v>20</v>
      </c>
      <c r="T426" t="s">
        <v>34</v>
      </c>
      <c r="U426" t="s">
        <v>34</v>
      </c>
      <c r="V426" t="s">
        <v>70</v>
      </c>
      <c r="W426" t="s">
        <v>33</v>
      </c>
      <c r="X426" t="s">
        <v>45</v>
      </c>
      <c r="Z426" t="str">
        <f>IF(Table1[[#This Row],[Age]]&lt;30,"20-29",IF(Table1[[#This Row],[Age]]&lt;40,"30-39",IF(Table1[[#This Row],[Age]]&lt;50,"40-49","50+")))</f>
        <v>30-39</v>
      </c>
      <c r="AA426" t="str">
        <f>IF(Table1[[#This Row],[Salary]]&lt;20000000,"low",IF(Table1[[#This Row],[Salary]]&lt;40000000,"medium","high"))</f>
        <v>medium</v>
      </c>
      <c r="AB426">
        <f>YEAR(Table1[[#This Row],[Hire Date]])</f>
        <v>2019</v>
      </c>
      <c r="AC426" t="str">
        <f>TEXT(Table1[[#This Row],[Hire Date]],"mmmm")</f>
        <v>ژوئن</v>
      </c>
      <c r="AD426" t="str">
        <f>IF(Table1[[#This Row],[Resigned]]="yes","former","active")</f>
        <v>active</v>
      </c>
    </row>
    <row r="427" spans="1:30" x14ac:dyDescent="0.3">
      <c r="A427" t="s">
        <v>919</v>
      </c>
      <c r="B427" t="s">
        <v>920</v>
      </c>
      <c r="C427" t="s">
        <v>39</v>
      </c>
      <c r="D427">
        <v>33</v>
      </c>
      <c r="E427" t="s">
        <v>63</v>
      </c>
      <c r="F427" t="s">
        <v>93</v>
      </c>
      <c r="G427" t="s">
        <v>58</v>
      </c>
      <c r="H427" t="s">
        <v>31</v>
      </c>
      <c r="I427" t="s">
        <v>50</v>
      </c>
      <c r="J427" s="1">
        <v>43191</v>
      </c>
      <c r="K427">
        <v>8</v>
      </c>
      <c r="L427">
        <v>40322426</v>
      </c>
      <c r="M427">
        <v>3846292</v>
      </c>
      <c r="N427" t="s">
        <v>33</v>
      </c>
      <c r="O427">
        <v>4.28</v>
      </c>
      <c r="P427">
        <v>16</v>
      </c>
      <c r="Q427">
        <v>1</v>
      </c>
      <c r="R427">
        <v>4</v>
      </c>
      <c r="S427">
        <v>17</v>
      </c>
      <c r="T427" t="s">
        <v>33</v>
      </c>
      <c r="U427" t="s">
        <v>34</v>
      </c>
      <c r="V427" t="s">
        <v>70</v>
      </c>
      <c r="W427" t="s">
        <v>34</v>
      </c>
      <c r="X427" t="s">
        <v>45</v>
      </c>
      <c r="Z427" t="str">
        <f>IF(Table1[[#This Row],[Age]]&lt;30,"20-29",IF(Table1[[#This Row],[Age]]&lt;40,"30-39",IF(Table1[[#This Row],[Age]]&lt;50,"40-49","50+")))</f>
        <v>30-39</v>
      </c>
      <c r="AA427" t="str">
        <f>IF(Table1[[#This Row],[Salary]]&lt;20000000,"low",IF(Table1[[#This Row],[Salary]]&lt;40000000,"medium","high"))</f>
        <v>high</v>
      </c>
      <c r="AB427">
        <f>YEAR(Table1[[#This Row],[Hire Date]])</f>
        <v>2018</v>
      </c>
      <c r="AC427" t="str">
        <f>TEXT(Table1[[#This Row],[Hire Date]],"mmmm")</f>
        <v>آوريل</v>
      </c>
      <c r="AD427" t="str">
        <f>IF(Table1[[#This Row],[Resigned]]="yes","former","active")</f>
        <v>active</v>
      </c>
    </row>
    <row r="428" spans="1:30" x14ac:dyDescent="0.3">
      <c r="A428" t="s">
        <v>921</v>
      </c>
      <c r="B428" t="s">
        <v>922</v>
      </c>
      <c r="C428" t="s">
        <v>39</v>
      </c>
      <c r="D428">
        <v>33</v>
      </c>
      <c r="E428" t="s">
        <v>28</v>
      </c>
      <c r="F428" t="s">
        <v>29</v>
      </c>
      <c r="G428" t="s">
        <v>49</v>
      </c>
      <c r="H428" t="s">
        <v>42</v>
      </c>
      <c r="I428" t="s">
        <v>65</v>
      </c>
      <c r="J428" s="1">
        <v>44414</v>
      </c>
      <c r="K428">
        <v>5</v>
      </c>
      <c r="L428">
        <v>46878706</v>
      </c>
      <c r="M428">
        <v>2364664</v>
      </c>
      <c r="N428" t="s">
        <v>33</v>
      </c>
      <c r="O428">
        <v>2.6</v>
      </c>
      <c r="P428">
        <v>40</v>
      </c>
      <c r="Q428">
        <v>3</v>
      </c>
      <c r="R428">
        <v>5</v>
      </c>
      <c r="S428">
        <v>19</v>
      </c>
      <c r="T428" t="s">
        <v>33</v>
      </c>
      <c r="U428" t="s">
        <v>33</v>
      </c>
      <c r="V428" t="s">
        <v>51</v>
      </c>
      <c r="W428" t="s">
        <v>33</v>
      </c>
      <c r="X428" t="s">
        <v>52</v>
      </c>
      <c r="Y428" t="s">
        <v>53</v>
      </c>
      <c r="Z428" t="str">
        <f>IF(Table1[[#This Row],[Age]]&lt;30,"20-29",IF(Table1[[#This Row],[Age]]&lt;40,"30-39",IF(Table1[[#This Row],[Age]]&lt;50,"40-49","50+")))</f>
        <v>30-39</v>
      </c>
      <c r="AA428" t="str">
        <f>IF(Table1[[#This Row],[Salary]]&lt;20000000,"low",IF(Table1[[#This Row],[Salary]]&lt;40000000,"medium","high"))</f>
        <v>high</v>
      </c>
      <c r="AB428">
        <f>YEAR(Table1[[#This Row],[Hire Date]])</f>
        <v>2021</v>
      </c>
      <c r="AC428" t="str">
        <f>TEXT(Table1[[#This Row],[Hire Date]],"mmmm")</f>
        <v>اوت</v>
      </c>
      <c r="AD428" t="str">
        <f>IF(Table1[[#This Row],[Resigned]]="yes","former","active")</f>
        <v>former</v>
      </c>
    </row>
    <row r="429" spans="1:30" x14ac:dyDescent="0.3">
      <c r="A429" t="s">
        <v>923</v>
      </c>
      <c r="B429" t="s">
        <v>924</v>
      </c>
      <c r="C429" t="s">
        <v>27</v>
      </c>
      <c r="D429">
        <v>23</v>
      </c>
      <c r="E429" t="s">
        <v>40</v>
      </c>
      <c r="F429" t="s">
        <v>41</v>
      </c>
      <c r="G429" t="s">
        <v>58</v>
      </c>
      <c r="H429" t="s">
        <v>42</v>
      </c>
      <c r="I429" t="s">
        <v>50</v>
      </c>
      <c r="J429" s="1">
        <v>45308</v>
      </c>
      <c r="K429">
        <v>2</v>
      </c>
      <c r="L429">
        <v>33462180</v>
      </c>
      <c r="M429">
        <v>734866</v>
      </c>
      <c r="N429" t="s">
        <v>33</v>
      </c>
      <c r="O429">
        <v>4.1900000000000004</v>
      </c>
      <c r="P429">
        <v>66</v>
      </c>
      <c r="Q429">
        <v>2</v>
      </c>
      <c r="R429">
        <v>2</v>
      </c>
      <c r="S429">
        <v>4</v>
      </c>
      <c r="T429" t="s">
        <v>34</v>
      </c>
      <c r="U429" t="s">
        <v>34</v>
      </c>
      <c r="V429" t="s">
        <v>51</v>
      </c>
      <c r="W429" t="s">
        <v>33</v>
      </c>
      <c r="X429" t="s">
        <v>52</v>
      </c>
      <c r="Z429" t="str">
        <f>IF(Table1[[#This Row],[Age]]&lt;30,"20-29",IF(Table1[[#This Row],[Age]]&lt;40,"30-39",IF(Table1[[#This Row],[Age]]&lt;50,"40-49","50+")))</f>
        <v>20-29</v>
      </c>
      <c r="AA429" t="str">
        <f>IF(Table1[[#This Row],[Salary]]&lt;20000000,"low",IF(Table1[[#This Row],[Salary]]&lt;40000000,"medium","high"))</f>
        <v>medium</v>
      </c>
      <c r="AB429">
        <f>YEAR(Table1[[#This Row],[Hire Date]])</f>
        <v>2024</v>
      </c>
      <c r="AC429" t="str">
        <f>TEXT(Table1[[#This Row],[Hire Date]],"mmmm")</f>
        <v>ژانويه</v>
      </c>
      <c r="AD429" t="str">
        <f>IF(Table1[[#This Row],[Resigned]]="yes","former","active")</f>
        <v>active</v>
      </c>
    </row>
    <row r="430" spans="1:30" x14ac:dyDescent="0.3">
      <c r="A430" t="s">
        <v>925</v>
      </c>
      <c r="B430" t="s">
        <v>926</v>
      </c>
      <c r="C430" t="s">
        <v>27</v>
      </c>
      <c r="D430">
        <v>55</v>
      </c>
      <c r="E430" t="s">
        <v>63</v>
      </c>
      <c r="F430" t="s">
        <v>93</v>
      </c>
      <c r="G430" t="s">
        <v>58</v>
      </c>
      <c r="H430" t="s">
        <v>31</v>
      </c>
      <c r="I430" t="s">
        <v>50</v>
      </c>
      <c r="J430" s="1">
        <v>43884</v>
      </c>
      <c r="K430">
        <v>6</v>
      </c>
      <c r="L430">
        <v>50193150</v>
      </c>
      <c r="M430">
        <v>6214551</v>
      </c>
      <c r="N430" t="s">
        <v>34</v>
      </c>
      <c r="O430">
        <v>4.74</v>
      </c>
      <c r="P430">
        <v>22</v>
      </c>
      <c r="Q430">
        <v>3</v>
      </c>
      <c r="R430">
        <v>5</v>
      </c>
      <c r="S430">
        <v>16</v>
      </c>
      <c r="T430" t="s">
        <v>33</v>
      </c>
      <c r="U430" t="s">
        <v>34</v>
      </c>
      <c r="V430" t="s">
        <v>59</v>
      </c>
      <c r="W430" t="s">
        <v>33</v>
      </c>
      <c r="X430" t="s">
        <v>45</v>
      </c>
      <c r="Z430" t="str">
        <f>IF(Table1[[#This Row],[Age]]&lt;30,"20-29",IF(Table1[[#This Row],[Age]]&lt;40,"30-39",IF(Table1[[#This Row],[Age]]&lt;50,"40-49","50+")))</f>
        <v>50+</v>
      </c>
      <c r="AA430" t="str">
        <f>IF(Table1[[#This Row],[Salary]]&lt;20000000,"low",IF(Table1[[#This Row],[Salary]]&lt;40000000,"medium","high"))</f>
        <v>high</v>
      </c>
      <c r="AB430">
        <f>YEAR(Table1[[#This Row],[Hire Date]])</f>
        <v>2020</v>
      </c>
      <c r="AC430" t="str">
        <f>TEXT(Table1[[#This Row],[Hire Date]],"mmmm")</f>
        <v>فوريه</v>
      </c>
      <c r="AD430" t="str">
        <f>IF(Table1[[#This Row],[Resigned]]="yes","former","active")</f>
        <v>active</v>
      </c>
    </row>
    <row r="431" spans="1:30" x14ac:dyDescent="0.3">
      <c r="A431" t="s">
        <v>927</v>
      </c>
      <c r="B431" t="s">
        <v>928</v>
      </c>
      <c r="C431" t="s">
        <v>27</v>
      </c>
      <c r="D431">
        <v>55</v>
      </c>
      <c r="E431" t="s">
        <v>28</v>
      </c>
      <c r="F431" t="s">
        <v>29</v>
      </c>
      <c r="G431" t="s">
        <v>30</v>
      </c>
      <c r="H431" t="s">
        <v>42</v>
      </c>
      <c r="I431" t="s">
        <v>43</v>
      </c>
      <c r="J431" s="1">
        <v>42571</v>
      </c>
      <c r="K431">
        <v>10</v>
      </c>
      <c r="L431">
        <v>56212503</v>
      </c>
      <c r="M431">
        <v>7224319</v>
      </c>
      <c r="N431" t="s">
        <v>34</v>
      </c>
      <c r="O431">
        <v>4.41</v>
      </c>
      <c r="P431">
        <v>54</v>
      </c>
      <c r="Q431">
        <v>2</v>
      </c>
      <c r="R431">
        <v>5</v>
      </c>
      <c r="S431">
        <v>4</v>
      </c>
      <c r="T431" t="s">
        <v>34</v>
      </c>
      <c r="U431" t="s">
        <v>34</v>
      </c>
      <c r="V431" t="s">
        <v>59</v>
      </c>
      <c r="W431" t="s">
        <v>33</v>
      </c>
      <c r="X431" t="s">
        <v>36</v>
      </c>
      <c r="Z431" t="str">
        <f>IF(Table1[[#This Row],[Age]]&lt;30,"20-29",IF(Table1[[#This Row],[Age]]&lt;40,"30-39",IF(Table1[[#This Row],[Age]]&lt;50,"40-49","50+")))</f>
        <v>50+</v>
      </c>
      <c r="AA431" t="str">
        <f>IF(Table1[[#This Row],[Salary]]&lt;20000000,"low",IF(Table1[[#This Row],[Salary]]&lt;40000000,"medium","high"))</f>
        <v>high</v>
      </c>
      <c r="AB431">
        <f>YEAR(Table1[[#This Row],[Hire Date]])</f>
        <v>2016</v>
      </c>
      <c r="AC431" t="str">
        <f>TEXT(Table1[[#This Row],[Hire Date]],"mmmm")</f>
        <v>ژوئيه</v>
      </c>
      <c r="AD431" t="str">
        <f>IF(Table1[[#This Row],[Resigned]]="yes","former","active")</f>
        <v>active</v>
      </c>
    </row>
    <row r="432" spans="1:30" x14ac:dyDescent="0.3">
      <c r="A432" t="s">
        <v>929</v>
      </c>
      <c r="B432" t="s">
        <v>930</v>
      </c>
      <c r="C432" t="s">
        <v>39</v>
      </c>
      <c r="D432">
        <v>49</v>
      </c>
      <c r="E432" t="s">
        <v>40</v>
      </c>
      <c r="F432" t="s">
        <v>41</v>
      </c>
      <c r="G432" t="s">
        <v>30</v>
      </c>
      <c r="H432" t="s">
        <v>42</v>
      </c>
      <c r="I432" t="s">
        <v>50</v>
      </c>
      <c r="J432" s="1">
        <v>45840</v>
      </c>
      <c r="K432">
        <v>1</v>
      </c>
      <c r="L432">
        <v>18108392</v>
      </c>
      <c r="M432">
        <v>5011098</v>
      </c>
      <c r="N432" t="s">
        <v>34</v>
      </c>
      <c r="O432">
        <v>2.62</v>
      </c>
      <c r="P432">
        <v>76</v>
      </c>
      <c r="Q432">
        <v>5</v>
      </c>
      <c r="R432">
        <v>5</v>
      </c>
      <c r="S432">
        <v>20</v>
      </c>
      <c r="T432" t="s">
        <v>34</v>
      </c>
      <c r="U432" t="s">
        <v>34</v>
      </c>
      <c r="V432" t="s">
        <v>44</v>
      </c>
      <c r="W432" t="s">
        <v>34</v>
      </c>
      <c r="X432" t="s">
        <v>52</v>
      </c>
      <c r="Z432" t="str">
        <f>IF(Table1[[#This Row],[Age]]&lt;30,"20-29",IF(Table1[[#This Row],[Age]]&lt;40,"30-39",IF(Table1[[#This Row],[Age]]&lt;50,"40-49","50+")))</f>
        <v>40-49</v>
      </c>
      <c r="AA432" t="str">
        <f>IF(Table1[[#This Row],[Salary]]&lt;20000000,"low",IF(Table1[[#This Row],[Salary]]&lt;40000000,"medium","high"))</f>
        <v>low</v>
      </c>
      <c r="AB432">
        <f>YEAR(Table1[[#This Row],[Hire Date]])</f>
        <v>2025</v>
      </c>
      <c r="AC432" t="str">
        <f>TEXT(Table1[[#This Row],[Hire Date]],"mmmm")</f>
        <v>ژوئيه</v>
      </c>
      <c r="AD432" t="str">
        <f>IF(Table1[[#This Row],[Resigned]]="yes","former","active")</f>
        <v>active</v>
      </c>
    </row>
    <row r="433" spans="1:30" x14ac:dyDescent="0.3">
      <c r="A433" t="s">
        <v>931</v>
      </c>
      <c r="B433" t="s">
        <v>932</v>
      </c>
      <c r="C433" t="s">
        <v>27</v>
      </c>
      <c r="D433">
        <v>49</v>
      </c>
      <c r="E433" t="s">
        <v>73</v>
      </c>
      <c r="F433" t="s">
        <v>74</v>
      </c>
      <c r="G433" t="s">
        <v>49</v>
      </c>
      <c r="H433" t="s">
        <v>31</v>
      </c>
      <c r="I433" t="s">
        <v>65</v>
      </c>
      <c r="J433" s="1">
        <v>42851</v>
      </c>
      <c r="K433">
        <v>9</v>
      </c>
      <c r="L433">
        <v>56306918</v>
      </c>
      <c r="M433">
        <v>589302</v>
      </c>
      <c r="N433" t="s">
        <v>34</v>
      </c>
      <c r="O433">
        <v>3.27</v>
      </c>
      <c r="P433">
        <v>45</v>
      </c>
      <c r="Q433">
        <v>5</v>
      </c>
      <c r="R433">
        <v>4</v>
      </c>
      <c r="S433">
        <v>20</v>
      </c>
      <c r="T433" t="s">
        <v>34</v>
      </c>
      <c r="U433" t="s">
        <v>34</v>
      </c>
      <c r="V433" t="s">
        <v>59</v>
      </c>
      <c r="W433" t="s">
        <v>33</v>
      </c>
      <c r="X433" t="s">
        <v>52</v>
      </c>
      <c r="Z433" t="str">
        <f>IF(Table1[[#This Row],[Age]]&lt;30,"20-29",IF(Table1[[#This Row],[Age]]&lt;40,"30-39",IF(Table1[[#This Row],[Age]]&lt;50,"40-49","50+")))</f>
        <v>40-49</v>
      </c>
      <c r="AA433" t="str">
        <f>IF(Table1[[#This Row],[Salary]]&lt;20000000,"low",IF(Table1[[#This Row],[Salary]]&lt;40000000,"medium","high"))</f>
        <v>high</v>
      </c>
      <c r="AB433">
        <f>YEAR(Table1[[#This Row],[Hire Date]])</f>
        <v>2017</v>
      </c>
      <c r="AC433" t="str">
        <f>TEXT(Table1[[#This Row],[Hire Date]],"mmmm")</f>
        <v>آوريل</v>
      </c>
      <c r="AD433" t="str">
        <f>IF(Table1[[#This Row],[Resigned]]="yes","former","active")</f>
        <v>active</v>
      </c>
    </row>
    <row r="434" spans="1:30" x14ac:dyDescent="0.3">
      <c r="A434" t="s">
        <v>933</v>
      </c>
      <c r="B434" t="s">
        <v>934</v>
      </c>
      <c r="C434" t="s">
        <v>39</v>
      </c>
      <c r="D434">
        <v>49</v>
      </c>
      <c r="E434" t="s">
        <v>110</v>
      </c>
      <c r="F434" t="s">
        <v>120</v>
      </c>
      <c r="G434" t="s">
        <v>30</v>
      </c>
      <c r="H434" t="s">
        <v>42</v>
      </c>
      <c r="I434" t="s">
        <v>65</v>
      </c>
      <c r="J434" s="1">
        <v>45346</v>
      </c>
      <c r="K434">
        <v>2</v>
      </c>
      <c r="L434">
        <v>18910106</v>
      </c>
      <c r="M434">
        <v>2279022</v>
      </c>
      <c r="N434" t="s">
        <v>33</v>
      </c>
      <c r="O434">
        <v>2.72</v>
      </c>
      <c r="P434">
        <v>62</v>
      </c>
      <c r="Q434">
        <v>3</v>
      </c>
      <c r="R434">
        <v>5</v>
      </c>
      <c r="S434">
        <v>3</v>
      </c>
      <c r="T434" t="s">
        <v>33</v>
      </c>
      <c r="U434" t="s">
        <v>33</v>
      </c>
      <c r="V434" t="s">
        <v>51</v>
      </c>
      <c r="W434" t="s">
        <v>34</v>
      </c>
      <c r="X434" t="s">
        <v>45</v>
      </c>
      <c r="Y434" t="s">
        <v>60</v>
      </c>
      <c r="Z434" t="str">
        <f>IF(Table1[[#This Row],[Age]]&lt;30,"20-29",IF(Table1[[#This Row],[Age]]&lt;40,"30-39",IF(Table1[[#This Row],[Age]]&lt;50,"40-49","50+")))</f>
        <v>40-49</v>
      </c>
      <c r="AA434" t="str">
        <f>IF(Table1[[#This Row],[Salary]]&lt;20000000,"low",IF(Table1[[#This Row],[Salary]]&lt;40000000,"medium","high"))</f>
        <v>low</v>
      </c>
      <c r="AB434">
        <f>YEAR(Table1[[#This Row],[Hire Date]])</f>
        <v>2024</v>
      </c>
      <c r="AC434" t="str">
        <f>TEXT(Table1[[#This Row],[Hire Date]],"mmmm")</f>
        <v>فوريه</v>
      </c>
      <c r="AD434" t="str">
        <f>IF(Table1[[#This Row],[Resigned]]="yes","former","active")</f>
        <v>former</v>
      </c>
    </row>
    <row r="435" spans="1:30" x14ac:dyDescent="0.3">
      <c r="A435" t="s">
        <v>935</v>
      </c>
      <c r="B435" t="s">
        <v>936</v>
      </c>
      <c r="C435" t="s">
        <v>27</v>
      </c>
      <c r="D435">
        <v>42</v>
      </c>
      <c r="E435" t="s">
        <v>56</v>
      </c>
      <c r="F435" t="s">
        <v>57</v>
      </c>
      <c r="G435" t="s">
        <v>30</v>
      </c>
      <c r="H435" t="s">
        <v>42</v>
      </c>
      <c r="I435" t="s">
        <v>81</v>
      </c>
      <c r="J435" s="1">
        <v>44091</v>
      </c>
      <c r="K435">
        <v>6</v>
      </c>
      <c r="L435">
        <v>19988079</v>
      </c>
      <c r="M435">
        <v>6411211</v>
      </c>
      <c r="N435" t="s">
        <v>34</v>
      </c>
      <c r="O435">
        <v>4.3899999999999997</v>
      </c>
      <c r="P435">
        <v>34</v>
      </c>
      <c r="Q435">
        <v>5</v>
      </c>
      <c r="R435">
        <v>5</v>
      </c>
      <c r="S435">
        <v>7</v>
      </c>
      <c r="T435" t="s">
        <v>34</v>
      </c>
      <c r="U435" t="s">
        <v>34</v>
      </c>
      <c r="V435" t="s">
        <v>59</v>
      </c>
      <c r="W435" t="s">
        <v>34</v>
      </c>
      <c r="X435" t="s">
        <v>45</v>
      </c>
      <c r="Z435" t="str">
        <f>IF(Table1[[#This Row],[Age]]&lt;30,"20-29",IF(Table1[[#This Row],[Age]]&lt;40,"30-39",IF(Table1[[#This Row],[Age]]&lt;50,"40-49","50+")))</f>
        <v>40-49</v>
      </c>
      <c r="AA435" t="str">
        <f>IF(Table1[[#This Row],[Salary]]&lt;20000000,"low",IF(Table1[[#This Row],[Salary]]&lt;40000000,"medium","high"))</f>
        <v>low</v>
      </c>
      <c r="AB435">
        <f>YEAR(Table1[[#This Row],[Hire Date]])</f>
        <v>2020</v>
      </c>
      <c r="AC435" t="str">
        <f>TEXT(Table1[[#This Row],[Hire Date]],"mmmm")</f>
        <v>سپتامبر</v>
      </c>
      <c r="AD435" t="str">
        <f>IF(Table1[[#This Row],[Resigned]]="yes","former","active")</f>
        <v>active</v>
      </c>
    </row>
    <row r="436" spans="1:30" x14ac:dyDescent="0.3">
      <c r="A436" t="s">
        <v>937</v>
      </c>
      <c r="B436" t="s">
        <v>938</v>
      </c>
      <c r="C436" t="s">
        <v>39</v>
      </c>
      <c r="D436">
        <v>47</v>
      </c>
      <c r="E436" t="s">
        <v>56</v>
      </c>
      <c r="F436" t="s">
        <v>57</v>
      </c>
      <c r="G436" t="s">
        <v>30</v>
      </c>
      <c r="H436" t="s">
        <v>42</v>
      </c>
      <c r="I436" t="s">
        <v>32</v>
      </c>
      <c r="J436" s="1">
        <v>43068</v>
      </c>
      <c r="K436">
        <v>9</v>
      </c>
      <c r="L436">
        <v>17632246</v>
      </c>
      <c r="M436">
        <v>7935991</v>
      </c>
      <c r="N436" t="s">
        <v>33</v>
      </c>
      <c r="O436">
        <v>4.33</v>
      </c>
      <c r="P436">
        <v>71</v>
      </c>
      <c r="Q436">
        <v>4</v>
      </c>
      <c r="R436">
        <v>5</v>
      </c>
      <c r="S436">
        <v>7</v>
      </c>
      <c r="T436" t="s">
        <v>34</v>
      </c>
      <c r="U436" t="s">
        <v>34</v>
      </c>
      <c r="V436" t="s">
        <v>44</v>
      </c>
      <c r="W436" t="s">
        <v>34</v>
      </c>
      <c r="X436" t="s">
        <v>45</v>
      </c>
      <c r="Z436" t="str">
        <f>IF(Table1[[#This Row],[Age]]&lt;30,"20-29",IF(Table1[[#This Row],[Age]]&lt;40,"30-39",IF(Table1[[#This Row],[Age]]&lt;50,"40-49","50+")))</f>
        <v>40-49</v>
      </c>
      <c r="AA436" t="str">
        <f>IF(Table1[[#This Row],[Salary]]&lt;20000000,"low",IF(Table1[[#This Row],[Salary]]&lt;40000000,"medium","high"))</f>
        <v>low</v>
      </c>
      <c r="AB436">
        <f>YEAR(Table1[[#This Row],[Hire Date]])</f>
        <v>2017</v>
      </c>
      <c r="AC436" t="str">
        <f>TEXT(Table1[[#This Row],[Hire Date]],"mmmm")</f>
        <v>نوامبر</v>
      </c>
      <c r="AD436" t="str">
        <f>IF(Table1[[#This Row],[Resigned]]="yes","former","active")</f>
        <v>active</v>
      </c>
    </row>
    <row r="437" spans="1:30" x14ac:dyDescent="0.3">
      <c r="A437" t="s">
        <v>939</v>
      </c>
      <c r="B437" t="s">
        <v>940</v>
      </c>
      <c r="C437" t="s">
        <v>27</v>
      </c>
      <c r="D437">
        <v>41</v>
      </c>
      <c r="E437" t="s">
        <v>28</v>
      </c>
      <c r="F437" t="s">
        <v>80</v>
      </c>
      <c r="G437" t="s">
        <v>49</v>
      </c>
      <c r="H437" t="s">
        <v>42</v>
      </c>
      <c r="I437" t="s">
        <v>50</v>
      </c>
      <c r="J437" s="1">
        <v>42762</v>
      </c>
      <c r="K437">
        <v>9</v>
      </c>
      <c r="L437">
        <v>37760145</v>
      </c>
      <c r="M437">
        <v>6510233</v>
      </c>
      <c r="N437" t="s">
        <v>34</v>
      </c>
      <c r="O437">
        <v>4.5199999999999996</v>
      </c>
      <c r="P437">
        <v>8</v>
      </c>
      <c r="Q437">
        <v>5</v>
      </c>
      <c r="R437">
        <v>5</v>
      </c>
      <c r="S437">
        <v>3</v>
      </c>
      <c r="T437" t="s">
        <v>34</v>
      </c>
      <c r="U437" t="s">
        <v>34</v>
      </c>
      <c r="V437" t="s">
        <v>59</v>
      </c>
      <c r="W437" t="s">
        <v>34</v>
      </c>
      <c r="X437" t="s">
        <v>36</v>
      </c>
      <c r="Z437" t="str">
        <f>IF(Table1[[#This Row],[Age]]&lt;30,"20-29",IF(Table1[[#This Row],[Age]]&lt;40,"30-39",IF(Table1[[#This Row],[Age]]&lt;50,"40-49","50+")))</f>
        <v>40-49</v>
      </c>
      <c r="AA437" t="str">
        <f>IF(Table1[[#This Row],[Salary]]&lt;20000000,"low",IF(Table1[[#This Row],[Salary]]&lt;40000000,"medium","high"))</f>
        <v>medium</v>
      </c>
      <c r="AB437">
        <f>YEAR(Table1[[#This Row],[Hire Date]])</f>
        <v>2017</v>
      </c>
      <c r="AC437" t="str">
        <f>TEXT(Table1[[#This Row],[Hire Date]],"mmmm")</f>
        <v>ژانويه</v>
      </c>
      <c r="AD437" t="str">
        <f>IF(Table1[[#This Row],[Resigned]]="yes","former","active")</f>
        <v>active</v>
      </c>
    </row>
    <row r="438" spans="1:30" x14ac:dyDescent="0.3">
      <c r="A438" t="s">
        <v>941</v>
      </c>
      <c r="B438" t="s">
        <v>942</v>
      </c>
      <c r="C438" t="s">
        <v>27</v>
      </c>
      <c r="D438">
        <v>32</v>
      </c>
      <c r="E438" t="s">
        <v>63</v>
      </c>
      <c r="F438" t="s">
        <v>93</v>
      </c>
      <c r="G438" t="s">
        <v>49</v>
      </c>
      <c r="H438" t="s">
        <v>31</v>
      </c>
      <c r="I438" t="s">
        <v>81</v>
      </c>
      <c r="J438" s="1">
        <v>45488</v>
      </c>
      <c r="K438">
        <v>2</v>
      </c>
      <c r="L438">
        <v>16233904</v>
      </c>
      <c r="M438">
        <v>2613268</v>
      </c>
      <c r="N438" t="s">
        <v>33</v>
      </c>
      <c r="O438">
        <v>3</v>
      </c>
      <c r="P438">
        <v>36</v>
      </c>
      <c r="Q438">
        <v>2</v>
      </c>
      <c r="R438">
        <v>1</v>
      </c>
      <c r="S438">
        <v>10</v>
      </c>
      <c r="T438" t="s">
        <v>33</v>
      </c>
      <c r="U438" t="s">
        <v>34</v>
      </c>
      <c r="V438" t="s">
        <v>44</v>
      </c>
      <c r="W438" t="s">
        <v>34</v>
      </c>
      <c r="X438" t="s">
        <v>45</v>
      </c>
      <c r="Z438" t="str">
        <f>IF(Table1[[#This Row],[Age]]&lt;30,"20-29",IF(Table1[[#This Row],[Age]]&lt;40,"30-39",IF(Table1[[#This Row],[Age]]&lt;50,"40-49","50+")))</f>
        <v>30-39</v>
      </c>
      <c r="AA438" t="str">
        <f>IF(Table1[[#This Row],[Salary]]&lt;20000000,"low",IF(Table1[[#This Row],[Salary]]&lt;40000000,"medium","high"))</f>
        <v>low</v>
      </c>
      <c r="AB438">
        <f>YEAR(Table1[[#This Row],[Hire Date]])</f>
        <v>2024</v>
      </c>
      <c r="AC438" t="str">
        <f>TEXT(Table1[[#This Row],[Hire Date]],"mmmm")</f>
        <v>ژوئيه</v>
      </c>
      <c r="AD438" t="str">
        <f>IF(Table1[[#This Row],[Resigned]]="yes","former","active")</f>
        <v>active</v>
      </c>
    </row>
    <row r="439" spans="1:30" x14ac:dyDescent="0.3">
      <c r="A439" t="s">
        <v>943</v>
      </c>
      <c r="B439" t="s">
        <v>944</v>
      </c>
      <c r="C439" t="s">
        <v>27</v>
      </c>
      <c r="D439">
        <v>27</v>
      </c>
      <c r="E439" t="s">
        <v>110</v>
      </c>
      <c r="F439" t="s">
        <v>111</v>
      </c>
      <c r="G439" t="s">
        <v>58</v>
      </c>
      <c r="H439" t="s">
        <v>42</v>
      </c>
      <c r="I439" t="s">
        <v>32</v>
      </c>
      <c r="J439" s="1">
        <v>45362</v>
      </c>
      <c r="K439">
        <v>2</v>
      </c>
      <c r="L439">
        <v>19791526</v>
      </c>
      <c r="M439">
        <v>852803</v>
      </c>
      <c r="N439" t="s">
        <v>34</v>
      </c>
      <c r="O439">
        <v>3.86</v>
      </c>
      <c r="P439">
        <v>48</v>
      </c>
      <c r="Q439">
        <v>1</v>
      </c>
      <c r="R439">
        <v>5</v>
      </c>
      <c r="S439">
        <v>17</v>
      </c>
      <c r="T439" t="s">
        <v>33</v>
      </c>
      <c r="U439" t="s">
        <v>34</v>
      </c>
      <c r="V439" t="s">
        <v>70</v>
      </c>
      <c r="W439" t="s">
        <v>33</v>
      </c>
      <c r="X439" t="s">
        <v>36</v>
      </c>
      <c r="Z439" t="str">
        <f>IF(Table1[[#This Row],[Age]]&lt;30,"20-29",IF(Table1[[#This Row],[Age]]&lt;40,"30-39",IF(Table1[[#This Row],[Age]]&lt;50,"40-49","50+")))</f>
        <v>20-29</v>
      </c>
      <c r="AA439" t="str">
        <f>IF(Table1[[#This Row],[Salary]]&lt;20000000,"low",IF(Table1[[#This Row],[Salary]]&lt;40000000,"medium","high"))</f>
        <v>low</v>
      </c>
      <c r="AB439">
        <f>YEAR(Table1[[#This Row],[Hire Date]])</f>
        <v>2024</v>
      </c>
      <c r="AC439" t="str">
        <f>TEXT(Table1[[#This Row],[Hire Date]],"mmmm")</f>
        <v>مارس</v>
      </c>
      <c r="AD439" t="str">
        <f>IF(Table1[[#This Row],[Resigned]]="yes","former","active")</f>
        <v>active</v>
      </c>
    </row>
    <row r="440" spans="1:30" x14ac:dyDescent="0.3">
      <c r="A440" t="s">
        <v>945</v>
      </c>
      <c r="B440" t="s">
        <v>946</v>
      </c>
      <c r="C440" t="s">
        <v>39</v>
      </c>
      <c r="D440">
        <v>28</v>
      </c>
      <c r="E440" t="s">
        <v>63</v>
      </c>
      <c r="F440" t="s">
        <v>64</v>
      </c>
      <c r="G440" t="s">
        <v>58</v>
      </c>
      <c r="H440" t="s">
        <v>42</v>
      </c>
      <c r="I440" t="s">
        <v>81</v>
      </c>
      <c r="J440" s="1">
        <v>44037</v>
      </c>
      <c r="K440">
        <v>6</v>
      </c>
      <c r="L440">
        <v>22578789</v>
      </c>
      <c r="M440">
        <v>2029266</v>
      </c>
      <c r="N440" t="s">
        <v>33</v>
      </c>
      <c r="O440">
        <v>4.84</v>
      </c>
      <c r="P440">
        <v>34</v>
      </c>
      <c r="Q440">
        <v>5</v>
      </c>
      <c r="R440">
        <v>5</v>
      </c>
      <c r="S440">
        <v>5</v>
      </c>
      <c r="T440" t="s">
        <v>33</v>
      </c>
      <c r="U440" t="s">
        <v>33</v>
      </c>
      <c r="V440" t="s">
        <v>59</v>
      </c>
      <c r="W440" t="s">
        <v>34</v>
      </c>
      <c r="X440" t="s">
        <v>36</v>
      </c>
      <c r="Y440" t="s">
        <v>53</v>
      </c>
      <c r="Z440" t="str">
        <f>IF(Table1[[#This Row],[Age]]&lt;30,"20-29",IF(Table1[[#This Row],[Age]]&lt;40,"30-39",IF(Table1[[#This Row],[Age]]&lt;50,"40-49","50+")))</f>
        <v>20-29</v>
      </c>
      <c r="AA440" t="str">
        <f>IF(Table1[[#This Row],[Salary]]&lt;20000000,"low",IF(Table1[[#This Row],[Salary]]&lt;40000000,"medium","high"))</f>
        <v>medium</v>
      </c>
      <c r="AB440">
        <f>YEAR(Table1[[#This Row],[Hire Date]])</f>
        <v>2020</v>
      </c>
      <c r="AC440" t="str">
        <f>TEXT(Table1[[#This Row],[Hire Date]],"mmmm")</f>
        <v>ژوئيه</v>
      </c>
      <c r="AD440" t="str">
        <f>IF(Table1[[#This Row],[Resigned]]="yes","former","active")</f>
        <v>former</v>
      </c>
    </row>
    <row r="441" spans="1:30" x14ac:dyDescent="0.3">
      <c r="A441" t="s">
        <v>947</v>
      </c>
      <c r="B441" t="s">
        <v>948</v>
      </c>
      <c r="C441" t="s">
        <v>27</v>
      </c>
      <c r="D441">
        <v>28</v>
      </c>
      <c r="E441" t="s">
        <v>56</v>
      </c>
      <c r="F441" t="s">
        <v>84</v>
      </c>
      <c r="G441" t="s">
        <v>58</v>
      </c>
      <c r="H441" t="s">
        <v>31</v>
      </c>
      <c r="I441" t="s">
        <v>65</v>
      </c>
      <c r="J441" s="1">
        <v>42875</v>
      </c>
      <c r="K441">
        <v>9</v>
      </c>
      <c r="L441">
        <v>33890963</v>
      </c>
      <c r="M441">
        <v>9744930</v>
      </c>
      <c r="N441" t="s">
        <v>34</v>
      </c>
      <c r="O441">
        <v>3.66</v>
      </c>
      <c r="P441">
        <v>45</v>
      </c>
      <c r="Q441">
        <v>3</v>
      </c>
      <c r="R441">
        <v>1</v>
      </c>
      <c r="S441">
        <v>13</v>
      </c>
      <c r="T441" t="s">
        <v>34</v>
      </c>
      <c r="U441" t="s">
        <v>34</v>
      </c>
      <c r="V441" t="s">
        <v>70</v>
      </c>
      <c r="W441" t="s">
        <v>34</v>
      </c>
      <c r="X441" t="s">
        <v>52</v>
      </c>
      <c r="Z441" t="str">
        <f>IF(Table1[[#This Row],[Age]]&lt;30,"20-29",IF(Table1[[#This Row],[Age]]&lt;40,"30-39",IF(Table1[[#This Row],[Age]]&lt;50,"40-49","50+")))</f>
        <v>20-29</v>
      </c>
      <c r="AA441" t="str">
        <f>IF(Table1[[#This Row],[Salary]]&lt;20000000,"low",IF(Table1[[#This Row],[Salary]]&lt;40000000,"medium","high"))</f>
        <v>medium</v>
      </c>
      <c r="AB441">
        <f>YEAR(Table1[[#This Row],[Hire Date]])</f>
        <v>2017</v>
      </c>
      <c r="AC441" t="str">
        <f>TEXT(Table1[[#This Row],[Hire Date]],"mmmm")</f>
        <v>مه</v>
      </c>
      <c r="AD441" t="str">
        <f>IF(Table1[[#This Row],[Resigned]]="yes","former","active")</f>
        <v>active</v>
      </c>
    </row>
    <row r="442" spans="1:30" x14ac:dyDescent="0.3">
      <c r="A442" t="s">
        <v>949</v>
      </c>
      <c r="B442" t="s">
        <v>950</v>
      </c>
      <c r="C442" t="s">
        <v>39</v>
      </c>
      <c r="D442">
        <v>45</v>
      </c>
      <c r="E442" t="s">
        <v>63</v>
      </c>
      <c r="F442" t="s">
        <v>93</v>
      </c>
      <c r="G442" t="s">
        <v>58</v>
      </c>
      <c r="H442" t="s">
        <v>42</v>
      </c>
      <c r="I442" t="s">
        <v>65</v>
      </c>
      <c r="J442" s="1">
        <v>43109</v>
      </c>
      <c r="K442">
        <v>8</v>
      </c>
      <c r="L442">
        <v>38205723</v>
      </c>
      <c r="M442">
        <v>1394652</v>
      </c>
      <c r="N442" t="s">
        <v>33</v>
      </c>
      <c r="O442">
        <v>3.61</v>
      </c>
      <c r="P442">
        <v>7</v>
      </c>
      <c r="Q442">
        <v>3</v>
      </c>
      <c r="R442">
        <v>3</v>
      </c>
      <c r="S442">
        <v>12</v>
      </c>
      <c r="T442" t="s">
        <v>34</v>
      </c>
      <c r="U442" t="s">
        <v>33</v>
      </c>
      <c r="V442" t="s">
        <v>35</v>
      </c>
      <c r="W442" t="s">
        <v>34</v>
      </c>
      <c r="X442" t="s">
        <v>36</v>
      </c>
      <c r="Y442" t="s">
        <v>75</v>
      </c>
      <c r="Z442" t="str">
        <f>IF(Table1[[#This Row],[Age]]&lt;30,"20-29",IF(Table1[[#This Row],[Age]]&lt;40,"30-39",IF(Table1[[#This Row],[Age]]&lt;50,"40-49","50+")))</f>
        <v>40-49</v>
      </c>
      <c r="AA442" t="str">
        <f>IF(Table1[[#This Row],[Salary]]&lt;20000000,"low",IF(Table1[[#This Row],[Salary]]&lt;40000000,"medium","high"))</f>
        <v>medium</v>
      </c>
      <c r="AB442">
        <f>YEAR(Table1[[#This Row],[Hire Date]])</f>
        <v>2018</v>
      </c>
      <c r="AC442" t="str">
        <f>TEXT(Table1[[#This Row],[Hire Date]],"mmmm")</f>
        <v>ژانويه</v>
      </c>
      <c r="AD442" t="str">
        <f>IF(Table1[[#This Row],[Resigned]]="yes","former","active")</f>
        <v>former</v>
      </c>
    </row>
    <row r="443" spans="1:30" x14ac:dyDescent="0.3">
      <c r="A443" t="s">
        <v>951</v>
      </c>
      <c r="B443" t="s">
        <v>952</v>
      </c>
      <c r="C443" t="s">
        <v>27</v>
      </c>
      <c r="D443">
        <v>49</v>
      </c>
      <c r="E443" t="s">
        <v>110</v>
      </c>
      <c r="F443" t="s">
        <v>111</v>
      </c>
      <c r="G443" t="s">
        <v>49</v>
      </c>
      <c r="H443" t="s">
        <v>31</v>
      </c>
      <c r="I443" t="s">
        <v>65</v>
      </c>
      <c r="J443" s="1">
        <v>43444</v>
      </c>
      <c r="K443">
        <v>8</v>
      </c>
      <c r="L443">
        <v>21597542</v>
      </c>
      <c r="M443">
        <v>5898220</v>
      </c>
      <c r="N443" t="s">
        <v>33</v>
      </c>
      <c r="O443">
        <v>4.32</v>
      </c>
      <c r="P443">
        <v>41</v>
      </c>
      <c r="Q443">
        <v>4</v>
      </c>
      <c r="R443">
        <v>1</v>
      </c>
      <c r="S443">
        <v>0</v>
      </c>
      <c r="T443" t="s">
        <v>34</v>
      </c>
      <c r="U443" t="s">
        <v>34</v>
      </c>
      <c r="V443" t="s">
        <v>51</v>
      </c>
      <c r="W443" t="s">
        <v>33</v>
      </c>
      <c r="X443" t="s">
        <v>52</v>
      </c>
      <c r="Z443" t="str">
        <f>IF(Table1[[#This Row],[Age]]&lt;30,"20-29",IF(Table1[[#This Row],[Age]]&lt;40,"30-39",IF(Table1[[#This Row],[Age]]&lt;50,"40-49","50+")))</f>
        <v>40-49</v>
      </c>
      <c r="AA443" t="str">
        <f>IF(Table1[[#This Row],[Salary]]&lt;20000000,"low",IF(Table1[[#This Row],[Salary]]&lt;40000000,"medium","high"))</f>
        <v>medium</v>
      </c>
      <c r="AB443">
        <f>YEAR(Table1[[#This Row],[Hire Date]])</f>
        <v>2018</v>
      </c>
      <c r="AC443" t="str">
        <f>TEXT(Table1[[#This Row],[Hire Date]],"mmmm")</f>
        <v>دسامبر</v>
      </c>
      <c r="AD443" t="str">
        <f>IF(Table1[[#This Row],[Resigned]]="yes","former","active")</f>
        <v>active</v>
      </c>
    </row>
    <row r="444" spans="1:30" x14ac:dyDescent="0.3">
      <c r="A444" t="s">
        <v>953</v>
      </c>
      <c r="B444" t="s">
        <v>954</v>
      </c>
      <c r="C444" t="s">
        <v>39</v>
      </c>
      <c r="D444">
        <v>42</v>
      </c>
      <c r="E444" t="s">
        <v>73</v>
      </c>
      <c r="F444" t="s">
        <v>127</v>
      </c>
      <c r="G444" t="s">
        <v>30</v>
      </c>
      <c r="H444" t="s">
        <v>31</v>
      </c>
      <c r="I444" t="s">
        <v>65</v>
      </c>
      <c r="J444" s="1">
        <v>44083</v>
      </c>
      <c r="K444">
        <v>6</v>
      </c>
      <c r="L444">
        <v>26773134</v>
      </c>
      <c r="M444">
        <v>2062008</v>
      </c>
      <c r="N444" t="s">
        <v>34</v>
      </c>
      <c r="O444">
        <v>4.82</v>
      </c>
      <c r="P444">
        <v>53</v>
      </c>
      <c r="Q444">
        <v>2</v>
      </c>
      <c r="R444">
        <v>3</v>
      </c>
      <c r="S444">
        <v>10</v>
      </c>
      <c r="T444" t="s">
        <v>33</v>
      </c>
      <c r="U444" t="s">
        <v>34</v>
      </c>
      <c r="V444" t="s">
        <v>44</v>
      </c>
      <c r="W444" t="s">
        <v>33</v>
      </c>
      <c r="X444" t="s">
        <v>52</v>
      </c>
      <c r="Z444" t="str">
        <f>IF(Table1[[#This Row],[Age]]&lt;30,"20-29",IF(Table1[[#This Row],[Age]]&lt;40,"30-39",IF(Table1[[#This Row],[Age]]&lt;50,"40-49","50+")))</f>
        <v>40-49</v>
      </c>
      <c r="AA444" t="str">
        <f>IF(Table1[[#This Row],[Salary]]&lt;20000000,"low",IF(Table1[[#This Row],[Salary]]&lt;40000000,"medium","high"))</f>
        <v>medium</v>
      </c>
      <c r="AB444">
        <f>YEAR(Table1[[#This Row],[Hire Date]])</f>
        <v>2020</v>
      </c>
      <c r="AC444" t="str">
        <f>TEXT(Table1[[#This Row],[Hire Date]],"mmmm")</f>
        <v>سپتامبر</v>
      </c>
      <c r="AD444" t="str">
        <f>IF(Table1[[#This Row],[Resigned]]="yes","former","active")</f>
        <v>active</v>
      </c>
    </row>
    <row r="445" spans="1:30" x14ac:dyDescent="0.3">
      <c r="A445" t="s">
        <v>955</v>
      </c>
      <c r="B445" t="s">
        <v>956</v>
      </c>
      <c r="C445" t="s">
        <v>39</v>
      </c>
      <c r="D445">
        <v>24</v>
      </c>
      <c r="E445" t="s">
        <v>28</v>
      </c>
      <c r="F445" t="s">
        <v>80</v>
      </c>
      <c r="G445" t="s">
        <v>58</v>
      </c>
      <c r="H445" t="s">
        <v>42</v>
      </c>
      <c r="I445" t="s">
        <v>43</v>
      </c>
      <c r="J445" s="1">
        <v>43368</v>
      </c>
      <c r="K445">
        <v>8</v>
      </c>
      <c r="L445">
        <v>23858587</v>
      </c>
      <c r="M445">
        <v>4497506</v>
      </c>
      <c r="N445" t="s">
        <v>34</v>
      </c>
      <c r="O445">
        <v>4.82</v>
      </c>
      <c r="P445">
        <v>23</v>
      </c>
      <c r="Q445">
        <v>3</v>
      </c>
      <c r="R445">
        <v>1</v>
      </c>
      <c r="S445">
        <v>15</v>
      </c>
      <c r="T445" t="s">
        <v>34</v>
      </c>
      <c r="U445" t="s">
        <v>34</v>
      </c>
      <c r="V445" t="s">
        <v>44</v>
      </c>
      <c r="W445" t="s">
        <v>33</v>
      </c>
      <c r="X445" t="s">
        <v>36</v>
      </c>
      <c r="Z445" t="str">
        <f>IF(Table1[[#This Row],[Age]]&lt;30,"20-29",IF(Table1[[#This Row],[Age]]&lt;40,"30-39",IF(Table1[[#This Row],[Age]]&lt;50,"40-49","50+")))</f>
        <v>20-29</v>
      </c>
      <c r="AA445" t="str">
        <f>IF(Table1[[#This Row],[Salary]]&lt;20000000,"low",IF(Table1[[#This Row],[Salary]]&lt;40000000,"medium","high"))</f>
        <v>medium</v>
      </c>
      <c r="AB445">
        <f>YEAR(Table1[[#This Row],[Hire Date]])</f>
        <v>2018</v>
      </c>
      <c r="AC445" t="str">
        <f>TEXT(Table1[[#This Row],[Hire Date]],"mmmm")</f>
        <v>سپتامبر</v>
      </c>
      <c r="AD445" t="str">
        <f>IF(Table1[[#This Row],[Resigned]]="yes","former","active")</f>
        <v>active</v>
      </c>
    </row>
    <row r="446" spans="1:30" x14ac:dyDescent="0.3">
      <c r="A446" t="s">
        <v>957</v>
      </c>
      <c r="B446" t="s">
        <v>958</v>
      </c>
      <c r="C446" t="s">
        <v>39</v>
      </c>
      <c r="D446">
        <v>50</v>
      </c>
      <c r="E446" t="s">
        <v>56</v>
      </c>
      <c r="F446" t="s">
        <v>84</v>
      </c>
      <c r="G446" t="s">
        <v>58</v>
      </c>
      <c r="H446" t="s">
        <v>31</v>
      </c>
      <c r="I446" t="s">
        <v>81</v>
      </c>
      <c r="J446" s="1">
        <v>44788</v>
      </c>
      <c r="K446">
        <v>4</v>
      </c>
      <c r="L446">
        <v>42034254</v>
      </c>
      <c r="M446">
        <v>5566067</v>
      </c>
      <c r="N446" t="s">
        <v>33</v>
      </c>
      <c r="O446">
        <v>3.92</v>
      </c>
      <c r="P446">
        <v>68</v>
      </c>
      <c r="Q446">
        <v>1</v>
      </c>
      <c r="R446">
        <v>5</v>
      </c>
      <c r="S446">
        <v>16</v>
      </c>
      <c r="T446" t="s">
        <v>34</v>
      </c>
      <c r="U446" t="s">
        <v>33</v>
      </c>
      <c r="V446" t="s">
        <v>44</v>
      </c>
      <c r="W446" t="s">
        <v>34</v>
      </c>
      <c r="X446" t="s">
        <v>36</v>
      </c>
      <c r="Y446" t="s">
        <v>53</v>
      </c>
      <c r="Z446" t="str">
        <f>IF(Table1[[#This Row],[Age]]&lt;30,"20-29",IF(Table1[[#This Row],[Age]]&lt;40,"30-39",IF(Table1[[#This Row],[Age]]&lt;50,"40-49","50+")))</f>
        <v>50+</v>
      </c>
      <c r="AA446" t="str">
        <f>IF(Table1[[#This Row],[Salary]]&lt;20000000,"low",IF(Table1[[#This Row],[Salary]]&lt;40000000,"medium","high"))</f>
        <v>high</v>
      </c>
      <c r="AB446">
        <f>YEAR(Table1[[#This Row],[Hire Date]])</f>
        <v>2022</v>
      </c>
      <c r="AC446" t="str">
        <f>TEXT(Table1[[#This Row],[Hire Date]],"mmmm")</f>
        <v>اوت</v>
      </c>
      <c r="AD446" t="str">
        <f>IF(Table1[[#This Row],[Resigned]]="yes","former","active")</f>
        <v>former</v>
      </c>
    </row>
    <row r="447" spans="1:30" x14ac:dyDescent="0.3">
      <c r="A447" t="s">
        <v>959</v>
      </c>
      <c r="B447" t="s">
        <v>960</v>
      </c>
      <c r="C447" t="s">
        <v>27</v>
      </c>
      <c r="D447">
        <v>27</v>
      </c>
      <c r="E447" t="s">
        <v>56</v>
      </c>
      <c r="F447" t="s">
        <v>84</v>
      </c>
      <c r="G447" t="s">
        <v>30</v>
      </c>
      <c r="H447" t="s">
        <v>31</v>
      </c>
      <c r="I447" t="s">
        <v>32</v>
      </c>
      <c r="J447" s="1">
        <v>43830</v>
      </c>
      <c r="K447">
        <v>7</v>
      </c>
      <c r="L447">
        <v>19746682</v>
      </c>
      <c r="M447">
        <v>8272732</v>
      </c>
      <c r="N447" t="s">
        <v>33</v>
      </c>
      <c r="O447">
        <v>2.5499999999999998</v>
      </c>
      <c r="P447">
        <v>59</v>
      </c>
      <c r="Q447">
        <v>3</v>
      </c>
      <c r="R447">
        <v>2</v>
      </c>
      <c r="S447">
        <v>0</v>
      </c>
      <c r="T447" t="s">
        <v>33</v>
      </c>
      <c r="U447" t="s">
        <v>34</v>
      </c>
      <c r="V447" t="s">
        <v>35</v>
      </c>
      <c r="W447" t="s">
        <v>33</v>
      </c>
      <c r="X447" t="s">
        <v>45</v>
      </c>
      <c r="Z447" t="str">
        <f>IF(Table1[[#This Row],[Age]]&lt;30,"20-29",IF(Table1[[#This Row],[Age]]&lt;40,"30-39",IF(Table1[[#This Row],[Age]]&lt;50,"40-49","50+")))</f>
        <v>20-29</v>
      </c>
      <c r="AA447" t="str">
        <f>IF(Table1[[#This Row],[Salary]]&lt;20000000,"low",IF(Table1[[#This Row],[Salary]]&lt;40000000,"medium","high"))</f>
        <v>low</v>
      </c>
      <c r="AB447">
        <f>YEAR(Table1[[#This Row],[Hire Date]])</f>
        <v>2019</v>
      </c>
      <c r="AC447" t="str">
        <f>TEXT(Table1[[#This Row],[Hire Date]],"mmmm")</f>
        <v>دسامبر</v>
      </c>
      <c r="AD447" t="str">
        <f>IF(Table1[[#This Row],[Resigned]]="yes","former","active")</f>
        <v>active</v>
      </c>
    </row>
    <row r="448" spans="1:30" x14ac:dyDescent="0.3">
      <c r="A448" t="s">
        <v>961</v>
      </c>
      <c r="B448" t="s">
        <v>962</v>
      </c>
      <c r="C448" t="s">
        <v>39</v>
      </c>
      <c r="D448">
        <v>31</v>
      </c>
      <c r="E448" t="s">
        <v>40</v>
      </c>
      <c r="F448" t="s">
        <v>41</v>
      </c>
      <c r="G448" t="s">
        <v>30</v>
      </c>
      <c r="H448" t="s">
        <v>42</v>
      </c>
      <c r="I448" t="s">
        <v>50</v>
      </c>
      <c r="J448" s="1">
        <v>45696</v>
      </c>
      <c r="K448">
        <v>1</v>
      </c>
      <c r="L448">
        <v>20402186</v>
      </c>
      <c r="M448">
        <v>6250770</v>
      </c>
      <c r="N448" t="s">
        <v>34</v>
      </c>
      <c r="O448">
        <v>3.42</v>
      </c>
      <c r="P448">
        <v>41</v>
      </c>
      <c r="Q448">
        <v>1</v>
      </c>
      <c r="R448">
        <v>4</v>
      </c>
      <c r="S448">
        <v>3</v>
      </c>
      <c r="T448" t="s">
        <v>34</v>
      </c>
      <c r="U448" t="s">
        <v>33</v>
      </c>
      <c r="V448" t="s">
        <v>51</v>
      </c>
      <c r="W448" t="s">
        <v>34</v>
      </c>
      <c r="X448" t="s">
        <v>52</v>
      </c>
      <c r="Y448" t="s">
        <v>75</v>
      </c>
      <c r="Z448" t="str">
        <f>IF(Table1[[#This Row],[Age]]&lt;30,"20-29",IF(Table1[[#This Row],[Age]]&lt;40,"30-39",IF(Table1[[#This Row],[Age]]&lt;50,"40-49","50+")))</f>
        <v>30-39</v>
      </c>
      <c r="AA448" t="str">
        <f>IF(Table1[[#This Row],[Salary]]&lt;20000000,"low",IF(Table1[[#This Row],[Salary]]&lt;40000000,"medium","high"))</f>
        <v>medium</v>
      </c>
      <c r="AB448">
        <f>YEAR(Table1[[#This Row],[Hire Date]])</f>
        <v>2025</v>
      </c>
      <c r="AC448" t="str">
        <f>TEXT(Table1[[#This Row],[Hire Date]],"mmmm")</f>
        <v>فوريه</v>
      </c>
      <c r="AD448" t="str">
        <f>IF(Table1[[#This Row],[Resigned]]="yes","former","active")</f>
        <v>former</v>
      </c>
    </row>
    <row r="449" spans="1:30" x14ac:dyDescent="0.3">
      <c r="A449" t="s">
        <v>963</v>
      </c>
      <c r="B449" t="s">
        <v>964</v>
      </c>
      <c r="C449" t="s">
        <v>39</v>
      </c>
      <c r="D449">
        <v>37</v>
      </c>
      <c r="E449" t="s">
        <v>56</v>
      </c>
      <c r="F449" t="s">
        <v>84</v>
      </c>
      <c r="G449" t="s">
        <v>49</v>
      </c>
      <c r="H449" t="s">
        <v>42</v>
      </c>
      <c r="I449" t="s">
        <v>65</v>
      </c>
      <c r="J449" s="1">
        <v>45291</v>
      </c>
      <c r="K449">
        <v>3</v>
      </c>
      <c r="L449">
        <v>29055366</v>
      </c>
      <c r="M449">
        <v>1480012</v>
      </c>
      <c r="N449" t="s">
        <v>33</v>
      </c>
      <c r="O449">
        <v>3.81</v>
      </c>
      <c r="P449">
        <v>20</v>
      </c>
      <c r="Q449">
        <v>3</v>
      </c>
      <c r="R449">
        <v>1</v>
      </c>
      <c r="S449">
        <v>12</v>
      </c>
      <c r="T449" t="s">
        <v>34</v>
      </c>
      <c r="U449" t="s">
        <v>34</v>
      </c>
      <c r="V449" t="s">
        <v>59</v>
      </c>
      <c r="W449" t="s">
        <v>33</v>
      </c>
      <c r="X449" t="s">
        <v>52</v>
      </c>
      <c r="Z449" t="str">
        <f>IF(Table1[[#This Row],[Age]]&lt;30,"20-29",IF(Table1[[#This Row],[Age]]&lt;40,"30-39",IF(Table1[[#This Row],[Age]]&lt;50,"40-49","50+")))</f>
        <v>30-39</v>
      </c>
      <c r="AA449" t="str">
        <f>IF(Table1[[#This Row],[Salary]]&lt;20000000,"low",IF(Table1[[#This Row],[Salary]]&lt;40000000,"medium","high"))</f>
        <v>medium</v>
      </c>
      <c r="AB449">
        <f>YEAR(Table1[[#This Row],[Hire Date]])</f>
        <v>2023</v>
      </c>
      <c r="AC449" t="str">
        <f>TEXT(Table1[[#This Row],[Hire Date]],"mmmm")</f>
        <v>دسامبر</v>
      </c>
      <c r="AD449" t="str">
        <f>IF(Table1[[#This Row],[Resigned]]="yes","former","active")</f>
        <v>active</v>
      </c>
    </row>
    <row r="450" spans="1:30" x14ac:dyDescent="0.3">
      <c r="A450" t="s">
        <v>965</v>
      </c>
      <c r="B450" t="s">
        <v>966</v>
      </c>
      <c r="C450" t="s">
        <v>27</v>
      </c>
      <c r="D450">
        <v>37</v>
      </c>
      <c r="E450" t="s">
        <v>28</v>
      </c>
      <c r="F450" t="s">
        <v>80</v>
      </c>
      <c r="G450" t="s">
        <v>49</v>
      </c>
      <c r="H450" t="s">
        <v>42</v>
      </c>
      <c r="I450" t="s">
        <v>65</v>
      </c>
      <c r="J450" s="1">
        <v>44229</v>
      </c>
      <c r="K450">
        <v>5</v>
      </c>
      <c r="L450">
        <v>23347226</v>
      </c>
      <c r="M450">
        <v>1804981</v>
      </c>
      <c r="N450" t="s">
        <v>34</v>
      </c>
      <c r="O450">
        <v>4.25</v>
      </c>
      <c r="P450">
        <v>73</v>
      </c>
      <c r="Q450">
        <v>4</v>
      </c>
      <c r="R450">
        <v>1</v>
      </c>
      <c r="S450">
        <v>14</v>
      </c>
      <c r="T450" t="s">
        <v>33</v>
      </c>
      <c r="U450" t="s">
        <v>34</v>
      </c>
      <c r="V450" t="s">
        <v>44</v>
      </c>
      <c r="W450" t="s">
        <v>33</v>
      </c>
      <c r="X450" t="s">
        <v>36</v>
      </c>
      <c r="Z450" t="str">
        <f>IF(Table1[[#This Row],[Age]]&lt;30,"20-29",IF(Table1[[#This Row],[Age]]&lt;40,"30-39",IF(Table1[[#This Row],[Age]]&lt;50,"40-49","50+")))</f>
        <v>30-39</v>
      </c>
      <c r="AA450" t="str">
        <f>IF(Table1[[#This Row],[Salary]]&lt;20000000,"low",IF(Table1[[#This Row],[Salary]]&lt;40000000,"medium","high"))</f>
        <v>medium</v>
      </c>
      <c r="AB450">
        <f>YEAR(Table1[[#This Row],[Hire Date]])</f>
        <v>2021</v>
      </c>
      <c r="AC450" t="str">
        <f>TEXT(Table1[[#This Row],[Hire Date]],"mmmm")</f>
        <v>فوريه</v>
      </c>
      <c r="AD450" t="str">
        <f>IF(Table1[[#This Row],[Resigned]]="yes","former","active")</f>
        <v>active</v>
      </c>
    </row>
    <row r="451" spans="1:30" x14ac:dyDescent="0.3">
      <c r="A451" t="s">
        <v>967</v>
      </c>
      <c r="B451" t="s">
        <v>968</v>
      </c>
      <c r="C451" t="s">
        <v>27</v>
      </c>
      <c r="D451">
        <v>50</v>
      </c>
      <c r="E451" t="s">
        <v>73</v>
      </c>
      <c r="F451" t="s">
        <v>127</v>
      </c>
      <c r="G451" t="s">
        <v>49</v>
      </c>
      <c r="H451" t="s">
        <v>31</v>
      </c>
      <c r="I451" t="s">
        <v>43</v>
      </c>
      <c r="J451" s="1">
        <v>44285</v>
      </c>
      <c r="K451">
        <v>5</v>
      </c>
      <c r="L451">
        <v>31593305</v>
      </c>
      <c r="M451">
        <v>5748584</v>
      </c>
      <c r="N451" t="s">
        <v>34</v>
      </c>
      <c r="O451">
        <v>3.34</v>
      </c>
      <c r="P451">
        <v>28</v>
      </c>
      <c r="Q451">
        <v>1</v>
      </c>
      <c r="R451">
        <v>1</v>
      </c>
      <c r="S451">
        <v>5</v>
      </c>
      <c r="T451" t="s">
        <v>34</v>
      </c>
      <c r="U451" t="s">
        <v>34</v>
      </c>
      <c r="V451" t="s">
        <v>59</v>
      </c>
      <c r="W451" t="s">
        <v>33</v>
      </c>
      <c r="X451" t="s">
        <v>36</v>
      </c>
      <c r="Z451" t="str">
        <f>IF(Table1[[#This Row],[Age]]&lt;30,"20-29",IF(Table1[[#This Row],[Age]]&lt;40,"30-39",IF(Table1[[#This Row],[Age]]&lt;50,"40-49","50+")))</f>
        <v>50+</v>
      </c>
      <c r="AA451" t="str">
        <f>IF(Table1[[#This Row],[Salary]]&lt;20000000,"low",IF(Table1[[#This Row],[Salary]]&lt;40000000,"medium","high"))</f>
        <v>medium</v>
      </c>
      <c r="AB451">
        <f>YEAR(Table1[[#This Row],[Hire Date]])</f>
        <v>2021</v>
      </c>
      <c r="AC451" t="str">
        <f>TEXT(Table1[[#This Row],[Hire Date]],"mmmm")</f>
        <v>مارس</v>
      </c>
      <c r="AD451" t="str">
        <f>IF(Table1[[#This Row],[Resigned]]="yes","former","active")</f>
        <v>active</v>
      </c>
    </row>
    <row r="452" spans="1:30" x14ac:dyDescent="0.3">
      <c r="A452" t="s">
        <v>969</v>
      </c>
      <c r="B452" t="s">
        <v>970</v>
      </c>
      <c r="C452" t="s">
        <v>27</v>
      </c>
      <c r="D452">
        <v>42</v>
      </c>
      <c r="E452" t="s">
        <v>40</v>
      </c>
      <c r="F452" t="s">
        <v>48</v>
      </c>
      <c r="G452" t="s">
        <v>58</v>
      </c>
      <c r="H452" t="s">
        <v>31</v>
      </c>
      <c r="I452" t="s">
        <v>50</v>
      </c>
      <c r="J452" s="1">
        <v>44090</v>
      </c>
      <c r="K452">
        <v>6</v>
      </c>
      <c r="L452">
        <v>49172118</v>
      </c>
      <c r="M452">
        <v>8541652</v>
      </c>
      <c r="N452" t="s">
        <v>34</v>
      </c>
      <c r="O452">
        <v>4.13</v>
      </c>
      <c r="P452">
        <v>69</v>
      </c>
      <c r="Q452">
        <v>1</v>
      </c>
      <c r="R452">
        <v>5</v>
      </c>
      <c r="S452">
        <v>6</v>
      </c>
      <c r="T452" t="s">
        <v>33</v>
      </c>
      <c r="U452" t="s">
        <v>34</v>
      </c>
      <c r="V452" t="s">
        <v>44</v>
      </c>
      <c r="W452" t="s">
        <v>34</v>
      </c>
      <c r="X452" t="s">
        <v>45</v>
      </c>
      <c r="Z452" t="str">
        <f>IF(Table1[[#This Row],[Age]]&lt;30,"20-29",IF(Table1[[#This Row],[Age]]&lt;40,"30-39",IF(Table1[[#This Row],[Age]]&lt;50,"40-49","50+")))</f>
        <v>40-49</v>
      </c>
      <c r="AA452" t="str">
        <f>IF(Table1[[#This Row],[Salary]]&lt;20000000,"low",IF(Table1[[#This Row],[Salary]]&lt;40000000,"medium","high"))</f>
        <v>high</v>
      </c>
      <c r="AB452">
        <f>YEAR(Table1[[#This Row],[Hire Date]])</f>
        <v>2020</v>
      </c>
      <c r="AC452" t="str">
        <f>TEXT(Table1[[#This Row],[Hire Date]],"mmmm")</f>
        <v>سپتامبر</v>
      </c>
      <c r="AD452" t="str">
        <f>IF(Table1[[#This Row],[Resigned]]="yes","former","active")</f>
        <v>active</v>
      </c>
    </row>
    <row r="453" spans="1:30" x14ac:dyDescent="0.3">
      <c r="A453" t="s">
        <v>971</v>
      </c>
      <c r="B453" t="s">
        <v>972</v>
      </c>
      <c r="C453" t="s">
        <v>39</v>
      </c>
      <c r="D453">
        <v>39</v>
      </c>
      <c r="E453" t="s">
        <v>110</v>
      </c>
      <c r="F453" t="s">
        <v>120</v>
      </c>
      <c r="G453" t="s">
        <v>58</v>
      </c>
      <c r="H453" t="s">
        <v>42</v>
      </c>
      <c r="I453" t="s">
        <v>32</v>
      </c>
      <c r="J453" s="1">
        <v>45196</v>
      </c>
      <c r="K453">
        <v>3</v>
      </c>
      <c r="L453">
        <v>17366785</v>
      </c>
      <c r="M453">
        <v>6581868</v>
      </c>
      <c r="N453" t="s">
        <v>33</v>
      </c>
      <c r="O453">
        <v>2.6</v>
      </c>
      <c r="P453">
        <v>38</v>
      </c>
      <c r="Q453">
        <v>2</v>
      </c>
      <c r="R453">
        <v>1</v>
      </c>
      <c r="S453">
        <v>9</v>
      </c>
      <c r="T453" t="s">
        <v>34</v>
      </c>
      <c r="U453" t="s">
        <v>34</v>
      </c>
      <c r="V453" t="s">
        <v>70</v>
      </c>
      <c r="W453" t="s">
        <v>33</v>
      </c>
      <c r="X453" t="s">
        <v>36</v>
      </c>
      <c r="Z453" t="str">
        <f>IF(Table1[[#This Row],[Age]]&lt;30,"20-29",IF(Table1[[#This Row],[Age]]&lt;40,"30-39",IF(Table1[[#This Row],[Age]]&lt;50,"40-49","50+")))</f>
        <v>30-39</v>
      </c>
      <c r="AA453" t="str">
        <f>IF(Table1[[#This Row],[Salary]]&lt;20000000,"low",IF(Table1[[#This Row],[Salary]]&lt;40000000,"medium","high"))</f>
        <v>low</v>
      </c>
      <c r="AB453">
        <f>YEAR(Table1[[#This Row],[Hire Date]])</f>
        <v>2023</v>
      </c>
      <c r="AC453" t="str">
        <f>TEXT(Table1[[#This Row],[Hire Date]],"mmmm")</f>
        <v>سپتامبر</v>
      </c>
      <c r="AD453" t="str">
        <f>IF(Table1[[#This Row],[Resigned]]="yes","former","active")</f>
        <v>active</v>
      </c>
    </row>
    <row r="454" spans="1:30" x14ac:dyDescent="0.3">
      <c r="A454" t="s">
        <v>973</v>
      </c>
      <c r="B454" t="s">
        <v>974</v>
      </c>
      <c r="C454" t="s">
        <v>39</v>
      </c>
      <c r="D454">
        <v>34</v>
      </c>
      <c r="E454" t="s">
        <v>28</v>
      </c>
      <c r="F454" t="s">
        <v>80</v>
      </c>
      <c r="G454" t="s">
        <v>49</v>
      </c>
      <c r="H454" t="s">
        <v>31</v>
      </c>
      <c r="I454" t="s">
        <v>81</v>
      </c>
      <c r="J454" s="1">
        <v>45049</v>
      </c>
      <c r="K454">
        <v>3</v>
      </c>
      <c r="L454">
        <v>32274845</v>
      </c>
      <c r="M454">
        <v>1333554</v>
      </c>
      <c r="N454" t="s">
        <v>34</v>
      </c>
      <c r="O454">
        <v>4.1100000000000003</v>
      </c>
      <c r="P454">
        <v>53</v>
      </c>
      <c r="Q454">
        <v>5</v>
      </c>
      <c r="R454">
        <v>5</v>
      </c>
      <c r="S454">
        <v>1</v>
      </c>
      <c r="T454" t="s">
        <v>33</v>
      </c>
      <c r="U454" t="s">
        <v>34</v>
      </c>
      <c r="V454" t="s">
        <v>59</v>
      </c>
      <c r="W454" t="s">
        <v>33</v>
      </c>
      <c r="X454" t="s">
        <v>36</v>
      </c>
      <c r="Z454" t="str">
        <f>IF(Table1[[#This Row],[Age]]&lt;30,"20-29",IF(Table1[[#This Row],[Age]]&lt;40,"30-39",IF(Table1[[#This Row],[Age]]&lt;50,"40-49","50+")))</f>
        <v>30-39</v>
      </c>
      <c r="AA454" t="str">
        <f>IF(Table1[[#This Row],[Salary]]&lt;20000000,"low",IF(Table1[[#This Row],[Salary]]&lt;40000000,"medium","high"))</f>
        <v>medium</v>
      </c>
      <c r="AB454">
        <f>YEAR(Table1[[#This Row],[Hire Date]])</f>
        <v>2023</v>
      </c>
      <c r="AC454" t="str">
        <f>TEXT(Table1[[#This Row],[Hire Date]],"mmmm")</f>
        <v>مه</v>
      </c>
      <c r="AD454" t="str">
        <f>IF(Table1[[#This Row],[Resigned]]="yes","former","active")</f>
        <v>active</v>
      </c>
    </row>
    <row r="455" spans="1:30" x14ac:dyDescent="0.3">
      <c r="A455" t="s">
        <v>975</v>
      </c>
      <c r="B455" t="s">
        <v>976</v>
      </c>
      <c r="C455" t="s">
        <v>39</v>
      </c>
      <c r="D455">
        <v>38</v>
      </c>
      <c r="E455" t="s">
        <v>40</v>
      </c>
      <c r="F455" t="s">
        <v>48</v>
      </c>
      <c r="G455" t="s">
        <v>49</v>
      </c>
      <c r="H455" t="s">
        <v>31</v>
      </c>
      <c r="I455" t="s">
        <v>65</v>
      </c>
      <c r="J455" s="1">
        <v>44549</v>
      </c>
      <c r="K455">
        <v>5</v>
      </c>
      <c r="L455">
        <v>41866138</v>
      </c>
      <c r="M455">
        <v>1287139</v>
      </c>
      <c r="N455" t="s">
        <v>34</v>
      </c>
      <c r="O455">
        <v>3.58</v>
      </c>
      <c r="P455">
        <v>5</v>
      </c>
      <c r="Q455">
        <v>2</v>
      </c>
      <c r="R455">
        <v>2</v>
      </c>
      <c r="S455">
        <v>13</v>
      </c>
      <c r="T455" t="s">
        <v>33</v>
      </c>
      <c r="U455" t="s">
        <v>34</v>
      </c>
      <c r="V455" t="s">
        <v>59</v>
      </c>
      <c r="W455" t="s">
        <v>33</v>
      </c>
      <c r="X455" t="s">
        <v>45</v>
      </c>
      <c r="Z455" t="str">
        <f>IF(Table1[[#This Row],[Age]]&lt;30,"20-29",IF(Table1[[#This Row],[Age]]&lt;40,"30-39",IF(Table1[[#This Row],[Age]]&lt;50,"40-49","50+")))</f>
        <v>30-39</v>
      </c>
      <c r="AA455" t="str">
        <f>IF(Table1[[#This Row],[Salary]]&lt;20000000,"low",IF(Table1[[#This Row],[Salary]]&lt;40000000,"medium","high"))</f>
        <v>high</v>
      </c>
      <c r="AB455">
        <f>YEAR(Table1[[#This Row],[Hire Date]])</f>
        <v>2021</v>
      </c>
      <c r="AC455" t="str">
        <f>TEXT(Table1[[#This Row],[Hire Date]],"mmmm")</f>
        <v>دسامبر</v>
      </c>
      <c r="AD455" t="str">
        <f>IF(Table1[[#This Row],[Resigned]]="yes","former","active")</f>
        <v>active</v>
      </c>
    </row>
    <row r="456" spans="1:30" x14ac:dyDescent="0.3">
      <c r="A456" t="s">
        <v>977</v>
      </c>
      <c r="B456" t="s">
        <v>978</v>
      </c>
      <c r="C456" t="s">
        <v>27</v>
      </c>
      <c r="D456">
        <v>54</v>
      </c>
      <c r="E456" t="s">
        <v>56</v>
      </c>
      <c r="F456" t="s">
        <v>57</v>
      </c>
      <c r="G456" t="s">
        <v>49</v>
      </c>
      <c r="H456" t="s">
        <v>31</v>
      </c>
      <c r="I456" t="s">
        <v>65</v>
      </c>
      <c r="J456" s="1">
        <v>44598</v>
      </c>
      <c r="K456">
        <v>4</v>
      </c>
      <c r="L456">
        <v>18127422</v>
      </c>
      <c r="M456">
        <v>9786716</v>
      </c>
      <c r="N456" t="s">
        <v>33</v>
      </c>
      <c r="O456">
        <v>2.5499999999999998</v>
      </c>
      <c r="P456">
        <v>20</v>
      </c>
      <c r="Q456">
        <v>1</v>
      </c>
      <c r="R456">
        <v>2</v>
      </c>
      <c r="S456">
        <v>10</v>
      </c>
      <c r="T456" t="s">
        <v>33</v>
      </c>
      <c r="U456" t="s">
        <v>34</v>
      </c>
      <c r="V456" t="s">
        <v>44</v>
      </c>
      <c r="W456" t="s">
        <v>34</v>
      </c>
      <c r="X456" t="s">
        <v>36</v>
      </c>
      <c r="Z456" t="str">
        <f>IF(Table1[[#This Row],[Age]]&lt;30,"20-29",IF(Table1[[#This Row],[Age]]&lt;40,"30-39",IF(Table1[[#This Row],[Age]]&lt;50,"40-49","50+")))</f>
        <v>50+</v>
      </c>
      <c r="AA456" t="str">
        <f>IF(Table1[[#This Row],[Salary]]&lt;20000000,"low",IF(Table1[[#This Row],[Salary]]&lt;40000000,"medium","high"))</f>
        <v>low</v>
      </c>
      <c r="AB456">
        <f>YEAR(Table1[[#This Row],[Hire Date]])</f>
        <v>2022</v>
      </c>
      <c r="AC456" t="str">
        <f>TEXT(Table1[[#This Row],[Hire Date]],"mmmm")</f>
        <v>فوريه</v>
      </c>
      <c r="AD456" t="str">
        <f>IF(Table1[[#This Row],[Resigned]]="yes","former","active")</f>
        <v>active</v>
      </c>
    </row>
    <row r="457" spans="1:30" x14ac:dyDescent="0.3">
      <c r="A457" t="s">
        <v>979</v>
      </c>
      <c r="B457" t="s">
        <v>980</v>
      </c>
      <c r="C457" t="s">
        <v>39</v>
      </c>
      <c r="D457">
        <v>23</v>
      </c>
      <c r="E457" t="s">
        <v>28</v>
      </c>
      <c r="F457" t="s">
        <v>29</v>
      </c>
      <c r="G457" t="s">
        <v>30</v>
      </c>
      <c r="H457" t="s">
        <v>31</v>
      </c>
      <c r="I457" t="s">
        <v>43</v>
      </c>
      <c r="J457" s="1">
        <v>43032</v>
      </c>
      <c r="K457">
        <v>9</v>
      </c>
      <c r="L457">
        <v>39459602</v>
      </c>
      <c r="M457">
        <v>5484082</v>
      </c>
      <c r="N457" t="s">
        <v>33</v>
      </c>
      <c r="O457">
        <v>4.67</v>
      </c>
      <c r="P457">
        <v>77</v>
      </c>
      <c r="Q457">
        <v>4</v>
      </c>
      <c r="R457">
        <v>4</v>
      </c>
      <c r="S457">
        <v>8</v>
      </c>
      <c r="T457" t="s">
        <v>34</v>
      </c>
      <c r="U457" t="s">
        <v>34</v>
      </c>
      <c r="V457" t="s">
        <v>44</v>
      </c>
      <c r="W457" t="s">
        <v>34</v>
      </c>
      <c r="X457" t="s">
        <v>52</v>
      </c>
      <c r="Z457" t="str">
        <f>IF(Table1[[#This Row],[Age]]&lt;30,"20-29",IF(Table1[[#This Row],[Age]]&lt;40,"30-39",IF(Table1[[#This Row],[Age]]&lt;50,"40-49","50+")))</f>
        <v>20-29</v>
      </c>
      <c r="AA457" t="str">
        <f>IF(Table1[[#This Row],[Salary]]&lt;20000000,"low",IF(Table1[[#This Row],[Salary]]&lt;40000000,"medium","high"))</f>
        <v>medium</v>
      </c>
      <c r="AB457">
        <f>YEAR(Table1[[#This Row],[Hire Date]])</f>
        <v>2017</v>
      </c>
      <c r="AC457" t="str">
        <f>TEXT(Table1[[#This Row],[Hire Date]],"mmmm")</f>
        <v>اُكتبر</v>
      </c>
      <c r="AD457" t="str">
        <f>IF(Table1[[#This Row],[Resigned]]="yes","former","active")</f>
        <v>active</v>
      </c>
    </row>
    <row r="458" spans="1:30" x14ac:dyDescent="0.3">
      <c r="A458" t="s">
        <v>981</v>
      </c>
      <c r="B458" t="s">
        <v>982</v>
      </c>
      <c r="C458" t="s">
        <v>27</v>
      </c>
      <c r="D458">
        <v>38</v>
      </c>
      <c r="E458" t="s">
        <v>40</v>
      </c>
      <c r="F458" t="s">
        <v>41</v>
      </c>
      <c r="G458" t="s">
        <v>30</v>
      </c>
      <c r="H458" t="s">
        <v>31</v>
      </c>
      <c r="I458" t="s">
        <v>65</v>
      </c>
      <c r="J458" s="1">
        <v>45027</v>
      </c>
      <c r="K458">
        <v>3</v>
      </c>
      <c r="L458">
        <v>43444888</v>
      </c>
      <c r="M458">
        <v>6111618</v>
      </c>
      <c r="N458" t="s">
        <v>34</v>
      </c>
      <c r="O458">
        <v>2.64</v>
      </c>
      <c r="P458">
        <v>2</v>
      </c>
      <c r="Q458">
        <v>1</v>
      </c>
      <c r="R458">
        <v>5</v>
      </c>
      <c r="S458">
        <v>8</v>
      </c>
      <c r="T458" t="s">
        <v>33</v>
      </c>
      <c r="U458" t="s">
        <v>34</v>
      </c>
      <c r="V458" t="s">
        <v>70</v>
      </c>
      <c r="W458" t="s">
        <v>33</v>
      </c>
      <c r="X458" t="s">
        <v>52</v>
      </c>
      <c r="Z458" t="str">
        <f>IF(Table1[[#This Row],[Age]]&lt;30,"20-29",IF(Table1[[#This Row],[Age]]&lt;40,"30-39",IF(Table1[[#This Row],[Age]]&lt;50,"40-49","50+")))</f>
        <v>30-39</v>
      </c>
      <c r="AA458" t="str">
        <f>IF(Table1[[#This Row],[Salary]]&lt;20000000,"low",IF(Table1[[#This Row],[Salary]]&lt;40000000,"medium","high"))</f>
        <v>high</v>
      </c>
      <c r="AB458">
        <f>YEAR(Table1[[#This Row],[Hire Date]])</f>
        <v>2023</v>
      </c>
      <c r="AC458" t="str">
        <f>TEXT(Table1[[#This Row],[Hire Date]],"mmmm")</f>
        <v>آوريل</v>
      </c>
      <c r="AD458" t="str">
        <f>IF(Table1[[#This Row],[Resigned]]="yes","former","active")</f>
        <v>active</v>
      </c>
    </row>
    <row r="459" spans="1:30" x14ac:dyDescent="0.3">
      <c r="A459" t="s">
        <v>983</v>
      </c>
      <c r="B459" t="s">
        <v>984</v>
      </c>
      <c r="C459" t="s">
        <v>27</v>
      </c>
      <c r="D459">
        <v>32</v>
      </c>
      <c r="E459" t="s">
        <v>40</v>
      </c>
      <c r="F459" t="s">
        <v>48</v>
      </c>
      <c r="G459" t="s">
        <v>30</v>
      </c>
      <c r="H459" t="s">
        <v>31</v>
      </c>
      <c r="I459" t="s">
        <v>32</v>
      </c>
      <c r="J459" s="1">
        <v>43460</v>
      </c>
      <c r="K459">
        <v>8</v>
      </c>
      <c r="L459">
        <v>26386609</v>
      </c>
      <c r="M459">
        <v>9755908</v>
      </c>
      <c r="N459" t="s">
        <v>34</v>
      </c>
      <c r="O459">
        <v>4.0599999999999996</v>
      </c>
      <c r="P459">
        <v>38</v>
      </c>
      <c r="Q459">
        <v>1</v>
      </c>
      <c r="R459">
        <v>3</v>
      </c>
      <c r="S459">
        <v>17</v>
      </c>
      <c r="T459" t="s">
        <v>34</v>
      </c>
      <c r="U459" t="s">
        <v>34</v>
      </c>
      <c r="V459" t="s">
        <v>59</v>
      </c>
      <c r="W459" t="s">
        <v>33</v>
      </c>
      <c r="X459" t="s">
        <v>36</v>
      </c>
      <c r="Z459" t="str">
        <f>IF(Table1[[#This Row],[Age]]&lt;30,"20-29",IF(Table1[[#This Row],[Age]]&lt;40,"30-39",IF(Table1[[#This Row],[Age]]&lt;50,"40-49","50+")))</f>
        <v>30-39</v>
      </c>
      <c r="AA459" t="str">
        <f>IF(Table1[[#This Row],[Salary]]&lt;20000000,"low",IF(Table1[[#This Row],[Salary]]&lt;40000000,"medium","high"))</f>
        <v>medium</v>
      </c>
      <c r="AB459">
        <f>YEAR(Table1[[#This Row],[Hire Date]])</f>
        <v>2018</v>
      </c>
      <c r="AC459" t="str">
        <f>TEXT(Table1[[#This Row],[Hire Date]],"mmmm")</f>
        <v>دسامبر</v>
      </c>
      <c r="AD459" t="str">
        <f>IF(Table1[[#This Row],[Resigned]]="yes","former","active")</f>
        <v>active</v>
      </c>
    </row>
    <row r="460" spans="1:30" x14ac:dyDescent="0.3">
      <c r="A460" t="s">
        <v>985</v>
      </c>
      <c r="B460" t="s">
        <v>986</v>
      </c>
      <c r="C460" t="s">
        <v>27</v>
      </c>
      <c r="D460">
        <v>25</v>
      </c>
      <c r="E460" t="s">
        <v>110</v>
      </c>
      <c r="F460" t="s">
        <v>120</v>
      </c>
      <c r="G460" t="s">
        <v>30</v>
      </c>
      <c r="H460" t="s">
        <v>31</v>
      </c>
      <c r="I460" t="s">
        <v>50</v>
      </c>
      <c r="J460" s="1">
        <v>44801</v>
      </c>
      <c r="K460">
        <v>4</v>
      </c>
      <c r="L460">
        <v>23344190</v>
      </c>
      <c r="M460">
        <v>6092255</v>
      </c>
      <c r="N460" t="s">
        <v>33</v>
      </c>
      <c r="O460">
        <v>4.32</v>
      </c>
      <c r="P460">
        <v>72</v>
      </c>
      <c r="Q460">
        <v>5</v>
      </c>
      <c r="R460">
        <v>2</v>
      </c>
      <c r="S460">
        <v>18</v>
      </c>
      <c r="T460" t="s">
        <v>33</v>
      </c>
      <c r="U460" t="s">
        <v>34</v>
      </c>
      <c r="V460" t="s">
        <v>35</v>
      </c>
      <c r="W460" t="s">
        <v>33</v>
      </c>
      <c r="X460" t="s">
        <v>52</v>
      </c>
      <c r="Z460" t="str">
        <f>IF(Table1[[#This Row],[Age]]&lt;30,"20-29",IF(Table1[[#This Row],[Age]]&lt;40,"30-39",IF(Table1[[#This Row],[Age]]&lt;50,"40-49","50+")))</f>
        <v>20-29</v>
      </c>
      <c r="AA460" t="str">
        <f>IF(Table1[[#This Row],[Salary]]&lt;20000000,"low",IF(Table1[[#This Row],[Salary]]&lt;40000000,"medium","high"))</f>
        <v>medium</v>
      </c>
      <c r="AB460">
        <f>YEAR(Table1[[#This Row],[Hire Date]])</f>
        <v>2022</v>
      </c>
      <c r="AC460" t="str">
        <f>TEXT(Table1[[#This Row],[Hire Date]],"mmmm")</f>
        <v>اوت</v>
      </c>
      <c r="AD460" t="str">
        <f>IF(Table1[[#This Row],[Resigned]]="yes","former","active")</f>
        <v>active</v>
      </c>
    </row>
    <row r="461" spans="1:30" x14ac:dyDescent="0.3">
      <c r="A461" t="s">
        <v>987</v>
      </c>
      <c r="B461" t="s">
        <v>988</v>
      </c>
      <c r="C461" t="s">
        <v>39</v>
      </c>
      <c r="D461">
        <v>31</v>
      </c>
      <c r="E461" t="s">
        <v>28</v>
      </c>
      <c r="F461" t="s">
        <v>80</v>
      </c>
      <c r="G461" t="s">
        <v>30</v>
      </c>
      <c r="H461" t="s">
        <v>42</v>
      </c>
      <c r="I461" t="s">
        <v>65</v>
      </c>
      <c r="J461" s="1">
        <v>43174</v>
      </c>
      <c r="K461">
        <v>8</v>
      </c>
      <c r="L461">
        <v>56523828</v>
      </c>
      <c r="M461">
        <v>2439352</v>
      </c>
      <c r="N461" t="s">
        <v>34</v>
      </c>
      <c r="O461">
        <v>3.73</v>
      </c>
      <c r="P461">
        <v>48</v>
      </c>
      <c r="Q461">
        <v>5</v>
      </c>
      <c r="R461">
        <v>2</v>
      </c>
      <c r="S461">
        <v>8</v>
      </c>
      <c r="T461" t="s">
        <v>34</v>
      </c>
      <c r="U461" t="s">
        <v>34</v>
      </c>
      <c r="V461" t="s">
        <v>35</v>
      </c>
      <c r="W461" t="s">
        <v>33</v>
      </c>
      <c r="X461" t="s">
        <v>52</v>
      </c>
      <c r="Z461" t="str">
        <f>IF(Table1[[#This Row],[Age]]&lt;30,"20-29",IF(Table1[[#This Row],[Age]]&lt;40,"30-39",IF(Table1[[#This Row],[Age]]&lt;50,"40-49","50+")))</f>
        <v>30-39</v>
      </c>
      <c r="AA461" t="str">
        <f>IF(Table1[[#This Row],[Salary]]&lt;20000000,"low",IF(Table1[[#This Row],[Salary]]&lt;40000000,"medium","high"))</f>
        <v>high</v>
      </c>
      <c r="AB461">
        <f>YEAR(Table1[[#This Row],[Hire Date]])</f>
        <v>2018</v>
      </c>
      <c r="AC461" t="str">
        <f>TEXT(Table1[[#This Row],[Hire Date]],"mmmm")</f>
        <v>مارس</v>
      </c>
      <c r="AD461" t="str">
        <f>IF(Table1[[#This Row],[Resigned]]="yes","former","active")</f>
        <v>active</v>
      </c>
    </row>
    <row r="462" spans="1:30" x14ac:dyDescent="0.3">
      <c r="A462" t="s">
        <v>989</v>
      </c>
      <c r="B462" t="s">
        <v>990</v>
      </c>
      <c r="C462" t="s">
        <v>27</v>
      </c>
      <c r="D462">
        <v>29</v>
      </c>
      <c r="E462" t="s">
        <v>56</v>
      </c>
      <c r="F462" t="s">
        <v>57</v>
      </c>
      <c r="G462" t="s">
        <v>58</v>
      </c>
      <c r="H462" t="s">
        <v>31</v>
      </c>
      <c r="I462" t="s">
        <v>81</v>
      </c>
      <c r="J462" s="1">
        <v>42486</v>
      </c>
      <c r="K462">
        <v>10</v>
      </c>
      <c r="L462">
        <v>44692037</v>
      </c>
      <c r="M462">
        <v>7955279</v>
      </c>
      <c r="N462" t="s">
        <v>33</v>
      </c>
      <c r="O462">
        <v>4.2300000000000004</v>
      </c>
      <c r="P462">
        <v>51</v>
      </c>
      <c r="Q462">
        <v>1</v>
      </c>
      <c r="R462">
        <v>5</v>
      </c>
      <c r="S462">
        <v>3</v>
      </c>
      <c r="T462" t="s">
        <v>33</v>
      </c>
      <c r="U462" t="s">
        <v>34</v>
      </c>
      <c r="V462" t="s">
        <v>59</v>
      </c>
      <c r="W462" t="s">
        <v>34</v>
      </c>
      <c r="X462" t="s">
        <v>45</v>
      </c>
      <c r="Z462" t="str">
        <f>IF(Table1[[#This Row],[Age]]&lt;30,"20-29",IF(Table1[[#This Row],[Age]]&lt;40,"30-39",IF(Table1[[#This Row],[Age]]&lt;50,"40-49","50+")))</f>
        <v>20-29</v>
      </c>
      <c r="AA462" t="str">
        <f>IF(Table1[[#This Row],[Salary]]&lt;20000000,"low",IF(Table1[[#This Row],[Salary]]&lt;40000000,"medium","high"))</f>
        <v>high</v>
      </c>
      <c r="AB462">
        <f>YEAR(Table1[[#This Row],[Hire Date]])</f>
        <v>2016</v>
      </c>
      <c r="AC462" t="str">
        <f>TEXT(Table1[[#This Row],[Hire Date]],"mmmm")</f>
        <v>آوريل</v>
      </c>
      <c r="AD462" t="str">
        <f>IF(Table1[[#This Row],[Resigned]]="yes","former","active")</f>
        <v>active</v>
      </c>
    </row>
    <row r="463" spans="1:30" x14ac:dyDescent="0.3">
      <c r="A463" t="s">
        <v>991</v>
      </c>
      <c r="B463" t="s">
        <v>992</v>
      </c>
      <c r="C463" t="s">
        <v>27</v>
      </c>
      <c r="D463">
        <v>37</v>
      </c>
      <c r="E463" t="s">
        <v>73</v>
      </c>
      <c r="F463" t="s">
        <v>127</v>
      </c>
      <c r="G463" t="s">
        <v>30</v>
      </c>
      <c r="H463" t="s">
        <v>31</v>
      </c>
      <c r="I463" t="s">
        <v>43</v>
      </c>
      <c r="J463" s="1">
        <v>42435</v>
      </c>
      <c r="K463">
        <v>10</v>
      </c>
      <c r="L463">
        <v>32956960</v>
      </c>
      <c r="M463">
        <v>2856923</v>
      </c>
      <c r="N463" t="s">
        <v>33</v>
      </c>
      <c r="O463">
        <v>2.95</v>
      </c>
      <c r="P463">
        <v>10</v>
      </c>
      <c r="Q463">
        <v>3</v>
      </c>
      <c r="R463">
        <v>2</v>
      </c>
      <c r="S463">
        <v>18</v>
      </c>
      <c r="T463" t="s">
        <v>33</v>
      </c>
      <c r="U463" t="s">
        <v>34</v>
      </c>
      <c r="V463" t="s">
        <v>59</v>
      </c>
      <c r="W463" t="s">
        <v>34</v>
      </c>
      <c r="X463" t="s">
        <v>45</v>
      </c>
      <c r="Z463" t="str">
        <f>IF(Table1[[#This Row],[Age]]&lt;30,"20-29",IF(Table1[[#This Row],[Age]]&lt;40,"30-39",IF(Table1[[#This Row],[Age]]&lt;50,"40-49","50+")))</f>
        <v>30-39</v>
      </c>
      <c r="AA463" t="str">
        <f>IF(Table1[[#This Row],[Salary]]&lt;20000000,"low",IF(Table1[[#This Row],[Salary]]&lt;40000000,"medium","high"))</f>
        <v>medium</v>
      </c>
      <c r="AB463">
        <f>YEAR(Table1[[#This Row],[Hire Date]])</f>
        <v>2016</v>
      </c>
      <c r="AC463" t="str">
        <f>TEXT(Table1[[#This Row],[Hire Date]],"mmmm")</f>
        <v>مارس</v>
      </c>
      <c r="AD463" t="str">
        <f>IF(Table1[[#This Row],[Resigned]]="yes","former","active")</f>
        <v>active</v>
      </c>
    </row>
    <row r="464" spans="1:30" x14ac:dyDescent="0.3">
      <c r="A464" t="s">
        <v>993</v>
      </c>
      <c r="B464" t="s">
        <v>994</v>
      </c>
      <c r="C464" t="s">
        <v>39</v>
      </c>
      <c r="D464">
        <v>57</v>
      </c>
      <c r="E464" t="s">
        <v>110</v>
      </c>
      <c r="F464" t="s">
        <v>120</v>
      </c>
      <c r="G464" t="s">
        <v>58</v>
      </c>
      <c r="H464" t="s">
        <v>31</v>
      </c>
      <c r="I464" t="s">
        <v>50</v>
      </c>
      <c r="J464" s="1">
        <v>44525</v>
      </c>
      <c r="K464">
        <v>5</v>
      </c>
      <c r="L464">
        <v>19585128</v>
      </c>
      <c r="M464">
        <v>9575254</v>
      </c>
      <c r="N464" t="s">
        <v>33</v>
      </c>
      <c r="O464">
        <v>4.26</v>
      </c>
      <c r="P464">
        <v>31</v>
      </c>
      <c r="Q464">
        <v>5</v>
      </c>
      <c r="R464">
        <v>3</v>
      </c>
      <c r="S464">
        <v>20</v>
      </c>
      <c r="T464" t="s">
        <v>33</v>
      </c>
      <c r="U464" t="s">
        <v>34</v>
      </c>
      <c r="V464" t="s">
        <v>59</v>
      </c>
      <c r="W464" t="s">
        <v>33</v>
      </c>
      <c r="X464" t="s">
        <v>36</v>
      </c>
      <c r="Z464" t="str">
        <f>IF(Table1[[#This Row],[Age]]&lt;30,"20-29",IF(Table1[[#This Row],[Age]]&lt;40,"30-39",IF(Table1[[#This Row],[Age]]&lt;50,"40-49","50+")))</f>
        <v>50+</v>
      </c>
      <c r="AA464" t="str">
        <f>IF(Table1[[#This Row],[Salary]]&lt;20000000,"low",IF(Table1[[#This Row],[Salary]]&lt;40000000,"medium","high"))</f>
        <v>low</v>
      </c>
      <c r="AB464">
        <f>YEAR(Table1[[#This Row],[Hire Date]])</f>
        <v>2021</v>
      </c>
      <c r="AC464" t="str">
        <f>TEXT(Table1[[#This Row],[Hire Date]],"mmmm")</f>
        <v>نوامبر</v>
      </c>
      <c r="AD464" t="str">
        <f>IF(Table1[[#This Row],[Resigned]]="yes","former","active")</f>
        <v>active</v>
      </c>
    </row>
    <row r="465" spans="1:30" x14ac:dyDescent="0.3">
      <c r="A465" t="s">
        <v>995</v>
      </c>
      <c r="B465" t="s">
        <v>996</v>
      </c>
      <c r="C465" t="s">
        <v>39</v>
      </c>
      <c r="D465">
        <v>38</v>
      </c>
      <c r="E465" t="s">
        <v>56</v>
      </c>
      <c r="F465" t="s">
        <v>84</v>
      </c>
      <c r="G465" t="s">
        <v>30</v>
      </c>
      <c r="H465" t="s">
        <v>31</v>
      </c>
      <c r="I465" t="s">
        <v>43</v>
      </c>
      <c r="J465" s="1">
        <v>44844</v>
      </c>
      <c r="K465">
        <v>4</v>
      </c>
      <c r="L465">
        <v>25139118</v>
      </c>
      <c r="M465">
        <v>4310366</v>
      </c>
      <c r="N465" t="s">
        <v>34</v>
      </c>
      <c r="O465">
        <v>4.91</v>
      </c>
      <c r="P465">
        <v>55</v>
      </c>
      <c r="Q465">
        <v>4</v>
      </c>
      <c r="R465">
        <v>1</v>
      </c>
      <c r="S465">
        <v>19</v>
      </c>
      <c r="T465" t="s">
        <v>34</v>
      </c>
      <c r="U465" t="s">
        <v>34</v>
      </c>
      <c r="V465" t="s">
        <v>51</v>
      </c>
      <c r="W465" t="s">
        <v>33</v>
      </c>
      <c r="X465" t="s">
        <v>52</v>
      </c>
      <c r="Z465" t="str">
        <f>IF(Table1[[#This Row],[Age]]&lt;30,"20-29",IF(Table1[[#This Row],[Age]]&lt;40,"30-39",IF(Table1[[#This Row],[Age]]&lt;50,"40-49","50+")))</f>
        <v>30-39</v>
      </c>
      <c r="AA465" t="str">
        <f>IF(Table1[[#This Row],[Salary]]&lt;20000000,"low",IF(Table1[[#This Row],[Salary]]&lt;40000000,"medium","high"))</f>
        <v>medium</v>
      </c>
      <c r="AB465">
        <f>YEAR(Table1[[#This Row],[Hire Date]])</f>
        <v>2022</v>
      </c>
      <c r="AC465" t="str">
        <f>TEXT(Table1[[#This Row],[Hire Date]],"mmmm")</f>
        <v>اُكتبر</v>
      </c>
      <c r="AD465" t="str">
        <f>IF(Table1[[#This Row],[Resigned]]="yes","former","active")</f>
        <v>active</v>
      </c>
    </row>
    <row r="466" spans="1:30" x14ac:dyDescent="0.3">
      <c r="A466" t="s">
        <v>997</v>
      </c>
      <c r="B466" t="s">
        <v>998</v>
      </c>
      <c r="C466" t="s">
        <v>39</v>
      </c>
      <c r="D466">
        <v>33</v>
      </c>
      <c r="E466" t="s">
        <v>56</v>
      </c>
      <c r="F466" t="s">
        <v>84</v>
      </c>
      <c r="G466" t="s">
        <v>49</v>
      </c>
      <c r="H466" t="s">
        <v>42</v>
      </c>
      <c r="I466" t="s">
        <v>32</v>
      </c>
      <c r="J466" s="1">
        <v>43964</v>
      </c>
      <c r="K466">
        <v>6</v>
      </c>
      <c r="L466">
        <v>33212313</v>
      </c>
      <c r="M466">
        <v>662683</v>
      </c>
      <c r="N466" t="s">
        <v>33</v>
      </c>
      <c r="O466">
        <v>3.36</v>
      </c>
      <c r="P466">
        <v>19</v>
      </c>
      <c r="Q466">
        <v>5</v>
      </c>
      <c r="R466">
        <v>3</v>
      </c>
      <c r="S466">
        <v>5</v>
      </c>
      <c r="T466" t="s">
        <v>33</v>
      </c>
      <c r="U466" t="s">
        <v>34</v>
      </c>
      <c r="V466" t="s">
        <v>35</v>
      </c>
      <c r="W466" t="s">
        <v>34</v>
      </c>
      <c r="X466" t="s">
        <v>45</v>
      </c>
      <c r="Z466" t="str">
        <f>IF(Table1[[#This Row],[Age]]&lt;30,"20-29",IF(Table1[[#This Row],[Age]]&lt;40,"30-39",IF(Table1[[#This Row],[Age]]&lt;50,"40-49","50+")))</f>
        <v>30-39</v>
      </c>
      <c r="AA466" t="str">
        <f>IF(Table1[[#This Row],[Salary]]&lt;20000000,"low",IF(Table1[[#This Row],[Salary]]&lt;40000000,"medium","high"))</f>
        <v>medium</v>
      </c>
      <c r="AB466">
        <f>YEAR(Table1[[#This Row],[Hire Date]])</f>
        <v>2020</v>
      </c>
      <c r="AC466" t="str">
        <f>TEXT(Table1[[#This Row],[Hire Date]],"mmmm")</f>
        <v>مه</v>
      </c>
      <c r="AD466" t="str">
        <f>IF(Table1[[#This Row],[Resigned]]="yes","former","active")</f>
        <v>active</v>
      </c>
    </row>
    <row r="467" spans="1:30" x14ac:dyDescent="0.3">
      <c r="A467" t="s">
        <v>999</v>
      </c>
      <c r="B467" t="s">
        <v>1000</v>
      </c>
      <c r="C467" t="s">
        <v>27</v>
      </c>
      <c r="D467">
        <v>30</v>
      </c>
      <c r="E467" t="s">
        <v>110</v>
      </c>
      <c r="F467" t="s">
        <v>111</v>
      </c>
      <c r="G467" t="s">
        <v>58</v>
      </c>
      <c r="H467" t="s">
        <v>42</v>
      </c>
      <c r="I467" t="s">
        <v>43</v>
      </c>
      <c r="J467" s="1">
        <v>44140</v>
      </c>
      <c r="K467">
        <v>6</v>
      </c>
      <c r="L467">
        <v>40816822</v>
      </c>
      <c r="M467">
        <v>8350801</v>
      </c>
      <c r="N467" t="s">
        <v>34</v>
      </c>
      <c r="O467">
        <v>3.88</v>
      </c>
      <c r="P467">
        <v>41</v>
      </c>
      <c r="Q467">
        <v>5</v>
      </c>
      <c r="R467">
        <v>1</v>
      </c>
      <c r="S467">
        <v>16</v>
      </c>
      <c r="T467" t="s">
        <v>34</v>
      </c>
      <c r="U467" t="s">
        <v>34</v>
      </c>
      <c r="V467" t="s">
        <v>51</v>
      </c>
      <c r="W467" t="s">
        <v>34</v>
      </c>
      <c r="X467" t="s">
        <v>36</v>
      </c>
      <c r="Z467" t="str">
        <f>IF(Table1[[#This Row],[Age]]&lt;30,"20-29",IF(Table1[[#This Row],[Age]]&lt;40,"30-39",IF(Table1[[#This Row],[Age]]&lt;50,"40-49","50+")))</f>
        <v>30-39</v>
      </c>
      <c r="AA467" t="str">
        <f>IF(Table1[[#This Row],[Salary]]&lt;20000000,"low",IF(Table1[[#This Row],[Salary]]&lt;40000000,"medium","high"))</f>
        <v>high</v>
      </c>
      <c r="AB467">
        <f>YEAR(Table1[[#This Row],[Hire Date]])</f>
        <v>2020</v>
      </c>
      <c r="AC467" t="str">
        <f>TEXT(Table1[[#This Row],[Hire Date]],"mmmm")</f>
        <v>نوامبر</v>
      </c>
      <c r="AD467" t="str">
        <f>IF(Table1[[#This Row],[Resigned]]="yes","former","active")</f>
        <v>active</v>
      </c>
    </row>
    <row r="468" spans="1:30" x14ac:dyDescent="0.3">
      <c r="A468" t="s">
        <v>1001</v>
      </c>
      <c r="B468" t="s">
        <v>1002</v>
      </c>
      <c r="C468" t="s">
        <v>39</v>
      </c>
      <c r="D468">
        <v>57</v>
      </c>
      <c r="E468" t="s">
        <v>110</v>
      </c>
      <c r="F468" t="s">
        <v>120</v>
      </c>
      <c r="G468" t="s">
        <v>58</v>
      </c>
      <c r="H468" t="s">
        <v>42</v>
      </c>
      <c r="I468" t="s">
        <v>43</v>
      </c>
      <c r="J468" s="1">
        <v>43860</v>
      </c>
      <c r="K468">
        <v>6</v>
      </c>
      <c r="L468">
        <v>19995299</v>
      </c>
      <c r="M468">
        <v>8950721</v>
      </c>
      <c r="N468" t="s">
        <v>34</v>
      </c>
      <c r="O468">
        <v>3.51</v>
      </c>
      <c r="P468">
        <v>17</v>
      </c>
      <c r="Q468">
        <v>3</v>
      </c>
      <c r="R468">
        <v>1</v>
      </c>
      <c r="S468">
        <v>2</v>
      </c>
      <c r="T468" t="s">
        <v>34</v>
      </c>
      <c r="U468" t="s">
        <v>34</v>
      </c>
      <c r="V468" t="s">
        <v>59</v>
      </c>
      <c r="W468" t="s">
        <v>34</v>
      </c>
      <c r="X468" t="s">
        <v>52</v>
      </c>
      <c r="Z468" t="str">
        <f>IF(Table1[[#This Row],[Age]]&lt;30,"20-29",IF(Table1[[#This Row],[Age]]&lt;40,"30-39",IF(Table1[[#This Row],[Age]]&lt;50,"40-49","50+")))</f>
        <v>50+</v>
      </c>
      <c r="AA468" t="str">
        <f>IF(Table1[[#This Row],[Salary]]&lt;20000000,"low",IF(Table1[[#This Row],[Salary]]&lt;40000000,"medium","high"))</f>
        <v>low</v>
      </c>
      <c r="AB468">
        <f>YEAR(Table1[[#This Row],[Hire Date]])</f>
        <v>2020</v>
      </c>
      <c r="AC468" t="str">
        <f>TEXT(Table1[[#This Row],[Hire Date]],"mmmm")</f>
        <v>ژانويه</v>
      </c>
      <c r="AD468" t="str">
        <f>IF(Table1[[#This Row],[Resigned]]="yes","former","active")</f>
        <v>active</v>
      </c>
    </row>
    <row r="469" spans="1:30" x14ac:dyDescent="0.3">
      <c r="A469" t="s">
        <v>1003</v>
      </c>
      <c r="B469" t="s">
        <v>1004</v>
      </c>
      <c r="C469" t="s">
        <v>27</v>
      </c>
      <c r="D469">
        <v>49</v>
      </c>
      <c r="E469" t="s">
        <v>40</v>
      </c>
      <c r="F469" t="s">
        <v>41</v>
      </c>
      <c r="G469" t="s">
        <v>58</v>
      </c>
      <c r="H469" t="s">
        <v>42</v>
      </c>
      <c r="I469" t="s">
        <v>50</v>
      </c>
      <c r="J469" s="1">
        <v>44301</v>
      </c>
      <c r="K469">
        <v>5</v>
      </c>
      <c r="L469">
        <v>59059617</v>
      </c>
      <c r="M469">
        <v>2353009</v>
      </c>
      <c r="N469" t="s">
        <v>33</v>
      </c>
      <c r="O469">
        <v>3.46</v>
      </c>
      <c r="P469">
        <v>43</v>
      </c>
      <c r="Q469">
        <v>1</v>
      </c>
      <c r="R469">
        <v>4</v>
      </c>
      <c r="S469">
        <v>12</v>
      </c>
      <c r="T469" t="s">
        <v>33</v>
      </c>
      <c r="U469" t="s">
        <v>34</v>
      </c>
      <c r="V469" t="s">
        <v>59</v>
      </c>
      <c r="W469" t="s">
        <v>34</v>
      </c>
      <c r="X469" t="s">
        <v>52</v>
      </c>
      <c r="Z469" t="str">
        <f>IF(Table1[[#This Row],[Age]]&lt;30,"20-29",IF(Table1[[#This Row],[Age]]&lt;40,"30-39",IF(Table1[[#This Row],[Age]]&lt;50,"40-49","50+")))</f>
        <v>40-49</v>
      </c>
      <c r="AA469" t="str">
        <f>IF(Table1[[#This Row],[Salary]]&lt;20000000,"low",IF(Table1[[#This Row],[Salary]]&lt;40000000,"medium","high"))</f>
        <v>high</v>
      </c>
      <c r="AB469">
        <f>YEAR(Table1[[#This Row],[Hire Date]])</f>
        <v>2021</v>
      </c>
      <c r="AC469" t="str">
        <f>TEXT(Table1[[#This Row],[Hire Date]],"mmmm")</f>
        <v>آوريل</v>
      </c>
      <c r="AD469" t="str">
        <f>IF(Table1[[#This Row],[Resigned]]="yes","former","active")</f>
        <v>active</v>
      </c>
    </row>
    <row r="470" spans="1:30" x14ac:dyDescent="0.3">
      <c r="A470" t="s">
        <v>1005</v>
      </c>
      <c r="B470" t="s">
        <v>1006</v>
      </c>
      <c r="C470" t="s">
        <v>27</v>
      </c>
      <c r="D470">
        <v>23</v>
      </c>
      <c r="E470" t="s">
        <v>40</v>
      </c>
      <c r="F470" t="s">
        <v>48</v>
      </c>
      <c r="G470" t="s">
        <v>58</v>
      </c>
      <c r="H470" t="s">
        <v>31</v>
      </c>
      <c r="I470" t="s">
        <v>81</v>
      </c>
      <c r="J470" s="1">
        <v>43850</v>
      </c>
      <c r="K470">
        <v>6</v>
      </c>
      <c r="L470">
        <v>53413316</v>
      </c>
      <c r="M470">
        <v>1736079</v>
      </c>
      <c r="N470" t="s">
        <v>33</v>
      </c>
      <c r="O470">
        <v>2.92</v>
      </c>
      <c r="P470">
        <v>34</v>
      </c>
      <c r="Q470">
        <v>4</v>
      </c>
      <c r="R470">
        <v>1</v>
      </c>
      <c r="S470">
        <v>14</v>
      </c>
      <c r="T470" t="s">
        <v>33</v>
      </c>
      <c r="U470" t="s">
        <v>34</v>
      </c>
      <c r="V470" t="s">
        <v>35</v>
      </c>
      <c r="W470" t="s">
        <v>34</v>
      </c>
      <c r="X470" t="s">
        <v>36</v>
      </c>
      <c r="Z470" t="str">
        <f>IF(Table1[[#This Row],[Age]]&lt;30,"20-29",IF(Table1[[#This Row],[Age]]&lt;40,"30-39",IF(Table1[[#This Row],[Age]]&lt;50,"40-49","50+")))</f>
        <v>20-29</v>
      </c>
      <c r="AA470" t="str">
        <f>IF(Table1[[#This Row],[Salary]]&lt;20000000,"low",IF(Table1[[#This Row],[Salary]]&lt;40000000,"medium","high"))</f>
        <v>high</v>
      </c>
      <c r="AB470">
        <f>YEAR(Table1[[#This Row],[Hire Date]])</f>
        <v>2020</v>
      </c>
      <c r="AC470" t="str">
        <f>TEXT(Table1[[#This Row],[Hire Date]],"mmmm")</f>
        <v>ژانويه</v>
      </c>
      <c r="AD470" t="str">
        <f>IF(Table1[[#This Row],[Resigned]]="yes","former","active")</f>
        <v>active</v>
      </c>
    </row>
    <row r="471" spans="1:30" x14ac:dyDescent="0.3">
      <c r="A471" t="s">
        <v>1007</v>
      </c>
      <c r="B471" t="s">
        <v>1008</v>
      </c>
      <c r="C471" t="s">
        <v>39</v>
      </c>
      <c r="D471">
        <v>56</v>
      </c>
      <c r="E471" t="s">
        <v>40</v>
      </c>
      <c r="F471" t="s">
        <v>41</v>
      </c>
      <c r="G471" t="s">
        <v>49</v>
      </c>
      <c r="H471" t="s">
        <v>42</v>
      </c>
      <c r="I471" t="s">
        <v>43</v>
      </c>
      <c r="J471" s="1">
        <v>43333</v>
      </c>
      <c r="K471">
        <v>8</v>
      </c>
      <c r="L471">
        <v>58275617</v>
      </c>
      <c r="M471">
        <v>6711139</v>
      </c>
      <c r="N471" t="s">
        <v>33</v>
      </c>
      <c r="O471">
        <v>4.67</v>
      </c>
      <c r="P471">
        <v>3</v>
      </c>
      <c r="Q471">
        <v>5</v>
      </c>
      <c r="R471">
        <v>5</v>
      </c>
      <c r="S471">
        <v>10</v>
      </c>
      <c r="T471" t="s">
        <v>34</v>
      </c>
      <c r="U471" t="s">
        <v>34</v>
      </c>
      <c r="V471" t="s">
        <v>35</v>
      </c>
      <c r="W471" t="s">
        <v>33</v>
      </c>
      <c r="X471" t="s">
        <v>36</v>
      </c>
      <c r="Z471" t="str">
        <f>IF(Table1[[#This Row],[Age]]&lt;30,"20-29",IF(Table1[[#This Row],[Age]]&lt;40,"30-39",IF(Table1[[#This Row],[Age]]&lt;50,"40-49","50+")))</f>
        <v>50+</v>
      </c>
      <c r="AA471" t="str">
        <f>IF(Table1[[#This Row],[Salary]]&lt;20000000,"low",IF(Table1[[#This Row],[Salary]]&lt;40000000,"medium","high"))</f>
        <v>high</v>
      </c>
      <c r="AB471">
        <f>YEAR(Table1[[#This Row],[Hire Date]])</f>
        <v>2018</v>
      </c>
      <c r="AC471" t="str">
        <f>TEXT(Table1[[#This Row],[Hire Date]],"mmmm")</f>
        <v>اوت</v>
      </c>
      <c r="AD471" t="str">
        <f>IF(Table1[[#This Row],[Resigned]]="yes","former","active")</f>
        <v>active</v>
      </c>
    </row>
    <row r="472" spans="1:30" x14ac:dyDescent="0.3">
      <c r="A472" t="s">
        <v>1009</v>
      </c>
      <c r="B472" t="s">
        <v>1010</v>
      </c>
      <c r="C472" t="s">
        <v>39</v>
      </c>
      <c r="D472">
        <v>24</v>
      </c>
      <c r="E472" t="s">
        <v>63</v>
      </c>
      <c r="F472" t="s">
        <v>93</v>
      </c>
      <c r="G472" t="s">
        <v>58</v>
      </c>
      <c r="H472" t="s">
        <v>31</v>
      </c>
      <c r="I472" t="s">
        <v>50</v>
      </c>
      <c r="J472" s="1">
        <v>44202</v>
      </c>
      <c r="K472">
        <v>5</v>
      </c>
      <c r="L472">
        <v>56235183</v>
      </c>
      <c r="M472">
        <v>4274922</v>
      </c>
      <c r="N472" t="s">
        <v>33</v>
      </c>
      <c r="O472">
        <v>3.54</v>
      </c>
      <c r="P472">
        <v>1</v>
      </c>
      <c r="Q472">
        <v>3</v>
      </c>
      <c r="R472">
        <v>2</v>
      </c>
      <c r="S472">
        <v>11</v>
      </c>
      <c r="T472" t="s">
        <v>33</v>
      </c>
      <c r="U472" t="s">
        <v>34</v>
      </c>
      <c r="V472" t="s">
        <v>51</v>
      </c>
      <c r="W472" t="s">
        <v>34</v>
      </c>
      <c r="X472" t="s">
        <v>36</v>
      </c>
      <c r="Z472" t="str">
        <f>IF(Table1[[#This Row],[Age]]&lt;30,"20-29",IF(Table1[[#This Row],[Age]]&lt;40,"30-39",IF(Table1[[#This Row],[Age]]&lt;50,"40-49","50+")))</f>
        <v>20-29</v>
      </c>
      <c r="AA472" t="str">
        <f>IF(Table1[[#This Row],[Salary]]&lt;20000000,"low",IF(Table1[[#This Row],[Salary]]&lt;40000000,"medium","high"))</f>
        <v>high</v>
      </c>
      <c r="AB472">
        <f>YEAR(Table1[[#This Row],[Hire Date]])</f>
        <v>2021</v>
      </c>
      <c r="AC472" t="str">
        <f>TEXT(Table1[[#This Row],[Hire Date]],"mmmm")</f>
        <v>ژانويه</v>
      </c>
      <c r="AD472" t="str">
        <f>IF(Table1[[#This Row],[Resigned]]="yes","former","active")</f>
        <v>active</v>
      </c>
    </row>
    <row r="473" spans="1:30" x14ac:dyDescent="0.3">
      <c r="A473" t="s">
        <v>1011</v>
      </c>
      <c r="B473" t="s">
        <v>1012</v>
      </c>
      <c r="C473" t="s">
        <v>39</v>
      </c>
      <c r="D473">
        <v>35</v>
      </c>
      <c r="E473" t="s">
        <v>63</v>
      </c>
      <c r="F473" t="s">
        <v>64</v>
      </c>
      <c r="G473" t="s">
        <v>58</v>
      </c>
      <c r="H473" t="s">
        <v>31</v>
      </c>
      <c r="I473" t="s">
        <v>43</v>
      </c>
      <c r="J473" s="1">
        <v>43770</v>
      </c>
      <c r="K473">
        <v>7</v>
      </c>
      <c r="L473">
        <v>58784075</v>
      </c>
      <c r="M473">
        <v>5961300</v>
      </c>
      <c r="N473" t="s">
        <v>34</v>
      </c>
      <c r="O473">
        <v>4.6100000000000003</v>
      </c>
      <c r="P473">
        <v>38</v>
      </c>
      <c r="Q473">
        <v>3</v>
      </c>
      <c r="R473">
        <v>4</v>
      </c>
      <c r="S473">
        <v>12</v>
      </c>
      <c r="T473" t="s">
        <v>34</v>
      </c>
      <c r="U473" t="s">
        <v>33</v>
      </c>
      <c r="V473" t="s">
        <v>44</v>
      </c>
      <c r="W473" t="s">
        <v>34</v>
      </c>
      <c r="X473" t="s">
        <v>52</v>
      </c>
      <c r="Y473" t="s">
        <v>60</v>
      </c>
      <c r="Z473" t="str">
        <f>IF(Table1[[#This Row],[Age]]&lt;30,"20-29",IF(Table1[[#This Row],[Age]]&lt;40,"30-39",IF(Table1[[#This Row],[Age]]&lt;50,"40-49","50+")))</f>
        <v>30-39</v>
      </c>
      <c r="AA473" t="str">
        <f>IF(Table1[[#This Row],[Salary]]&lt;20000000,"low",IF(Table1[[#This Row],[Salary]]&lt;40000000,"medium","high"))</f>
        <v>high</v>
      </c>
      <c r="AB473">
        <f>YEAR(Table1[[#This Row],[Hire Date]])</f>
        <v>2019</v>
      </c>
      <c r="AC473" t="str">
        <f>TEXT(Table1[[#This Row],[Hire Date]],"mmmm")</f>
        <v>نوامبر</v>
      </c>
      <c r="AD473" t="str">
        <f>IF(Table1[[#This Row],[Resigned]]="yes","former","active")</f>
        <v>former</v>
      </c>
    </row>
    <row r="474" spans="1:30" x14ac:dyDescent="0.3">
      <c r="A474" t="s">
        <v>1013</v>
      </c>
      <c r="B474" t="s">
        <v>1014</v>
      </c>
      <c r="C474" t="s">
        <v>39</v>
      </c>
      <c r="D474">
        <v>47</v>
      </c>
      <c r="E474" t="s">
        <v>63</v>
      </c>
      <c r="F474" t="s">
        <v>93</v>
      </c>
      <c r="G474" t="s">
        <v>49</v>
      </c>
      <c r="H474" t="s">
        <v>42</v>
      </c>
      <c r="I474" t="s">
        <v>81</v>
      </c>
      <c r="J474" s="1">
        <v>45534</v>
      </c>
      <c r="K474">
        <v>2</v>
      </c>
      <c r="L474">
        <v>19543675</v>
      </c>
      <c r="M474">
        <v>102427</v>
      </c>
      <c r="N474" t="s">
        <v>33</v>
      </c>
      <c r="O474">
        <v>3.08</v>
      </c>
      <c r="P474">
        <v>33</v>
      </c>
      <c r="Q474">
        <v>1</v>
      </c>
      <c r="R474">
        <v>3</v>
      </c>
      <c r="S474">
        <v>8</v>
      </c>
      <c r="T474" t="s">
        <v>33</v>
      </c>
      <c r="U474" t="s">
        <v>33</v>
      </c>
      <c r="V474" t="s">
        <v>35</v>
      </c>
      <c r="W474" t="s">
        <v>33</v>
      </c>
      <c r="X474" t="s">
        <v>45</v>
      </c>
      <c r="Y474" t="s">
        <v>162</v>
      </c>
      <c r="Z474" t="str">
        <f>IF(Table1[[#This Row],[Age]]&lt;30,"20-29",IF(Table1[[#This Row],[Age]]&lt;40,"30-39",IF(Table1[[#This Row],[Age]]&lt;50,"40-49","50+")))</f>
        <v>40-49</v>
      </c>
      <c r="AA474" t="str">
        <f>IF(Table1[[#This Row],[Salary]]&lt;20000000,"low",IF(Table1[[#This Row],[Salary]]&lt;40000000,"medium","high"))</f>
        <v>low</v>
      </c>
      <c r="AB474">
        <f>YEAR(Table1[[#This Row],[Hire Date]])</f>
        <v>2024</v>
      </c>
      <c r="AC474" t="str">
        <f>TEXT(Table1[[#This Row],[Hire Date]],"mmmm")</f>
        <v>اوت</v>
      </c>
      <c r="AD474" t="str">
        <f>IF(Table1[[#This Row],[Resigned]]="yes","former","active")</f>
        <v>former</v>
      </c>
    </row>
    <row r="475" spans="1:30" x14ac:dyDescent="0.3">
      <c r="A475" t="s">
        <v>1015</v>
      </c>
      <c r="B475" t="s">
        <v>1016</v>
      </c>
      <c r="C475" t="s">
        <v>39</v>
      </c>
      <c r="D475">
        <v>51</v>
      </c>
      <c r="E475" t="s">
        <v>40</v>
      </c>
      <c r="F475" t="s">
        <v>48</v>
      </c>
      <c r="G475" t="s">
        <v>58</v>
      </c>
      <c r="H475" t="s">
        <v>42</v>
      </c>
      <c r="I475" t="s">
        <v>43</v>
      </c>
      <c r="J475" s="1">
        <v>43661</v>
      </c>
      <c r="K475">
        <v>7</v>
      </c>
      <c r="L475">
        <v>49941447</v>
      </c>
      <c r="M475">
        <v>6141357</v>
      </c>
      <c r="N475" t="s">
        <v>33</v>
      </c>
      <c r="O475">
        <v>3.23</v>
      </c>
      <c r="P475">
        <v>25</v>
      </c>
      <c r="Q475">
        <v>3</v>
      </c>
      <c r="R475">
        <v>3</v>
      </c>
      <c r="S475">
        <v>15</v>
      </c>
      <c r="T475" t="s">
        <v>34</v>
      </c>
      <c r="U475" t="s">
        <v>34</v>
      </c>
      <c r="V475" t="s">
        <v>35</v>
      </c>
      <c r="W475" t="s">
        <v>34</v>
      </c>
      <c r="X475" t="s">
        <v>45</v>
      </c>
      <c r="Z475" t="str">
        <f>IF(Table1[[#This Row],[Age]]&lt;30,"20-29",IF(Table1[[#This Row],[Age]]&lt;40,"30-39",IF(Table1[[#This Row],[Age]]&lt;50,"40-49","50+")))</f>
        <v>50+</v>
      </c>
      <c r="AA475" t="str">
        <f>IF(Table1[[#This Row],[Salary]]&lt;20000000,"low",IF(Table1[[#This Row],[Salary]]&lt;40000000,"medium","high"))</f>
        <v>high</v>
      </c>
      <c r="AB475">
        <f>YEAR(Table1[[#This Row],[Hire Date]])</f>
        <v>2019</v>
      </c>
      <c r="AC475" t="str">
        <f>TEXT(Table1[[#This Row],[Hire Date]],"mmmm")</f>
        <v>ژوئيه</v>
      </c>
      <c r="AD475" t="str">
        <f>IF(Table1[[#This Row],[Resigned]]="yes","former","active")</f>
        <v>active</v>
      </c>
    </row>
    <row r="476" spans="1:30" x14ac:dyDescent="0.3">
      <c r="A476" t="s">
        <v>1017</v>
      </c>
      <c r="B476" t="s">
        <v>1018</v>
      </c>
      <c r="C476" t="s">
        <v>39</v>
      </c>
      <c r="D476">
        <v>49</v>
      </c>
      <c r="E476" t="s">
        <v>40</v>
      </c>
      <c r="F476" t="s">
        <v>41</v>
      </c>
      <c r="G476" t="s">
        <v>58</v>
      </c>
      <c r="H476" t="s">
        <v>31</v>
      </c>
      <c r="I476" t="s">
        <v>32</v>
      </c>
      <c r="J476" s="1">
        <v>45831</v>
      </c>
      <c r="K476">
        <v>1</v>
      </c>
      <c r="L476">
        <v>55806967</v>
      </c>
      <c r="M476">
        <v>6154283</v>
      </c>
      <c r="N476" t="s">
        <v>34</v>
      </c>
      <c r="O476">
        <v>4.34</v>
      </c>
      <c r="P476">
        <v>37</v>
      </c>
      <c r="Q476">
        <v>2</v>
      </c>
      <c r="R476">
        <v>3</v>
      </c>
      <c r="S476">
        <v>9</v>
      </c>
      <c r="T476" t="s">
        <v>33</v>
      </c>
      <c r="U476" t="s">
        <v>34</v>
      </c>
      <c r="V476" t="s">
        <v>44</v>
      </c>
      <c r="W476" t="s">
        <v>34</v>
      </c>
      <c r="X476" t="s">
        <v>45</v>
      </c>
      <c r="Z476" t="str">
        <f>IF(Table1[[#This Row],[Age]]&lt;30,"20-29",IF(Table1[[#This Row],[Age]]&lt;40,"30-39",IF(Table1[[#This Row],[Age]]&lt;50,"40-49","50+")))</f>
        <v>40-49</v>
      </c>
      <c r="AA476" t="str">
        <f>IF(Table1[[#This Row],[Salary]]&lt;20000000,"low",IF(Table1[[#This Row],[Salary]]&lt;40000000,"medium","high"))</f>
        <v>high</v>
      </c>
      <c r="AB476">
        <f>YEAR(Table1[[#This Row],[Hire Date]])</f>
        <v>2025</v>
      </c>
      <c r="AC476" t="str">
        <f>TEXT(Table1[[#This Row],[Hire Date]],"mmmm")</f>
        <v>ژوئن</v>
      </c>
      <c r="AD476" t="str">
        <f>IF(Table1[[#This Row],[Resigned]]="yes","former","active")</f>
        <v>active</v>
      </c>
    </row>
    <row r="477" spans="1:30" x14ac:dyDescent="0.3">
      <c r="A477" t="s">
        <v>1019</v>
      </c>
      <c r="B477" t="s">
        <v>1020</v>
      </c>
      <c r="C477" t="s">
        <v>27</v>
      </c>
      <c r="D477">
        <v>32</v>
      </c>
      <c r="E477" t="s">
        <v>40</v>
      </c>
      <c r="F477" t="s">
        <v>41</v>
      </c>
      <c r="G477" t="s">
        <v>58</v>
      </c>
      <c r="H477" t="s">
        <v>42</v>
      </c>
      <c r="I477" t="s">
        <v>81</v>
      </c>
      <c r="J477" s="1">
        <v>45506</v>
      </c>
      <c r="K477">
        <v>2</v>
      </c>
      <c r="L477">
        <v>47489917</v>
      </c>
      <c r="M477">
        <v>1242365</v>
      </c>
      <c r="N477" t="s">
        <v>33</v>
      </c>
      <c r="O477">
        <v>4.01</v>
      </c>
      <c r="P477">
        <v>51</v>
      </c>
      <c r="Q477">
        <v>5</v>
      </c>
      <c r="R477">
        <v>5</v>
      </c>
      <c r="S477">
        <v>19</v>
      </c>
      <c r="T477" t="s">
        <v>34</v>
      </c>
      <c r="U477" t="s">
        <v>33</v>
      </c>
      <c r="V477" t="s">
        <v>35</v>
      </c>
      <c r="W477" t="s">
        <v>34</v>
      </c>
      <c r="X477" t="s">
        <v>36</v>
      </c>
      <c r="Y477" t="s">
        <v>75</v>
      </c>
      <c r="Z477" t="str">
        <f>IF(Table1[[#This Row],[Age]]&lt;30,"20-29",IF(Table1[[#This Row],[Age]]&lt;40,"30-39",IF(Table1[[#This Row],[Age]]&lt;50,"40-49","50+")))</f>
        <v>30-39</v>
      </c>
      <c r="AA477" t="str">
        <f>IF(Table1[[#This Row],[Salary]]&lt;20000000,"low",IF(Table1[[#This Row],[Salary]]&lt;40000000,"medium","high"))</f>
        <v>high</v>
      </c>
      <c r="AB477">
        <f>YEAR(Table1[[#This Row],[Hire Date]])</f>
        <v>2024</v>
      </c>
      <c r="AC477" t="str">
        <f>TEXT(Table1[[#This Row],[Hire Date]],"mmmm")</f>
        <v>اوت</v>
      </c>
      <c r="AD477" t="str">
        <f>IF(Table1[[#This Row],[Resigned]]="yes","former","active")</f>
        <v>former</v>
      </c>
    </row>
    <row r="478" spans="1:30" x14ac:dyDescent="0.3">
      <c r="A478" t="s">
        <v>1021</v>
      </c>
      <c r="B478" t="s">
        <v>1022</v>
      </c>
      <c r="C478" t="s">
        <v>27</v>
      </c>
      <c r="D478">
        <v>51</v>
      </c>
      <c r="E478" t="s">
        <v>73</v>
      </c>
      <c r="F478" t="s">
        <v>127</v>
      </c>
      <c r="G478" t="s">
        <v>30</v>
      </c>
      <c r="H478" t="s">
        <v>31</v>
      </c>
      <c r="I478" t="s">
        <v>81</v>
      </c>
      <c r="J478" s="1">
        <v>45635</v>
      </c>
      <c r="K478">
        <v>2</v>
      </c>
      <c r="L478">
        <v>26214869</v>
      </c>
      <c r="M478">
        <v>5671362</v>
      </c>
      <c r="N478" t="s">
        <v>33</v>
      </c>
      <c r="O478">
        <v>2.71</v>
      </c>
      <c r="P478">
        <v>20</v>
      </c>
      <c r="Q478">
        <v>4</v>
      </c>
      <c r="R478">
        <v>5</v>
      </c>
      <c r="S478">
        <v>11</v>
      </c>
      <c r="T478" t="s">
        <v>33</v>
      </c>
      <c r="U478" t="s">
        <v>34</v>
      </c>
      <c r="V478" t="s">
        <v>44</v>
      </c>
      <c r="W478" t="s">
        <v>33</v>
      </c>
      <c r="X478" t="s">
        <v>36</v>
      </c>
      <c r="Z478" t="str">
        <f>IF(Table1[[#This Row],[Age]]&lt;30,"20-29",IF(Table1[[#This Row],[Age]]&lt;40,"30-39",IF(Table1[[#This Row],[Age]]&lt;50,"40-49","50+")))</f>
        <v>50+</v>
      </c>
      <c r="AA478" t="str">
        <f>IF(Table1[[#This Row],[Salary]]&lt;20000000,"low",IF(Table1[[#This Row],[Salary]]&lt;40000000,"medium","high"))</f>
        <v>medium</v>
      </c>
      <c r="AB478">
        <f>YEAR(Table1[[#This Row],[Hire Date]])</f>
        <v>2024</v>
      </c>
      <c r="AC478" t="str">
        <f>TEXT(Table1[[#This Row],[Hire Date]],"mmmm")</f>
        <v>دسامبر</v>
      </c>
      <c r="AD478" t="str">
        <f>IF(Table1[[#This Row],[Resigned]]="yes","former","active")</f>
        <v>active</v>
      </c>
    </row>
    <row r="479" spans="1:30" x14ac:dyDescent="0.3">
      <c r="A479" t="s">
        <v>1023</v>
      </c>
      <c r="B479" t="s">
        <v>1024</v>
      </c>
      <c r="C479" t="s">
        <v>39</v>
      </c>
      <c r="D479">
        <v>38</v>
      </c>
      <c r="E479" t="s">
        <v>73</v>
      </c>
      <c r="F479" t="s">
        <v>127</v>
      </c>
      <c r="G479" t="s">
        <v>49</v>
      </c>
      <c r="H479" t="s">
        <v>31</v>
      </c>
      <c r="I479" t="s">
        <v>81</v>
      </c>
      <c r="J479" s="1">
        <v>43025</v>
      </c>
      <c r="K479">
        <v>9</v>
      </c>
      <c r="L479">
        <v>21569912</v>
      </c>
      <c r="M479">
        <v>6107203</v>
      </c>
      <c r="N479" t="s">
        <v>34</v>
      </c>
      <c r="O479">
        <v>4.8099999999999996</v>
      </c>
      <c r="P479">
        <v>35</v>
      </c>
      <c r="Q479">
        <v>5</v>
      </c>
      <c r="R479">
        <v>1</v>
      </c>
      <c r="S479">
        <v>0</v>
      </c>
      <c r="T479" t="s">
        <v>33</v>
      </c>
      <c r="U479" t="s">
        <v>34</v>
      </c>
      <c r="V479" t="s">
        <v>70</v>
      </c>
      <c r="W479" t="s">
        <v>34</v>
      </c>
      <c r="X479" t="s">
        <v>45</v>
      </c>
      <c r="Z479" t="str">
        <f>IF(Table1[[#This Row],[Age]]&lt;30,"20-29",IF(Table1[[#This Row],[Age]]&lt;40,"30-39",IF(Table1[[#This Row],[Age]]&lt;50,"40-49","50+")))</f>
        <v>30-39</v>
      </c>
      <c r="AA479" t="str">
        <f>IF(Table1[[#This Row],[Salary]]&lt;20000000,"low",IF(Table1[[#This Row],[Salary]]&lt;40000000,"medium","high"))</f>
        <v>medium</v>
      </c>
      <c r="AB479">
        <f>YEAR(Table1[[#This Row],[Hire Date]])</f>
        <v>2017</v>
      </c>
      <c r="AC479" t="str">
        <f>TEXT(Table1[[#This Row],[Hire Date]],"mmmm")</f>
        <v>اُكتبر</v>
      </c>
      <c r="AD479" t="str">
        <f>IF(Table1[[#This Row],[Resigned]]="yes","former","active")</f>
        <v>active</v>
      </c>
    </row>
    <row r="480" spans="1:30" x14ac:dyDescent="0.3">
      <c r="A480" t="s">
        <v>1025</v>
      </c>
      <c r="B480" t="s">
        <v>1026</v>
      </c>
      <c r="C480" t="s">
        <v>27</v>
      </c>
      <c r="D480">
        <v>57</v>
      </c>
      <c r="E480" t="s">
        <v>56</v>
      </c>
      <c r="F480" t="s">
        <v>57</v>
      </c>
      <c r="G480" t="s">
        <v>58</v>
      </c>
      <c r="H480" t="s">
        <v>42</v>
      </c>
      <c r="I480" t="s">
        <v>65</v>
      </c>
      <c r="J480" s="1">
        <v>44853</v>
      </c>
      <c r="K480">
        <v>4</v>
      </c>
      <c r="L480">
        <v>53555001</v>
      </c>
      <c r="M480">
        <v>4849807</v>
      </c>
      <c r="N480" t="s">
        <v>33</v>
      </c>
      <c r="O480">
        <v>3.88</v>
      </c>
      <c r="P480">
        <v>7</v>
      </c>
      <c r="Q480">
        <v>1</v>
      </c>
      <c r="R480">
        <v>4</v>
      </c>
      <c r="S480">
        <v>1</v>
      </c>
      <c r="T480" t="s">
        <v>33</v>
      </c>
      <c r="U480" t="s">
        <v>34</v>
      </c>
      <c r="V480" t="s">
        <v>35</v>
      </c>
      <c r="W480" t="s">
        <v>34</v>
      </c>
      <c r="X480" t="s">
        <v>36</v>
      </c>
      <c r="Z480" t="str">
        <f>IF(Table1[[#This Row],[Age]]&lt;30,"20-29",IF(Table1[[#This Row],[Age]]&lt;40,"30-39",IF(Table1[[#This Row],[Age]]&lt;50,"40-49","50+")))</f>
        <v>50+</v>
      </c>
      <c r="AA480" t="str">
        <f>IF(Table1[[#This Row],[Salary]]&lt;20000000,"low",IF(Table1[[#This Row],[Salary]]&lt;40000000,"medium","high"))</f>
        <v>high</v>
      </c>
      <c r="AB480">
        <f>YEAR(Table1[[#This Row],[Hire Date]])</f>
        <v>2022</v>
      </c>
      <c r="AC480" t="str">
        <f>TEXT(Table1[[#This Row],[Hire Date]],"mmmm")</f>
        <v>اُكتبر</v>
      </c>
      <c r="AD480" t="str">
        <f>IF(Table1[[#This Row],[Resigned]]="yes","former","active")</f>
        <v>active</v>
      </c>
    </row>
    <row r="481" spans="1:30" x14ac:dyDescent="0.3">
      <c r="A481" t="s">
        <v>1027</v>
      </c>
      <c r="B481" t="s">
        <v>1028</v>
      </c>
      <c r="C481" t="s">
        <v>39</v>
      </c>
      <c r="D481">
        <v>28</v>
      </c>
      <c r="E481" t="s">
        <v>73</v>
      </c>
      <c r="F481" t="s">
        <v>127</v>
      </c>
      <c r="G481" t="s">
        <v>49</v>
      </c>
      <c r="H481" t="s">
        <v>31</v>
      </c>
      <c r="I481" t="s">
        <v>81</v>
      </c>
      <c r="J481" s="1">
        <v>44829</v>
      </c>
      <c r="K481">
        <v>4</v>
      </c>
      <c r="L481">
        <v>55457468</v>
      </c>
      <c r="M481">
        <v>8407125</v>
      </c>
      <c r="N481" t="s">
        <v>34</v>
      </c>
      <c r="O481">
        <v>4.7300000000000004</v>
      </c>
      <c r="P481">
        <v>26</v>
      </c>
      <c r="Q481">
        <v>5</v>
      </c>
      <c r="R481">
        <v>1</v>
      </c>
      <c r="S481">
        <v>1</v>
      </c>
      <c r="T481" t="s">
        <v>33</v>
      </c>
      <c r="U481" t="s">
        <v>34</v>
      </c>
      <c r="V481" t="s">
        <v>51</v>
      </c>
      <c r="W481" t="s">
        <v>34</v>
      </c>
      <c r="X481" t="s">
        <v>36</v>
      </c>
      <c r="Z481" t="str">
        <f>IF(Table1[[#This Row],[Age]]&lt;30,"20-29",IF(Table1[[#This Row],[Age]]&lt;40,"30-39",IF(Table1[[#This Row],[Age]]&lt;50,"40-49","50+")))</f>
        <v>20-29</v>
      </c>
      <c r="AA481" t="str">
        <f>IF(Table1[[#This Row],[Salary]]&lt;20000000,"low",IF(Table1[[#This Row],[Salary]]&lt;40000000,"medium","high"))</f>
        <v>high</v>
      </c>
      <c r="AB481">
        <f>YEAR(Table1[[#This Row],[Hire Date]])</f>
        <v>2022</v>
      </c>
      <c r="AC481" t="str">
        <f>TEXT(Table1[[#This Row],[Hire Date]],"mmmm")</f>
        <v>سپتامبر</v>
      </c>
      <c r="AD481" t="str">
        <f>IF(Table1[[#This Row],[Resigned]]="yes","former","active")</f>
        <v>active</v>
      </c>
    </row>
    <row r="482" spans="1:30" x14ac:dyDescent="0.3">
      <c r="A482" t="s">
        <v>1029</v>
      </c>
      <c r="B482" t="s">
        <v>1030</v>
      </c>
      <c r="C482" t="s">
        <v>39</v>
      </c>
      <c r="D482">
        <v>33</v>
      </c>
      <c r="E482" t="s">
        <v>110</v>
      </c>
      <c r="F482" t="s">
        <v>111</v>
      </c>
      <c r="G482" t="s">
        <v>30</v>
      </c>
      <c r="H482" t="s">
        <v>42</v>
      </c>
      <c r="I482" t="s">
        <v>50</v>
      </c>
      <c r="J482" s="1">
        <v>44151</v>
      </c>
      <c r="K482">
        <v>6</v>
      </c>
      <c r="L482">
        <v>28741431</v>
      </c>
      <c r="M482">
        <v>7554125</v>
      </c>
      <c r="N482" t="s">
        <v>33</v>
      </c>
      <c r="O482">
        <v>4.4000000000000004</v>
      </c>
      <c r="P482">
        <v>60</v>
      </c>
      <c r="Q482">
        <v>5</v>
      </c>
      <c r="R482">
        <v>3</v>
      </c>
      <c r="S482">
        <v>6</v>
      </c>
      <c r="T482" t="s">
        <v>34</v>
      </c>
      <c r="U482" t="s">
        <v>34</v>
      </c>
      <c r="V482" t="s">
        <v>35</v>
      </c>
      <c r="W482" t="s">
        <v>33</v>
      </c>
      <c r="X482" t="s">
        <v>36</v>
      </c>
      <c r="Z482" t="str">
        <f>IF(Table1[[#This Row],[Age]]&lt;30,"20-29",IF(Table1[[#This Row],[Age]]&lt;40,"30-39",IF(Table1[[#This Row],[Age]]&lt;50,"40-49","50+")))</f>
        <v>30-39</v>
      </c>
      <c r="AA482" t="str">
        <f>IF(Table1[[#This Row],[Salary]]&lt;20000000,"low",IF(Table1[[#This Row],[Salary]]&lt;40000000,"medium","high"))</f>
        <v>medium</v>
      </c>
      <c r="AB482">
        <f>YEAR(Table1[[#This Row],[Hire Date]])</f>
        <v>2020</v>
      </c>
      <c r="AC482" t="str">
        <f>TEXT(Table1[[#This Row],[Hire Date]],"mmmm")</f>
        <v>نوامبر</v>
      </c>
      <c r="AD482" t="str">
        <f>IF(Table1[[#This Row],[Resigned]]="yes","former","active")</f>
        <v>active</v>
      </c>
    </row>
    <row r="483" spans="1:30" x14ac:dyDescent="0.3">
      <c r="A483" t="s">
        <v>1031</v>
      </c>
      <c r="B483" t="s">
        <v>1032</v>
      </c>
      <c r="C483" t="s">
        <v>27</v>
      </c>
      <c r="D483">
        <v>23</v>
      </c>
      <c r="E483" t="s">
        <v>56</v>
      </c>
      <c r="F483" t="s">
        <v>57</v>
      </c>
      <c r="G483" t="s">
        <v>30</v>
      </c>
      <c r="H483" t="s">
        <v>42</v>
      </c>
      <c r="I483" t="s">
        <v>43</v>
      </c>
      <c r="J483" s="1">
        <v>44556</v>
      </c>
      <c r="K483">
        <v>5</v>
      </c>
      <c r="L483">
        <v>39877464</v>
      </c>
      <c r="M483">
        <v>7766433</v>
      </c>
      <c r="N483" t="s">
        <v>34</v>
      </c>
      <c r="O483">
        <v>4.74</v>
      </c>
      <c r="P483">
        <v>69</v>
      </c>
      <c r="Q483">
        <v>4</v>
      </c>
      <c r="R483">
        <v>3</v>
      </c>
      <c r="S483">
        <v>12</v>
      </c>
      <c r="T483" t="s">
        <v>33</v>
      </c>
      <c r="U483" t="s">
        <v>33</v>
      </c>
      <c r="V483" t="s">
        <v>44</v>
      </c>
      <c r="W483" t="s">
        <v>34</v>
      </c>
      <c r="X483" t="s">
        <v>52</v>
      </c>
      <c r="Y483" t="s">
        <v>75</v>
      </c>
      <c r="Z483" t="str">
        <f>IF(Table1[[#This Row],[Age]]&lt;30,"20-29",IF(Table1[[#This Row],[Age]]&lt;40,"30-39",IF(Table1[[#This Row],[Age]]&lt;50,"40-49","50+")))</f>
        <v>20-29</v>
      </c>
      <c r="AA483" t="str">
        <f>IF(Table1[[#This Row],[Salary]]&lt;20000000,"low",IF(Table1[[#This Row],[Salary]]&lt;40000000,"medium","high"))</f>
        <v>medium</v>
      </c>
      <c r="AB483">
        <f>YEAR(Table1[[#This Row],[Hire Date]])</f>
        <v>2021</v>
      </c>
      <c r="AC483" t="str">
        <f>TEXT(Table1[[#This Row],[Hire Date]],"mmmm")</f>
        <v>دسامبر</v>
      </c>
      <c r="AD483" t="str">
        <f>IF(Table1[[#This Row],[Resigned]]="yes","former","active")</f>
        <v>former</v>
      </c>
    </row>
    <row r="484" spans="1:30" x14ac:dyDescent="0.3">
      <c r="A484" t="s">
        <v>1033</v>
      </c>
      <c r="B484" t="s">
        <v>1034</v>
      </c>
      <c r="C484" t="s">
        <v>39</v>
      </c>
      <c r="D484">
        <v>31</v>
      </c>
      <c r="E484" t="s">
        <v>73</v>
      </c>
      <c r="F484" t="s">
        <v>127</v>
      </c>
      <c r="G484" t="s">
        <v>49</v>
      </c>
      <c r="H484" t="s">
        <v>31</v>
      </c>
      <c r="I484" t="s">
        <v>32</v>
      </c>
      <c r="J484" s="1">
        <v>42866</v>
      </c>
      <c r="K484">
        <v>9</v>
      </c>
      <c r="L484">
        <v>26946606</v>
      </c>
      <c r="M484">
        <v>1681133</v>
      </c>
      <c r="N484" t="s">
        <v>33</v>
      </c>
      <c r="O484">
        <v>3.36</v>
      </c>
      <c r="P484">
        <v>22</v>
      </c>
      <c r="Q484">
        <v>2</v>
      </c>
      <c r="R484">
        <v>5</v>
      </c>
      <c r="S484">
        <v>7</v>
      </c>
      <c r="T484" t="s">
        <v>34</v>
      </c>
      <c r="U484" t="s">
        <v>34</v>
      </c>
      <c r="V484" t="s">
        <v>70</v>
      </c>
      <c r="W484" t="s">
        <v>34</v>
      </c>
      <c r="X484" t="s">
        <v>45</v>
      </c>
      <c r="Z484" t="str">
        <f>IF(Table1[[#This Row],[Age]]&lt;30,"20-29",IF(Table1[[#This Row],[Age]]&lt;40,"30-39",IF(Table1[[#This Row],[Age]]&lt;50,"40-49","50+")))</f>
        <v>30-39</v>
      </c>
      <c r="AA484" t="str">
        <f>IF(Table1[[#This Row],[Salary]]&lt;20000000,"low",IF(Table1[[#This Row],[Salary]]&lt;40000000,"medium","high"))</f>
        <v>medium</v>
      </c>
      <c r="AB484">
        <f>YEAR(Table1[[#This Row],[Hire Date]])</f>
        <v>2017</v>
      </c>
      <c r="AC484" t="str">
        <f>TEXT(Table1[[#This Row],[Hire Date]],"mmmm")</f>
        <v>مه</v>
      </c>
      <c r="AD484" t="str">
        <f>IF(Table1[[#This Row],[Resigned]]="yes","former","active")</f>
        <v>active</v>
      </c>
    </row>
    <row r="485" spans="1:30" x14ac:dyDescent="0.3">
      <c r="A485" t="s">
        <v>1035</v>
      </c>
      <c r="B485" t="s">
        <v>1036</v>
      </c>
      <c r="C485" t="s">
        <v>39</v>
      </c>
      <c r="D485">
        <v>24</v>
      </c>
      <c r="E485" t="s">
        <v>40</v>
      </c>
      <c r="F485" t="s">
        <v>41</v>
      </c>
      <c r="G485" t="s">
        <v>49</v>
      </c>
      <c r="H485" t="s">
        <v>42</v>
      </c>
      <c r="I485" t="s">
        <v>32</v>
      </c>
      <c r="J485" s="1">
        <v>45470</v>
      </c>
      <c r="K485">
        <v>2</v>
      </c>
      <c r="L485">
        <v>19723446</v>
      </c>
      <c r="M485">
        <v>9418383</v>
      </c>
      <c r="N485" t="s">
        <v>34</v>
      </c>
      <c r="O485">
        <v>2.98</v>
      </c>
      <c r="P485">
        <v>41</v>
      </c>
      <c r="Q485">
        <v>1</v>
      </c>
      <c r="R485">
        <v>4</v>
      </c>
      <c r="S485">
        <v>18</v>
      </c>
      <c r="T485" t="s">
        <v>33</v>
      </c>
      <c r="U485" t="s">
        <v>34</v>
      </c>
      <c r="V485" t="s">
        <v>59</v>
      </c>
      <c r="W485" t="s">
        <v>34</v>
      </c>
      <c r="X485" t="s">
        <v>52</v>
      </c>
      <c r="Z485" t="str">
        <f>IF(Table1[[#This Row],[Age]]&lt;30,"20-29",IF(Table1[[#This Row],[Age]]&lt;40,"30-39",IF(Table1[[#This Row],[Age]]&lt;50,"40-49","50+")))</f>
        <v>20-29</v>
      </c>
      <c r="AA485" t="str">
        <f>IF(Table1[[#This Row],[Salary]]&lt;20000000,"low",IF(Table1[[#This Row],[Salary]]&lt;40000000,"medium","high"))</f>
        <v>low</v>
      </c>
      <c r="AB485">
        <f>YEAR(Table1[[#This Row],[Hire Date]])</f>
        <v>2024</v>
      </c>
      <c r="AC485" t="str">
        <f>TEXT(Table1[[#This Row],[Hire Date]],"mmmm")</f>
        <v>ژوئن</v>
      </c>
      <c r="AD485" t="str">
        <f>IF(Table1[[#This Row],[Resigned]]="yes","former","active")</f>
        <v>active</v>
      </c>
    </row>
    <row r="486" spans="1:30" x14ac:dyDescent="0.3">
      <c r="A486" t="s">
        <v>1037</v>
      </c>
      <c r="B486" t="s">
        <v>1038</v>
      </c>
      <c r="C486" t="s">
        <v>27</v>
      </c>
      <c r="D486">
        <v>58</v>
      </c>
      <c r="E486" t="s">
        <v>110</v>
      </c>
      <c r="F486" t="s">
        <v>111</v>
      </c>
      <c r="G486" t="s">
        <v>58</v>
      </c>
      <c r="H486" t="s">
        <v>42</v>
      </c>
      <c r="I486" t="s">
        <v>32</v>
      </c>
      <c r="J486" s="1">
        <v>44378</v>
      </c>
      <c r="K486">
        <v>5</v>
      </c>
      <c r="L486">
        <v>15611205</v>
      </c>
      <c r="M486">
        <v>3814613</v>
      </c>
      <c r="N486" t="s">
        <v>34</v>
      </c>
      <c r="O486">
        <v>3.68</v>
      </c>
      <c r="P486">
        <v>68</v>
      </c>
      <c r="Q486">
        <v>3</v>
      </c>
      <c r="R486">
        <v>2</v>
      </c>
      <c r="S486">
        <v>10</v>
      </c>
      <c r="T486" t="s">
        <v>33</v>
      </c>
      <c r="U486" t="s">
        <v>33</v>
      </c>
      <c r="V486" t="s">
        <v>59</v>
      </c>
      <c r="W486" t="s">
        <v>34</v>
      </c>
      <c r="X486" t="s">
        <v>45</v>
      </c>
      <c r="Y486" t="s">
        <v>60</v>
      </c>
      <c r="Z486" t="str">
        <f>IF(Table1[[#This Row],[Age]]&lt;30,"20-29",IF(Table1[[#This Row],[Age]]&lt;40,"30-39",IF(Table1[[#This Row],[Age]]&lt;50,"40-49","50+")))</f>
        <v>50+</v>
      </c>
      <c r="AA486" t="str">
        <f>IF(Table1[[#This Row],[Salary]]&lt;20000000,"low",IF(Table1[[#This Row],[Salary]]&lt;40000000,"medium","high"))</f>
        <v>low</v>
      </c>
      <c r="AB486">
        <f>YEAR(Table1[[#This Row],[Hire Date]])</f>
        <v>2021</v>
      </c>
      <c r="AC486" t="str">
        <f>TEXT(Table1[[#This Row],[Hire Date]],"mmmm")</f>
        <v>ژوئيه</v>
      </c>
      <c r="AD486" t="str">
        <f>IF(Table1[[#This Row],[Resigned]]="yes","former","active")</f>
        <v>former</v>
      </c>
    </row>
    <row r="487" spans="1:30" x14ac:dyDescent="0.3">
      <c r="A487" t="s">
        <v>1039</v>
      </c>
      <c r="B487" t="s">
        <v>1040</v>
      </c>
      <c r="C487" t="s">
        <v>39</v>
      </c>
      <c r="D487">
        <v>41</v>
      </c>
      <c r="E487" t="s">
        <v>56</v>
      </c>
      <c r="F487" t="s">
        <v>84</v>
      </c>
      <c r="G487" t="s">
        <v>30</v>
      </c>
      <c r="H487" t="s">
        <v>42</v>
      </c>
      <c r="I487" t="s">
        <v>65</v>
      </c>
      <c r="J487" s="1">
        <v>44461</v>
      </c>
      <c r="K487">
        <v>5</v>
      </c>
      <c r="L487">
        <v>14469749</v>
      </c>
      <c r="M487">
        <v>2977626</v>
      </c>
      <c r="N487" t="s">
        <v>33</v>
      </c>
      <c r="O487">
        <v>3.83</v>
      </c>
      <c r="P487">
        <v>19</v>
      </c>
      <c r="Q487">
        <v>1</v>
      </c>
      <c r="R487">
        <v>2</v>
      </c>
      <c r="S487">
        <v>19</v>
      </c>
      <c r="T487" t="s">
        <v>34</v>
      </c>
      <c r="U487" t="s">
        <v>34</v>
      </c>
      <c r="V487" t="s">
        <v>35</v>
      </c>
      <c r="W487" t="s">
        <v>34</v>
      </c>
      <c r="X487" t="s">
        <v>52</v>
      </c>
      <c r="Z487" t="str">
        <f>IF(Table1[[#This Row],[Age]]&lt;30,"20-29",IF(Table1[[#This Row],[Age]]&lt;40,"30-39",IF(Table1[[#This Row],[Age]]&lt;50,"40-49","50+")))</f>
        <v>40-49</v>
      </c>
      <c r="AA487" t="str">
        <f>IF(Table1[[#This Row],[Salary]]&lt;20000000,"low",IF(Table1[[#This Row],[Salary]]&lt;40000000,"medium","high"))</f>
        <v>low</v>
      </c>
      <c r="AB487">
        <f>YEAR(Table1[[#This Row],[Hire Date]])</f>
        <v>2021</v>
      </c>
      <c r="AC487" t="str">
        <f>TEXT(Table1[[#This Row],[Hire Date]],"mmmm")</f>
        <v>سپتامبر</v>
      </c>
      <c r="AD487" t="str">
        <f>IF(Table1[[#This Row],[Resigned]]="yes","former","active")</f>
        <v>active</v>
      </c>
    </row>
    <row r="488" spans="1:30" x14ac:dyDescent="0.3">
      <c r="A488" t="s">
        <v>1041</v>
      </c>
      <c r="B488" t="s">
        <v>1042</v>
      </c>
      <c r="C488" t="s">
        <v>39</v>
      </c>
      <c r="D488">
        <v>33</v>
      </c>
      <c r="E488" t="s">
        <v>110</v>
      </c>
      <c r="F488" t="s">
        <v>120</v>
      </c>
      <c r="G488" t="s">
        <v>30</v>
      </c>
      <c r="H488" t="s">
        <v>42</v>
      </c>
      <c r="I488" t="s">
        <v>65</v>
      </c>
      <c r="J488" s="1">
        <v>45026</v>
      </c>
      <c r="K488">
        <v>3</v>
      </c>
      <c r="L488">
        <v>35359980</v>
      </c>
      <c r="M488">
        <v>9185520</v>
      </c>
      <c r="N488" t="s">
        <v>34</v>
      </c>
      <c r="O488">
        <v>4.12</v>
      </c>
      <c r="P488">
        <v>80</v>
      </c>
      <c r="Q488">
        <v>2</v>
      </c>
      <c r="R488">
        <v>2</v>
      </c>
      <c r="S488">
        <v>6</v>
      </c>
      <c r="T488" t="s">
        <v>34</v>
      </c>
      <c r="U488" t="s">
        <v>34</v>
      </c>
      <c r="V488" t="s">
        <v>70</v>
      </c>
      <c r="W488" t="s">
        <v>34</v>
      </c>
      <c r="X488" t="s">
        <v>36</v>
      </c>
      <c r="Z488" t="str">
        <f>IF(Table1[[#This Row],[Age]]&lt;30,"20-29",IF(Table1[[#This Row],[Age]]&lt;40,"30-39",IF(Table1[[#This Row],[Age]]&lt;50,"40-49","50+")))</f>
        <v>30-39</v>
      </c>
      <c r="AA488" t="str">
        <f>IF(Table1[[#This Row],[Salary]]&lt;20000000,"low",IF(Table1[[#This Row],[Salary]]&lt;40000000,"medium","high"))</f>
        <v>medium</v>
      </c>
      <c r="AB488">
        <f>YEAR(Table1[[#This Row],[Hire Date]])</f>
        <v>2023</v>
      </c>
      <c r="AC488" t="str">
        <f>TEXT(Table1[[#This Row],[Hire Date]],"mmmm")</f>
        <v>آوريل</v>
      </c>
      <c r="AD488" t="str">
        <f>IF(Table1[[#This Row],[Resigned]]="yes","former","active")</f>
        <v>active</v>
      </c>
    </row>
    <row r="489" spans="1:30" x14ac:dyDescent="0.3">
      <c r="A489" t="s">
        <v>1043</v>
      </c>
      <c r="B489" t="s">
        <v>1044</v>
      </c>
      <c r="C489" t="s">
        <v>27</v>
      </c>
      <c r="D489">
        <v>57</v>
      </c>
      <c r="E489" t="s">
        <v>40</v>
      </c>
      <c r="F489" t="s">
        <v>48</v>
      </c>
      <c r="G489" t="s">
        <v>58</v>
      </c>
      <c r="H489" t="s">
        <v>42</v>
      </c>
      <c r="I489" t="s">
        <v>50</v>
      </c>
      <c r="J489" s="1">
        <v>45300</v>
      </c>
      <c r="K489">
        <v>2</v>
      </c>
      <c r="L489">
        <v>40338343</v>
      </c>
      <c r="M489">
        <v>3045467</v>
      </c>
      <c r="N489" t="s">
        <v>34</v>
      </c>
      <c r="O489">
        <v>2.71</v>
      </c>
      <c r="P489">
        <v>41</v>
      </c>
      <c r="Q489">
        <v>5</v>
      </c>
      <c r="R489">
        <v>4</v>
      </c>
      <c r="S489">
        <v>10</v>
      </c>
      <c r="T489" t="s">
        <v>33</v>
      </c>
      <c r="U489" t="s">
        <v>34</v>
      </c>
      <c r="V489" t="s">
        <v>70</v>
      </c>
      <c r="W489" t="s">
        <v>34</v>
      </c>
      <c r="X489" t="s">
        <v>36</v>
      </c>
      <c r="Z489" t="str">
        <f>IF(Table1[[#This Row],[Age]]&lt;30,"20-29",IF(Table1[[#This Row],[Age]]&lt;40,"30-39",IF(Table1[[#This Row],[Age]]&lt;50,"40-49","50+")))</f>
        <v>50+</v>
      </c>
      <c r="AA489" t="str">
        <f>IF(Table1[[#This Row],[Salary]]&lt;20000000,"low",IF(Table1[[#This Row],[Salary]]&lt;40000000,"medium","high"))</f>
        <v>high</v>
      </c>
      <c r="AB489">
        <f>YEAR(Table1[[#This Row],[Hire Date]])</f>
        <v>2024</v>
      </c>
      <c r="AC489" t="str">
        <f>TEXT(Table1[[#This Row],[Hire Date]],"mmmm")</f>
        <v>ژانويه</v>
      </c>
      <c r="AD489" t="str">
        <f>IF(Table1[[#This Row],[Resigned]]="yes","former","active")</f>
        <v>active</v>
      </c>
    </row>
    <row r="490" spans="1:30" x14ac:dyDescent="0.3">
      <c r="A490" t="s">
        <v>1045</v>
      </c>
      <c r="B490" t="s">
        <v>1046</v>
      </c>
      <c r="C490" t="s">
        <v>27</v>
      </c>
      <c r="D490">
        <v>53</v>
      </c>
      <c r="E490" t="s">
        <v>110</v>
      </c>
      <c r="F490" t="s">
        <v>120</v>
      </c>
      <c r="G490" t="s">
        <v>49</v>
      </c>
      <c r="H490" t="s">
        <v>31</v>
      </c>
      <c r="I490" t="s">
        <v>43</v>
      </c>
      <c r="J490" s="1">
        <v>44221</v>
      </c>
      <c r="K490">
        <v>5</v>
      </c>
      <c r="L490">
        <v>12112887</v>
      </c>
      <c r="M490">
        <v>4147816</v>
      </c>
      <c r="N490" t="s">
        <v>33</v>
      </c>
      <c r="O490">
        <v>2.71</v>
      </c>
      <c r="P490">
        <v>1</v>
      </c>
      <c r="Q490">
        <v>1</v>
      </c>
      <c r="R490">
        <v>5</v>
      </c>
      <c r="S490">
        <v>13</v>
      </c>
      <c r="T490" t="s">
        <v>34</v>
      </c>
      <c r="U490" t="s">
        <v>34</v>
      </c>
      <c r="V490" t="s">
        <v>51</v>
      </c>
      <c r="W490" t="s">
        <v>33</v>
      </c>
      <c r="X490" t="s">
        <v>52</v>
      </c>
      <c r="Z490" t="str">
        <f>IF(Table1[[#This Row],[Age]]&lt;30,"20-29",IF(Table1[[#This Row],[Age]]&lt;40,"30-39",IF(Table1[[#This Row],[Age]]&lt;50,"40-49","50+")))</f>
        <v>50+</v>
      </c>
      <c r="AA490" t="str">
        <f>IF(Table1[[#This Row],[Salary]]&lt;20000000,"low",IF(Table1[[#This Row],[Salary]]&lt;40000000,"medium","high"))</f>
        <v>low</v>
      </c>
      <c r="AB490">
        <f>YEAR(Table1[[#This Row],[Hire Date]])</f>
        <v>2021</v>
      </c>
      <c r="AC490" t="str">
        <f>TEXT(Table1[[#This Row],[Hire Date]],"mmmm")</f>
        <v>ژانويه</v>
      </c>
      <c r="AD490" t="str">
        <f>IF(Table1[[#This Row],[Resigned]]="yes","former","active")</f>
        <v>active</v>
      </c>
    </row>
    <row r="491" spans="1:30" x14ac:dyDescent="0.3">
      <c r="A491" t="s">
        <v>1047</v>
      </c>
      <c r="B491" t="s">
        <v>1048</v>
      </c>
      <c r="C491" t="s">
        <v>27</v>
      </c>
      <c r="D491">
        <v>51</v>
      </c>
      <c r="E491" t="s">
        <v>28</v>
      </c>
      <c r="F491" t="s">
        <v>80</v>
      </c>
      <c r="G491" t="s">
        <v>30</v>
      </c>
      <c r="H491" t="s">
        <v>31</v>
      </c>
      <c r="I491" t="s">
        <v>50</v>
      </c>
      <c r="J491" s="1">
        <v>45204</v>
      </c>
      <c r="K491">
        <v>3</v>
      </c>
      <c r="L491">
        <v>41748191</v>
      </c>
      <c r="M491">
        <v>3691887</v>
      </c>
      <c r="N491" t="s">
        <v>33</v>
      </c>
      <c r="O491">
        <v>4.9400000000000004</v>
      </c>
      <c r="P491">
        <v>10</v>
      </c>
      <c r="Q491">
        <v>5</v>
      </c>
      <c r="R491">
        <v>5</v>
      </c>
      <c r="S491">
        <v>0</v>
      </c>
      <c r="T491" t="s">
        <v>33</v>
      </c>
      <c r="U491" t="s">
        <v>34</v>
      </c>
      <c r="V491" t="s">
        <v>35</v>
      </c>
      <c r="W491" t="s">
        <v>34</v>
      </c>
      <c r="X491" t="s">
        <v>45</v>
      </c>
      <c r="Z491" t="str">
        <f>IF(Table1[[#This Row],[Age]]&lt;30,"20-29",IF(Table1[[#This Row],[Age]]&lt;40,"30-39",IF(Table1[[#This Row],[Age]]&lt;50,"40-49","50+")))</f>
        <v>50+</v>
      </c>
      <c r="AA491" t="str">
        <f>IF(Table1[[#This Row],[Salary]]&lt;20000000,"low",IF(Table1[[#This Row],[Salary]]&lt;40000000,"medium","high"))</f>
        <v>high</v>
      </c>
      <c r="AB491">
        <f>YEAR(Table1[[#This Row],[Hire Date]])</f>
        <v>2023</v>
      </c>
      <c r="AC491" t="str">
        <f>TEXT(Table1[[#This Row],[Hire Date]],"mmmm")</f>
        <v>اُكتبر</v>
      </c>
      <c r="AD491" t="str">
        <f>IF(Table1[[#This Row],[Resigned]]="yes","former","active")</f>
        <v>active</v>
      </c>
    </row>
    <row r="492" spans="1:30" x14ac:dyDescent="0.3">
      <c r="A492" t="s">
        <v>1049</v>
      </c>
      <c r="B492" t="s">
        <v>1050</v>
      </c>
      <c r="C492" t="s">
        <v>39</v>
      </c>
      <c r="D492">
        <v>48</v>
      </c>
      <c r="E492" t="s">
        <v>63</v>
      </c>
      <c r="F492" t="s">
        <v>64</v>
      </c>
      <c r="G492" t="s">
        <v>30</v>
      </c>
      <c r="H492" t="s">
        <v>31</v>
      </c>
      <c r="I492" t="s">
        <v>65</v>
      </c>
      <c r="J492" s="1">
        <v>43366</v>
      </c>
      <c r="K492">
        <v>8</v>
      </c>
      <c r="L492">
        <v>33962734</v>
      </c>
      <c r="M492">
        <v>675568</v>
      </c>
      <c r="N492" t="s">
        <v>33</v>
      </c>
      <c r="O492">
        <v>4.0599999999999996</v>
      </c>
      <c r="P492">
        <v>74</v>
      </c>
      <c r="Q492">
        <v>5</v>
      </c>
      <c r="R492">
        <v>3</v>
      </c>
      <c r="S492">
        <v>0</v>
      </c>
      <c r="T492" t="s">
        <v>33</v>
      </c>
      <c r="U492" t="s">
        <v>34</v>
      </c>
      <c r="V492" t="s">
        <v>44</v>
      </c>
      <c r="W492" t="s">
        <v>34</v>
      </c>
      <c r="X492" t="s">
        <v>45</v>
      </c>
      <c r="Z492" t="str">
        <f>IF(Table1[[#This Row],[Age]]&lt;30,"20-29",IF(Table1[[#This Row],[Age]]&lt;40,"30-39",IF(Table1[[#This Row],[Age]]&lt;50,"40-49","50+")))</f>
        <v>40-49</v>
      </c>
      <c r="AA492" t="str">
        <f>IF(Table1[[#This Row],[Salary]]&lt;20000000,"low",IF(Table1[[#This Row],[Salary]]&lt;40000000,"medium","high"))</f>
        <v>medium</v>
      </c>
      <c r="AB492">
        <f>YEAR(Table1[[#This Row],[Hire Date]])</f>
        <v>2018</v>
      </c>
      <c r="AC492" t="str">
        <f>TEXT(Table1[[#This Row],[Hire Date]],"mmmm")</f>
        <v>سپتامبر</v>
      </c>
      <c r="AD492" t="str">
        <f>IF(Table1[[#This Row],[Resigned]]="yes","former","active")</f>
        <v>active</v>
      </c>
    </row>
    <row r="493" spans="1:30" x14ac:dyDescent="0.3">
      <c r="A493" t="s">
        <v>1051</v>
      </c>
      <c r="B493" t="s">
        <v>1052</v>
      </c>
      <c r="C493" t="s">
        <v>27</v>
      </c>
      <c r="D493">
        <v>50</v>
      </c>
      <c r="E493" t="s">
        <v>28</v>
      </c>
      <c r="F493" t="s">
        <v>80</v>
      </c>
      <c r="G493" t="s">
        <v>58</v>
      </c>
      <c r="H493" t="s">
        <v>42</v>
      </c>
      <c r="I493" t="s">
        <v>65</v>
      </c>
      <c r="J493" s="1">
        <v>42952</v>
      </c>
      <c r="K493">
        <v>9</v>
      </c>
      <c r="L493">
        <v>22385647</v>
      </c>
      <c r="M493">
        <v>3456764</v>
      </c>
      <c r="N493" t="s">
        <v>34</v>
      </c>
      <c r="O493">
        <v>2.95</v>
      </c>
      <c r="P493">
        <v>15</v>
      </c>
      <c r="Q493">
        <v>2</v>
      </c>
      <c r="R493">
        <v>3</v>
      </c>
      <c r="S493">
        <v>5</v>
      </c>
      <c r="T493" t="s">
        <v>34</v>
      </c>
      <c r="U493" t="s">
        <v>34</v>
      </c>
      <c r="V493" t="s">
        <v>70</v>
      </c>
      <c r="W493" t="s">
        <v>33</v>
      </c>
      <c r="X493" t="s">
        <v>45</v>
      </c>
      <c r="Z493" t="str">
        <f>IF(Table1[[#This Row],[Age]]&lt;30,"20-29",IF(Table1[[#This Row],[Age]]&lt;40,"30-39",IF(Table1[[#This Row],[Age]]&lt;50,"40-49","50+")))</f>
        <v>50+</v>
      </c>
      <c r="AA493" t="str">
        <f>IF(Table1[[#This Row],[Salary]]&lt;20000000,"low",IF(Table1[[#This Row],[Salary]]&lt;40000000,"medium","high"))</f>
        <v>medium</v>
      </c>
      <c r="AB493">
        <f>YEAR(Table1[[#This Row],[Hire Date]])</f>
        <v>2017</v>
      </c>
      <c r="AC493" t="str">
        <f>TEXT(Table1[[#This Row],[Hire Date]],"mmmm")</f>
        <v>اوت</v>
      </c>
      <c r="AD493" t="str">
        <f>IF(Table1[[#This Row],[Resigned]]="yes","former","active")</f>
        <v>active</v>
      </c>
    </row>
    <row r="494" spans="1:30" x14ac:dyDescent="0.3">
      <c r="A494" t="s">
        <v>1053</v>
      </c>
      <c r="B494" t="s">
        <v>1054</v>
      </c>
      <c r="C494" t="s">
        <v>27</v>
      </c>
      <c r="D494">
        <v>56</v>
      </c>
      <c r="E494" t="s">
        <v>40</v>
      </c>
      <c r="F494" t="s">
        <v>48</v>
      </c>
      <c r="G494" t="s">
        <v>49</v>
      </c>
      <c r="H494" t="s">
        <v>31</v>
      </c>
      <c r="I494" t="s">
        <v>81</v>
      </c>
      <c r="J494" s="1">
        <v>43530</v>
      </c>
      <c r="K494">
        <v>7</v>
      </c>
      <c r="L494">
        <v>20423713</v>
      </c>
      <c r="M494">
        <v>5790690</v>
      </c>
      <c r="N494" t="s">
        <v>33</v>
      </c>
      <c r="O494">
        <v>4.8600000000000003</v>
      </c>
      <c r="P494">
        <v>80</v>
      </c>
      <c r="Q494">
        <v>1</v>
      </c>
      <c r="R494">
        <v>1</v>
      </c>
      <c r="S494">
        <v>5</v>
      </c>
      <c r="T494" t="s">
        <v>34</v>
      </c>
      <c r="U494" t="s">
        <v>34</v>
      </c>
      <c r="V494" t="s">
        <v>51</v>
      </c>
      <c r="W494" t="s">
        <v>34</v>
      </c>
      <c r="X494" t="s">
        <v>52</v>
      </c>
      <c r="Z494" t="str">
        <f>IF(Table1[[#This Row],[Age]]&lt;30,"20-29",IF(Table1[[#This Row],[Age]]&lt;40,"30-39",IF(Table1[[#This Row],[Age]]&lt;50,"40-49","50+")))</f>
        <v>50+</v>
      </c>
      <c r="AA494" t="str">
        <f>IF(Table1[[#This Row],[Salary]]&lt;20000000,"low",IF(Table1[[#This Row],[Salary]]&lt;40000000,"medium","high"))</f>
        <v>medium</v>
      </c>
      <c r="AB494">
        <f>YEAR(Table1[[#This Row],[Hire Date]])</f>
        <v>2019</v>
      </c>
      <c r="AC494" t="str">
        <f>TEXT(Table1[[#This Row],[Hire Date]],"mmmm")</f>
        <v>مارس</v>
      </c>
      <c r="AD494" t="str">
        <f>IF(Table1[[#This Row],[Resigned]]="yes","former","active")</f>
        <v>active</v>
      </c>
    </row>
    <row r="495" spans="1:30" x14ac:dyDescent="0.3">
      <c r="A495" t="s">
        <v>1055</v>
      </c>
      <c r="B495" t="s">
        <v>1056</v>
      </c>
      <c r="C495" t="s">
        <v>27</v>
      </c>
      <c r="D495">
        <v>40</v>
      </c>
      <c r="E495" t="s">
        <v>63</v>
      </c>
      <c r="F495" t="s">
        <v>93</v>
      </c>
      <c r="G495" t="s">
        <v>30</v>
      </c>
      <c r="H495" t="s">
        <v>31</v>
      </c>
      <c r="I495" t="s">
        <v>81</v>
      </c>
      <c r="J495" s="1">
        <v>43619</v>
      </c>
      <c r="K495">
        <v>7</v>
      </c>
      <c r="L495">
        <v>50712588</v>
      </c>
      <c r="M495">
        <v>717752</v>
      </c>
      <c r="N495" t="s">
        <v>33</v>
      </c>
      <c r="O495">
        <v>3.17</v>
      </c>
      <c r="P495">
        <v>46</v>
      </c>
      <c r="Q495">
        <v>5</v>
      </c>
      <c r="R495">
        <v>2</v>
      </c>
      <c r="S495">
        <v>13</v>
      </c>
      <c r="T495" t="s">
        <v>34</v>
      </c>
      <c r="U495" t="s">
        <v>34</v>
      </c>
      <c r="V495" t="s">
        <v>59</v>
      </c>
      <c r="W495" t="s">
        <v>33</v>
      </c>
      <c r="X495" t="s">
        <v>52</v>
      </c>
      <c r="Z495" t="str">
        <f>IF(Table1[[#This Row],[Age]]&lt;30,"20-29",IF(Table1[[#This Row],[Age]]&lt;40,"30-39",IF(Table1[[#This Row],[Age]]&lt;50,"40-49","50+")))</f>
        <v>40-49</v>
      </c>
      <c r="AA495" t="str">
        <f>IF(Table1[[#This Row],[Salary]]&lt;20000000,"low",IF(Table1[[#This Row],[Salary]]&lt;40000000,"medium","high"))</f>
        <v>high</v>
      </c>
      <c r="AB495">
        <f>YEAR(Table1[[#This Row],[Hire Date]])</f>
        <v>2019</v>
      </c>
      <c r="AC495" t="str">
        <f>TEXT(Table1[[#This Row],[Hire Date]],"mmmm")</f>
        <v>ژوئن</v>
      </c>
      <c r="AD495" t="str">
        <f>IF(Table1[[#This Row],[Resigned]]="yes","former","active")</f>
        <v>active</v>
      </c>
    </row>
    <row r="496" spans="1:30" x14ac:dyDescent="0.3">
      <c r="A496" t="s">
        <v>1057</v>
      </c>
      <c r="B496" t="s">
        <v>1058</v>
      </c>
      <c r="C496" t="s">
        <v>39</v>
      </c>
      <c r="D496">
        <v>39</v>
      </c>
      <c r="E496" t="s">
        <v>56</v>
      </c>
      <c r="F496" t="s">
        <v>57</v>
      </c>
      <c r="G496" t="s">
        <v>30</v>
      </c>
      <c r="H496" t="s">
        <v>31</v>
      </c>
      <c r="I496" t="s">
        <v>65</v>
      </c>
      <c r="J496" s="1">
        <v>44914</v>
      </c>
      <c r="K496">
        <v>4</v>
      </c>
      <c r="L496">
        <v>18822043</v>
      </c>
      <c r="M496">
        <v>1342091</v>
      </c>
      <c r="N496" t="s">
        <v>33</v>
      </c>
      <c r="O496">
        <v>2.5</v>
      </c>
      <c r="P496">
        <v>56</v>
      </c>
      <c r="Q496">
        <v>1</v>
      </c>
      <c r="R496">
        <v>4</v>
      </c>
      <c r="S496">
        <v>10</v>
      </c>
      <c r="T496" t="s">
        <v>34</v>
      </c>
      <c r="U496" t="s">
        <v>34</v>
      </c>
      <c r="V496" t="s">
        <v>51</v>
      </c>
      <c r="W496" t="s">
        <v>34</v>
      </c>
      <c r="X496" t="s">
        <v>45</v>
      </c>
      <c r="Z496" t="str">
        <f>IF(Table1[[#This Row],[Age]]&lt;30,"20-29",IF(Table1[[#This Row],[Age]]&lt;40,"30-39",IF(Table1[[#This Row],[Age]]&lt;50,"40-49","50+")))</f>
        <v>30-39</v>
      </c>
      <c r="AA496" t="str">
        <f>IF(Table1[[#This Row],[Salary]]&lt;20000000,"low",IF(Table1[[#This Row],[Salary]]&lt;40000000,"medium","high"))</f>
        <v>low</v>
      </c>
      <c r="AB496">
        <f>YEAR(Table1[[#This Row],[Hire Date]])</f>
        <v>2022</v>
      </c>
      <c r="AC496" t="str">
        <f>TEXT(Table1[[#This Row],[Hire Date]],"mmmm")</f>
        <v>دسامبر</v>
      </c>
      <c r="AD496" t="str">
        <f>IF(Table1[[#This Row],[Resigned]]="yes","former","active")</f>
        <v>active</v>
      </c>
    </row>
    <row r="497" spans="1:30" x14ac:dyDescent="0.3">
      <c r="A497" t="s">
        <v>1059</v>
      </c>
      <c r="B497" t="s">
        <v>1060</v>
      </c>
      <c r="C497" t="s">
        <v>27</v>
      </c>
      <c r="D497">
        <v>40</v>
      </c>
      <c r="E497" t="s">
        <v>110</v>
      </c>
      <c r="F497" t="s">
        <v>120</v>
      </c>
      <c r="G497" t="s">
        <v>49</v>
      </c>
      <c r="H497" t="s">
        <v>31</v>
      </c>
      <c r="I497" t="s">
        <v>50</v>
      </c>
      <c r="J497" s="1">
        <v>44609</v>
      </c>
      <c r="K497">
        <v>4</v>
      </c>
      <c r="L497">
        <v>40473125</v>
      </c>
      <c r="M497">
        <v>8451623</v>
      </c>
      <c r="N497" t="s">
        <v>33</v>
      </c>
      <c r="O497">
        <v>2.65</v>
      </c>
      <c r="P497">
        <v>32</v>
      </c>
      <c r="Q497">
        <v>5</v>
      </c>
      <c r="R497">
        <v>5</v>
      </c>
      <c r="S497">
        <v>0</v>
      </c>
      <c r="T497" t="s">
        <v>33</v>
      </c>
      <c r="U497" t="s">
        <v>34</v>
      </c>
      <c r="V497" t="s">
        <v>70</v>
      </c>
      <c r="W497" t="s">
        <v>34</v>
      </c>
      <c r="X497" t="s">
        <v>45</v>
      </c>
      <c r="Z497" t="str">
        <f>IF(Table1[[#This Row],[Age]]&lt;30,"20-29",IF(Table1[[#This Row],[Age]]&lt;40,"30-39",IF(Table1[[#This Row],[Age]]&lt;50,"40-49","50+")))</f>
        <v>40-49</v>
      </c>
      <c r="AA497" t="str">
        <f>IF(Table1[[#This Row],[Salary]]&lt;20000000,"low",IF(Table1[[#This Row],[Salary]]&lt;40000000,"medium","high"))</f>
        <v>high</v>
      </c>
      <c r="AB497">
        <f>YEAR(Table1[[#This Row],[Hire Date]])</f>
        <v>2022</v>
      </c>
      <c r="AC497" t="str">
        <f>TEXT(Table1[[#This Row],[Hire Date]],"mmmm")</f>
        <v>فوريه</v>
      </c>
      <c r="AD497" t="str">
        <f>IF(Table1[[#This Row],[Resigned]]="yes","former","active")</f>
        <v>active</v>
      </c>
    </row>
    <row r="498" spans="1:30" x14ac:dyDescent="0.3">
      <c r="A498" t="s">
        <v>1061</v>
      </c>
      <c r="B498" t="s">
        <v>1062</v>
      </c>
      <c r="C498" t="s">
        <v>39</v>
      </c>
      <c r="D498">
        <v>54</v>
      </c>
      <c r="E498" t="s">
        <v>56</v>
      </c>
      <c r="F498" t="s">
        <v>57</v>
      </c>
      <c r="G498" t="s">
        <v>30</v>
      </c>
      <c r="H498" t="s">
        <v>31</v>
      </c>
      <c r="I498" t="s">
        <v>32</v>
      </c>
      <c r="J498" s="1">
        <v>44474</v>
      </c>
      <c r="K498">
        <v>5</v>
      </c>
      <c r="L498">
        <v>24810015</v>
      </c>
      <c r="M498">
        <v>7983996</v>
      </c>
      <c r="N498" t="s">
        <v>34</v>
      </c>
      <c r="O498">
        <v>3.99</v>
      </c>
      <c r="P498">
        <v>15</v>
      </c>
      <c r="Q498">
        <v>1</v>
      </c>
      <c r="R498">
        <v>3</v>
      </c>
      <c r="S498">
        <v>0</v>
      </c>
      <c r="T498" t="s">
        <v>34</v>
      </c>
      <c r="U498" t="s">
        <v>34</v>
      </c>
      <c r="V498" t="s">
        <v>44</v>
      </c>
      <c r="W498" t="s">
        <v>33</v>
      </c>
      <c r="X498" t="s">
        <v>52</v>
      </c>
      <c r="Z498" t="str">
        <f>IF(Table1[[#This Row],[Age]]&lt;30,"20-29",IF(Table1[[#This Row],[Age]]&lt;40,"30-39",IF(Table1[[#This Row],[Age]]&lt;50,"40-49","50+")))</f>
        <v>50+</v>
      </c>
      <c r="AA498" t="str">
        <f>IF(Table1[[#This Row],[Salary]]&lt;20000000,"low",IF(Table1[[#This Row],[Salary]]&lt;40000000,"medium","high"))</f>
        <v>medium</v>
      </c>
      <c r="AB498">
        <f>YEAR(Table1[[#This Row],[Hire Date]])</f>
        <v>2021</v>
      </c>
      <c r="AC498" t="str">
        <f>TEXT(Table1[[#This Row],[Hire Date]],"mmmm")</f>
        <v>اُكتبر</v>
      </c>
      <c r="AD498" t="str">
        <f>IF(Table1[[#This Row],[Resigned]]="yes","former","active")</f>
        <v>active</v>
      </c>
    </row>
    <row r="499" spans="1:30" x14ac:dyDescent="0.3">
      <c r="A499" t="s">
        <v>1063</v>
      </c>
      <c r="B499" t="s">
        <v>1064</v>
      </c>
      <c r="C499" t="s">
        <v>39</v>
      </c>
      <c r="D499">
        <v>26</v>
      </c>
      <c r="E499" t="s">
        <v>28</v>
      </c>
      <c r="F499" t="s">
        <v>80</v>
      </c>
      <c r="G499" t="s">
        <v>30</v>
      </c>
      <c r="H499" t="s">
        <v>31</v>
      </c>
      <c r="I499" t="s">
        <v>81</v>
      </c>
      <c r="J499" s="1">
        <v>43074</v>
      </c>
      <c r="K499">
        <v>9</v>
      </c>
      <c r="L499">
        <v>50030980</v>
      </c>
      <c r="M499">
        <v>3456715</v>
      </c>
      <c r="N499" t="s">
        <v>34</v>
      </c>
      <c r="O499">
        <v>4.84</v>
      </c>
      <c r="P499">
        <v>36</v>
      </c>
      <c r="Q499">
        <v>1</v>
      </c>
      <c r="R499">
        <v>5</v>
      </c>
      <c r="S499">
        <v>8</v>
      </c>
      <c r="T499" t="s">
        <v>34</v>
      </c>
      <c r="U499" t="s">
        <v>34</v>
      </c>
      <c r="V499" t="s">
        <v>59</v>
      </c>
      <c r="W499" t="s">
        <v>34</v>
      </c>
      <c r="X499" t="s">
        <v>52</v>
      </c>
      <c r="Z499" t="str">
        <f>IF(Table1[[#This Row],[Age]]&lt;30,"20-29",IF(Table1[[#This Row],[Age]]&lt;40,"30-39",IF(Table1[[#This Row],[Age]]&lt;50,"40-49","50+")))</f>
        <v>20-29</v>
      </c>
      <c r="AA499" t="str">
        <f>IF(Table1[[#This Row],[Salary]]&lt;20000000,"low",IF(Table1[[#This Row],[Salary]]&lt;40000000,"medium","high"))</f>
        <v>high</v>
      </c>
      <c r="AB499">
        <f>YEAR(Table1[[#This Row],[Hire Date]])</f>
        <v>2017</v>
      </c>
      <c r="AC499" t="str">
        <f>TEXT(Table1[[#This Row],[Hire Date]],"mmmm")</f>
        <v>دسامبر</v>
      </c>
      <c r="AD499" t="str">
        <f>IF(Table1[[#This Row],[Resigned]]="yes","former","active")</f>
        <v>active</v>
      </c>
    </row>
    <row r="500" spans="1:30" x14ac:dyDescent="0.3">
      <c r="A500" t="s">
        <v>1065</v>
      </c>
      <c r="B500" t="s">
        <v>1066</v>
      </c>
      <c r="C500" t="s">
        <v>27</v>
      </c>
      <c r="D500">
        <v>52</v>
      </c>
      <c r="E500" t="s">
        <v>73</v>
      </c>
      <c r="F500" t="s">
        <v>74</v>
      </c>
      <c r="G500" t="s">
        <v>49</v>
      </c>
      <c r="H500" t="s">
        <v>42</v>
      </c>
      <c r="I500" t="s">
        <v>65</v>
      </c>
      <c r="J500" s="1">
        <v>43930</v>
      </c>
      <c r="K500">
        <v>6</v>
      </c>
      <c r="L500">
        <v>36099391</v>
      </c>
      <c r="M500">
        <v>4794929</v>
      </c>
      <c r="N500" t="s">
        <v>34</v>
      </c>
      <c r="O500">
        <v>3.36</v>
      </c>
      <c r="P500">
        <v>55</v>
      </c>
      <c r="Q500">
        <v>4</v>
      </c>
      <c r="R500">
        <v>3</v>
      </c>
      <c r="S500">
        <v>19</v>
      </c>
      <c r="T500" t="s">
        <v>33</v>
      </c>
      <c r="U500" t="s">
        <v>34</v>
      </c>
      <c r="V500" t="s">
        <v>70</v>
      </c>
      <c r="W500" t="s">
        <v>33</v>
      </c>
      <c r="X500" t="s">
        <v>36</v>
      </c>
      <c r="Z500" t="str">
        <f>IF(Table1[[#This Row],[Age]]&lt;30,"20-29",IF(Table1[[#This Row],[Age]]&lt;40,"30-39",IF(Table1[[#This Row],[Age]]&lt;50,"40-49","50+")))</f>
        <v>50+</v>
      </c>
      <c r="AA500" t="str">
        <f>IF(Table1[[#This Row],[Salary]]&lt;20000000,"low",IF(Table1[[#This Row],[Salary]]&lt;40000000,"medium","high"))</f>
        <v>medium</v>
      </c>
      <c r="AB500">
        <f>YEAR(Table1[[#This Row],[Hire Date]])</f>
        <v>2020</v>
      </c>
      <c r="AC500" t="str">
        <f>TEXT(Table1[[#This Row],[Hire Date]],"mmmm")</f>
        <v>آوريل</v>
      </c>
      <c r="AD500" t="str">
        <f>IF(Table1[[#This Row],[Resigned]]="yes","former","active")</f>
        <v>active</v>
      </c>
    </row>
    <row r="501" spans="1:30" x14ac:dyDescent="0.3">
      <c r="A501" t="s">
        <v>1067</v>
      </c>
      <c r="B501" t="s">
        <v>1068</v>
      </c>
      <c r="C501" t="s">
        <v>39</v>
      </c>
      <c r="D501">
        <v>44</v>
      </c>
      <c r="E501" t="s">
        <v>40</v>
      </c>
      <c r="F501" t="s">
        <v>48</v>
      </c>
      <c r="G501" t="s">
        <v>49</v>
      </c>
      <c r="H501" t="s">
        <v>31</v>
      </c>
      <c r="I501" t="s">
        <v>43</v>
      </c>
      <c r="J501" s="1">
        <v>45174</v>
      </c>
      <c r="K501">
        <v>3</v>
      </c>
      <c r="L501">
        <v>44078388</v>
      </c>
      <c r="M501">
        <v>3561745</v>
      </c>
      <c r="N501" t="s">
        <v>33</v>
      </c>
      <c r="O501">
        <v>4.63</v>
      </c>
      <c r="P501">
        <v>5</v>
      </c>
      <c r="Q501">
        <v>3</v>
      </c>
      <c r="R501">
        <v>1</v>
      </c>
      <c r="S501">
        <v>17</v>
      </c>
      <c r="T501" t="s">
        <v>33</v>
      </c>
      <c r="U501" t="s">
        <v>33</v>
      </c>
      <c r="V501" t="s">
        <v>59</v>
      </c>
      <c r="W501" t="s">
        <v>33</v>
      </c>
      <c r="X501" t="s">
        <v>52</v>
      </c>
      <c r="Y501" t="s">
        <v>60</v>
      </c>
      <c r="Z501" t="str">
        <f>IF(Table1[[#This Row],[Age]]&lt;30,"20-29",IF(Table1[[#This Row],[Age]]&lt;40,"30-39",IF(Table1[[#This Row],[Age]]&lt;50,"40-49","50+")))</f>
        <v>40-49</v>
      </c>
      <c r="AA501" t="str">
        <f>IF(Table1[[#This Row],[Salary]]&lt;20000000,"low",IF(Table1[[#This Row],[Salary]]&lt;40000000,"medium","high"))</f>
        <v>high</v>
      </c>
      <c r="AB501">
        <f>YEAR(Table1[[#This Row],[Hire Date]])</f>
        <v>2023</v>
      </c>
      <c r="AC501" t="str">
        <f>TEXT(Table1[[#This Row],[Hire Date]],"mmmm")</f>
        <v>سپتامبر</v>
      </c>
      <c r="AD501" t="str">
        <f>IF(Table1[[#This Row],[Resigned]]="yes","former","active")</f>
        <v>former</v>
      </c>
    </row>
    <row r="502" spans="1:30" x14ac:dyDescent="0.3">
      <c r="A502" t="s">
        <v>1069</v>
      </c>
      <c r="B502" t="s">
        <v>1070</v>
      </c>
      <c r="C502" t="s">
        <v>27</v>
      </c>
      <c r="D502">
        <v>33</v>
      </c>
      <c r="E502" t="s">
        <v>73</v>
      </c>
      <c r="F502" t="s">
        <v>127</v>
      </c>
      <c r="G502" t="s">
        <v>30</v>
      </c>
      <c r="H502" t="s">
        <v>31</v>
      </c>
      <c r="I502" t="s">
        <v>81</v>
      </c>
      <c r="J502" s="1">
        <v>42533</v>
      </c>
      <c r="K502">
        <v>10</v>
      </c>
      <c r="L502">
        <v>25455226</v>
      </c>
      <c r="M502">
        <v>439319</v>
      </c>
      <c r="N502" t="s">
        <v>33</v>
      </c>
      <c r="O502">
        <v>3.35</v>
      </c>
      <c r="P502">
        <v>67</v>
      </c>
      <c r="Q502">
        <v>2</v>
      </c>
      <c r="R502">
        <v>5</v>
      </c>
      <c r="S502">
        <v>14</v>
      </c>
      <c r="T502" t="s">
        <v>34</v>
      </c>
      <c r="U502" t="s">
        <v>34</v>
      </c>
      <c r="V502" t="s">
        <v>44</v>
      </c>
      <c r="W502" t="s">
        <v>33</v>
      </c>
      <c r="X502" t="s">
        <v>45</v>
      </c>
      <c r="Z502" t="str">
        <f>IF(Table1[[#This Row],[Age]]&lt;30,"20-29",IF(Table1[[#This Row],[Age]]&lt;40,"30-39",IF(Table1[[#This Row],[Age]]&lt;50,"40-49","50+")))</f>
        <v>30-39</v>
      </c>
      <c r="AA502" t="str">
        <f>IF(Table1[[#This Row],[Salary]]&lt;20000000,"low",IF(Table1[[#This Row],[Salary]]&lt;40000000,"medium","high"))</f>
        <v>medium</v>
      </c>
      <c r="AB502">
        <f>YEAR(Table1[[#This Row],[Hire Date]])</f>
        <v>2016</v>
      </c>
      <c r="AC502" t="str">
        <f>TEXT(Table1[[#This Row],[Hire Date]],"mmmm")</f>
        <v>ژوئن</v>
      </c>
      <c r="AD502" t="str">
        <f>IF(Table1[[#This Row],[Resigned]]="yes","former","active")</f>
        <v>active</v>
      </c>
    </row>
    <row r="503" spans="1:30" x14ac:dyDescent="0.3">
      <c r="A503" t="s">
        <v>1071</v>
      </c>
      <c r="B503" t="s">
        <v>1072</v>
      </c>
      <c r="C503" t="s">
        <v>39</v>
      </c>
      <c r="D503">
        <v>50</v>
      </c>
      <c r="E503" t="s">
        <v>63</v>
      </c>
      <c r="F503" t="s">
        <v>93</v>
      </c>
      <c r="G503" t="s">
        <v>30</v>
      </c>
      <c r="H503" t="s">
        <v>42</v>
      </c>
      <c r="I503" t="s">
        <v>43</v>
      </c>
      <c r="J503" s="1">
        <v>42839</v>
      </c>
      <c r="K503">
        <v>9</v>
      </c>
      <c r="L503">
        <v>21107370</v>
      </c>
      <c r="M503">
        <v>580845</v>
      </c>
      <c r="N503" t="s">
        <v>33</v>
      </c>
      <c r="O503">
        <v>3.1</v>
      </c>
      <c r="P503">
        <v>36</v>
      </c>
      <c r="Q503">
        <v>1</v>
      </c>
      <c r="R503">
        <v>4</v>
      </c>
      <c r="S503">
        <v>7</v>
      </c>
      <c r="T503" t="s">
        <v>33</v>
      </c>
      <c r="U503" t="s">
        <v>34</v>
      </c>
      <c r="V503" t="s">
        <v>35</v>
      </c>
      <c r="W503" t="s">
        <v>34</v>
      </c>
      <c r="X503" t="s">
        <v>36</v>
      </c>
      <c r="Z503" t="str">
        <f>IF(Table1[[#This Row],[Age]]&lt;30,"20-29",IF(Table1[[#This Row],[Age]]&lt;40,"30-39",IF(Table1[[#This Row],[Age]]&lt;50,"40-49","50+")))</f>
        <v>50+</v>
      </c>
      <c r="AA503" t="str">
        <f>IF(Table1[[#This Row],[Salary]]&lt;20000000,"low",IF(Table1[[#This Row],[Salary]]&lt;40000000,"medium","high"))</f>
        <v>medium</v>
      </c>
      <c r="AB503">
        <f>YEAR(Table1[[#This Row],[Hire Date]])</f>
        <v>2017</v>
      </c>
      <c r="AC503" t="str">
        <f>TEXT(Table1[[#This Row],[Hire Date]],"mmmm")</f>
        <v>آوريل</v>
      </c>
      <c r="AD503" t="str">
        <f>IF(Table1[[#This Row],[Resigned]]="yes","former","active")</f>
        <v>active</v>
      </c>
    </row>
    <row r="504" spans="1:30" x14ac:dyDescent="0.3">
      <c r="A504" t="s">
        <v>1073</v>
      </c>
      <c r="B504" t="s">
        <v>1074</v>
      </c>
      <c r="C504" t="s">
        <v>39</v>
      </c>
      <c r="D504">
        <v>53</v>
      </c>
      <c r="E504" t="s">
        <v>28</v>
      </c>
      <c r="F504" t="s">
        <v>80</v>
      </c>
      <c r="G504" t="s">
        <v>58</v>
      </c>
      <c r="H504" t="s">
        <v>31</v>
      </c>
      <c r="I504" t="s">
        <v>65</v>
      </c>
      <c r="J504" s="1">
        <v>42594</v>
      </c>
      <c r="K504">
        <v>10</v>
      </c>
      <c r="L504">
        <v>39863135</v>
      </c>
      <c r="M504">
        <v>4665429</v>
      </c>
      <c r="N504" t="s">
        <v>33</v>
      </c>
      <c r="O504">
        <v>4.49</v>
      </c>
      <c r="P504">
        <v>61</v>
      </c>
      <c r="Q504">
        <v>2</v>
      </c>
      <c r="R504">
        <v>4</v>
      </c>
      <c r="S504">
        <v>15</v>
      </c>
      <c r="T504" t="s">
        <v>34</v>
      </c>
      <c r="U504" t="s">
        <v>33</v>
      </c>
      <c r="V504" t="s">
        <v>59</v>
      </c>
      <c r="W504" t="s">
        <v>33</v>
      </c>
      <c r="X504" t="s">
        <v>45</v>
      </c>
      <c r="Y504" t="s">
        <v>53</v>
      </c>
      <c r="Z504" t="str">
        <f>IF(Table1[[#This Row],[Age]]&lt;30,"20-29",IF(Table1[[#This Row],[Age]]&lt;40,"30-39",IF(Table1[[#This Row],[Age]]&lt;50,"40-49","50+")))</f>
        <v>50+</v>
      </c>
      <c r="AA504" t="str">
        <f>IF(Table1[[#This Row],[Salary]]&lt;20000000,"low",IF(Table1[[#This Row],[Salary]]&lt;40000000,"medium","high"))</f>
        <v>medium</v>
      </c>
      <c r="AB504">
        <f>YEAR(Table1[[#This Row],[Hire Date]])</f>
        <v>2016</v>
      </c>
      <c r="AC504" t="str">
        <f>TEXT(Table1[[#This Row],[Hire Date]],"mmmm")</f>
        <v>اوت</v>
      </c>
      <c r="AD504" t="str">
        <f>IF(Table1[[#This Row],[Resigned]]="yes","former","active")</f>
        <v>former</v>
      </c>
    </row>
    <row r="505" spans="1:30" x14ac:dyDescent="0.3">
      <c r="A505" t="s">
        <v>1075</v>
      </c>
      <c r="B505" t="s">
        <v>1076</v>
      </c>
      <c r="C505" t="s">
        <v>39</v>
      </c>
      <c r="D505">
        <v>35</v>
      </c>
      <c r="E505" t="s">
        <v>28</v>
      </c>
      <c r="F505" t="s">
        <v>29</v>
      </c>
      <c r="G505" t="s">
        <v>49</v>
      </c>
      <c r="H505" t="s">
        <v>31</v>
      </c>
      <c r="I505" t="s">
        <v>32</v>
      </c>
      <c r="J505" s="1">
        <v>42544</v>
      </c>
      <c r="K505">
        <v>10</v>
      </c>
      <c r="L505">
        <v>15749672</v>
      </c>
      <c r="M505">
        <v>2444369</v>
      </c>
      <c r="N505" t="s">
        <v>33</v>
      </c>
      <c r="O505">
        <v>3.92</v>
      </c>
      <c r="P505">
        <v>75</v>
      </c>
      <c r="Q505">
        <v>2</v>
      </c>
      <c r="R505">
        <v>1</v>
      </c>
      <c r="S505">
        <v>1</v>
      </c>
      <c r="T505" t="s">
        <v>34</v>
      </c>
      <c r="U505" t="s">
        <v>34</v>
      </c>
      <c r="V505" t="s">
        <v>70</v>
      </c>
      <c r="W505" t="s">
        <v>33</v>
      </c>
      <c r="X505" t="s">
        <v>45</v>
      </c>
      <c r="Z505" t="str">
        <f>IF(Table1[[#This Row],[Age]]&lt;30,"20-29",IF(Table1[[#This Row],[Age]]&lt;40,"30-39",IF(Table1[[#This Row],[Age]]&lt;50,"40-49","50+")))</f>
        <v>30-39</v>
      </c>
      <c r="AA505" t="str">
        <f>IF(Table1[[#This Row],[Salary]]&lt;20000000,"low",IF(Table1[[#This Row],[Salary]]&lt;40000000,"medium","high"))</f>
        <v>low</v>
      </c>
      <c r="AB505">
        <f>YEAR(Table1[[#This Row],[Hire Date]])</f>
        <v>2016</v>
      </c>
      <c r="AC505" t="str">
        <f>TEXT(Table1[[#This Row],[Hire Date]],"mmmm")</f>
        <v>ژوئن</v>
      </c>
      <c r="AD505" t="str">
        <f>IF(Table1[[#This Row],[Resigned]]="yes","former","active")</f>
        <v>active</v>
      </c>
    </row>
    <row r="506" spans="1:30" x14ac:dyDescent="0.3">
      <c r="A506" t="s">
        <v>1077</v>
      </c>
      <c r="B506" t="s">
        <v>1078</v>
      </c>
      <c r="C506" t="s">
        <v>27</v>
      </c>
      <c r="D506">
        <v>40</v>
      </c>
      <c r="E506" t="s">
        <v>56</v>
      </c>
      <c r="F506" t="s">
        <v>57</v>
      </c>
      <c r="G506" t="s">
        <v>58</v>
      </c>
      <c r="H506" t="s">
        <v>42</v>
      </c>
      <c r="I506" t="s">
        <v>43</v>
      </c>
      <c r="J506" s="1">
        <v>45442</v>
      </c>
      <c r="K506">
        <v>2</v>
      </c>
      <c r="L506">
        <v>38448710</v>
      </c>
      <c r="M506">
        <v>9176046</v>
      </c>
      <c r="N506" t="s">
        <v>34</v>
      </c>
      <c r="O506">
        <v>4.96</v>
      </c>
      <c r="P506">
        <v>74</v>
      </c>
      <c r="Q506">
        <v>2</v>
      </c>
      <c r="R506">
        <v>2</v>
      </c>
      <c r="S506">
        <v>7</v>
      </c>
      <c r="T506" t="s">
        <v>34</v>
      </c>
      <c r="U506" t="s">
        <v>33</v>
      </c>
      <c r="V506" t="s">
        <v>51</v>
      </c>
      <c r="W506" t="s">
        <v>33</v>
      </c>
      <c r="X506" t="s">
        <v>45</v>
      </c>
      <c r="Y506" t="s">
        <v>60</v>
      </c>
      <c r="Z506" t="str">
        <f>IF(Table1[[#This Row],[Age]]&lt;30,"20-29",IF(Table1[[#This Row],[Age]]&lt;40,"30-39",IF(Table1[[#This Row],[Age]]&lt;50,"40-49","50+")))</f>
        <v>40-49</v>
      </c>
      <c r="AA506" t="str">
        <f>IF(Table1[[#This Row],[Salary]]&lt;20000000,"low",IF(Table1[[#This Row],[Salary]]&lt;40000000,"medium","high"))</f>
        <v>medium</v>
      </c>
      <c r="AB506">
        <f>YEAR(Table1[[#This Row],[Hire Date]])</f>
        <v>2024</v>
      </c>
      <c r="AC506" t="str">
        <f>TEXT(Table1[[#This Row],[Hire Date]],"mmmm")</f>
        <v>مه</v>
      </c>
      <c r="AD506" t="str">
        <f>IF(Table1[[#This Row],[Resigned]]="yes","former","active")</f>
        <v>former</v>
      </c>
    </row>
    <row r="507" spans="1:30" x14ac:dyDescent="0.3">
      <c r="A507" t="s">
        <v>1079</v>
      </c>
      <c r="B507" t="s">
        <v>1080</v>
      </c>
      <c r="C507" t="s">
        <v>27</v>
      </c>
      <c r="D507">
        <v>36</v>
      </c>
      <c r="E507" t="s">
        <v>40</v>
      </c>
      <c r="F507" t="s">
        <v>48</v>
      </c>
      <c r="G507" t="s">
        <v>58</v>
      </c>
      <c r="H507" t="s">
        <v>42</v>
      </c>
      <c r="I507" t="s">
        <v>65</v>
      </c>
      <c r="J507" s="1">
        <v>44572</v>
      </c>
      <c r="K507">
        <v>4</v>
      </c>
      <c r="L507">
        <v>21959495</v>
      </c>
      <c r="M507">
        <v>9546127</v>
      </c>
      <c r="N507" t="s">
        <v>34</v>
      </c>
      <c r="O507">
        <v>4.3099999999999996</v>
      </c>
      <c r="P507">
        <v>40</v>
      </c>
      <c r="Q507">
        <v>5</v>
      </c>
      <c r="R507">
        <v>4</v>
      </c>
      <c r="S507">
        <v>15</v>
      </c>
      <c r="T507" t="s">
        <v>33</v>
      </c>
      <c r="U507" t="s">
        <v>33</v>
      </c>
      <c r="V507" t="s">
        <v>51</v>
      </c>
      <c r="W507" t="s">
        <v>33</v>
      </c>
      <c r="X507" t="s">
        <v>36</v>
      </c>
      <c r="Y507" t="s">
        <v>53</v>
      </c>
      <c r="Z507" t="str">
        <f>IF(Table1[[#This Row],[Age]]&lt;30,"20-29",IF(Table1[[#This Row],[Age]]&lt;40,"30-39",IF(Table1[[#This Row],[Age]]&lt;50,"40-49","50+")))</f>
        <v>30-39</v>
      </c>
      <c r="AA507" t="str">
        <f>IF(Table1[[#This Row],[Salary]]&lt;20000000,"low",IF(Table1[[#This Row],[Salary]]&lt;40000000,"medium","high"))</f>
        <v>medium</v>
      </c>
      <c r="AB507">
        <f>YEAR(Table1[[#This Row],[Hire Date]])</f>
        <v>2022</v>
      </c>
      <c r="AC507" t="str">
        <f>TEXT(Table1[[#This Row],[Hire Date]],"mmmm")</f>
        <v>ژانويه</v>
      </c>
      <c r="AD507" t="str">
        <f>IF(Table1[[#This Row],[Resigned]]="yes","former","active")</f>
        <v>former</v>
      </c>
    </row>
    <row r="508" spans="1:30" x14ac:dyDescent="0.3">
      <c r="A508" t="s">
        <v>1081</v>
      </c>
      <c r="B508" t="s">
        <v>1082</v>
      </c>
      <c r="C508" t="s">
        <v>27</v>
      </c>
      <c r="D508">
        <v>43</v>
      </c>
      <c r="E508" t="s">
        <v>28</v>
      </c>
      <c r="F508" t="s">
        <v>80</v>
      </c>
      <c r="G508" t="s">
        <v>58</v>
      </c>
      <c r="H508" t="s">
        <v>31</v>
      </c>
      <c r="I508" t="s">
        <v>32</v>
      </c>
      <c r="J508" s="1">
        <v>42671</v>
      </c>
      <c r="K508">
        <v>10</v>
      </c>
      <c r="L508">
        <v>52284425</v>
      </c>
      <c r="M508">
        <v>2399732</v>
      </c>
      <c r="N508" t="s">
        <v>33</v>
      </c>
      <c r="O508">
        <v>2.67</v>
      </c>
      <c r="P508">
        <v>49</v>
      </c>
      <c r="Q508">
        <v>3</v>
      </c>
      <c r="R508">
        <v>1</v>
      </c>
      <c r="S508">
        <v>11</v>
      </c>
      <c r="T508" t="s">
        <v>33</v>
      </c>
      <c r="U508" t="s">
        <v>34</v>
      </c>
      <c r="V508" t="s">
        <v>70</v>
      </c>
      <c r="W508" t="s">
        <v>34</v>
      </c>
      <c r="X508" t="s">
        <v>52</v>
      </c>
      <c r="Z508" t="str">
        <f>IF(Table1[[#This Row],[Age]]&lt;30,"20-29",IF(Table1[[#This Row],[Age]]&lt;40,"30-39",IF(Table1[[#This Row],[Age]]&lt;50,"40-49","50+")))</f>
        <v>40-49</v>
      </c>
      <c r="AA508" t="str">
        <f>IF(Table1[[#This Row],[Salary]]&lt;20000000,"low",IF(Table1[[#This Row],[Salary]]&lt;40000000,"medium","high"))</f>
        <v>high</v>
      </c>
      <c r="AB508">
        <f>YEAR(Table1[[#This Row],[Hire Date]])</f>
        <v>2016</v>
      </c>
      <c r="AC508" t="str">
        <f>TEXT(Table1[[#This Row],[Hire Date]],"mmmm")</f>
        <v>اُكتبر</v>
      </c>
      <c r="AD508" t="str">
        <f>IF(Table1[[#This Row],[Resigned]]="yes","former","active")</f>
        <v>active</v>
      </c>
    </row>
    <row r="509" spans="1:30" x14ac:dyDescent="0.3">
      <c r="A509" t="s">
        <v>1083</v>
      </c>
      <c r="B509" t="s">
        <v>1084</v>
      </c>
      <c r="C509" t="s">
        <v>39</v>
      </c>
      <c r="D509">
        <v>28</v>
      </c>
      <c r="E509" t="s">
        <v>73</v>
      </c>
      <c r="F509" t="s">
        <v>127</v>
      </c>
      <c r="G509" t="s">
        <v>58</v>
      </c>
      <c r="H509" t="s">
        <v>31</v>
      </c>
      <c r="I509" t="s">
        <v>65</v>
      </c>
      <c r="J509" s="1">
        <v>45863</v>
      </c>
      <c r="K509">
        <v>1</v>
      </c>
      <c r="L509">
        <v>17243326</v>
      </c>
      <c r="M509">
        <v>3132621</v>
      </c>
      <c r="N509" t="s">
        <v>34</v>
      </c>
      <c r="O509">
        <v>2.81</v>
      </c>
      <c r="P509">
        <v>34</v>
      </c>
      <c r="Q509">
        <v>5</v>
      </c>
      <c r="R509">
        <v>1</v>
      </c>
      <c r="S509">
        <v>19</v>
      </c>
      <c r="T509" t="s">
        <v>33</v>
      </c>
      <c r="U509" t="s">
        <v>34</v>
      </c>
      <c r="V509" t="s">
        <v>59</v>
      </c>
      <c r="W509" t="s">
        <v>34</v>
      </c>
      <c r="X509" t="s">
        <v>45</v>
      </c>
      <c r="Z509" t="str">
        <f>IF(Table1[[#This Row],[Age]]&lt;30,"20-29",IF(Table1[[#This Row],[Age]]&lt;40,"30-39",IF(Table1[[#This Row],[Age]]&lt;50,"40-49","50+")))</f>
        <v>20-29</v>
      </c>
      <c r="AA509" t="str">
        <f>IF(Table1[[#This Row],[Salary]]&lt;20000000,"low",IF(Table1[[#This Row],[Salary]]&lt;40000000,"medium","high"))</f>
        <v>low</v>
      </c>
      <c r="AB509">
        <f>YEAR(Table1[[#This Row],[Hire Date]])</f>
        <v>2025</v>
      </c>
      <c r="AC509" t="str">
        <f>TEXT(Table1[[#This Row],[Hire Date]],"mmmm")</f>
        <v>ژوئيه</v>
      </c>
      <c r="AD509" t="str">
        <f>IF(Table1[[#This Row],[Resigned]]="yes","former","active")</f>
        <v>active</v>
      </c>
    </row>
    <row r="510" spans="1:30" x14ac:dyDescent="0.3">
      <c r="A510" t="s">
        <v>1085</v>
      </c>
      <c r="B510" t="s">
        <v>1086</v>
      </c>
      <c r="C510" t="s">
        <v>39</v>
      </c>
      <c r="D510">
        <v>56</v>
      </c>
      <c r="E510" t="s">
        <v>73</v>
      </c>
      <c r="F510" t="s">
        <v>127</v>
      </c>
      <c r="G510" t="s">
        <v>49</v>
      </c>
      <c r="H510" t="s">
        <v>42</v>
      </c>
      <c r="I510" t="s">
        <v>50</v>
      </c>
      <c r="J510" s="1">
        <v>44399</v>
      </c>
      <c r="K510">
        <v>5</v>
      </c>
      <c r="L510">
        <v>26781256</v>
      </c>
      <c r="M510">
        <v>8893323</v>
      </c>
      <c r="N510" t="s">
        <v>34</v>
      </c>
      <c r="O510">
        <v>4.74</v>
      </c>
      <c r="P510">
        <v>74</v>
      </c>
      <c r="Q510">
        <v>4</v>
      </c>
      <c r="R510">
        <v>2</v>
      </c>
      <c r="S510">
        <v>3</v>
      </c>
      <c r="T510" t="s">
        <v>33</v>
      </c>
      <c r="U510" t="s">
        <v>34</v>
      </c>
      <c r="V510" t="s">
        <v>70</v>
      </c>
      <c r="W510" t="s">
        <v>34</v>
      </c>
      <c r="X510" t="s">
        <v>52</v>
      </c>
      <c r="Z510" t="str">
        <f>IF(Table1[[#This Row],[Age]]&lt;30,"20-29",IF(Table1[[#This Row],[Age]]&lt;40,"30-39",IF(Table1[[#This Row],[Age]]&lt;50,"40-49","50+")))</f>
        <v>50+</v>
      </c>
      <c r="AA510" t="str">
        <f>IF(Table1[[#This Row],[Salary]]&lt;20000000,"low",IF(Table1[[#This Row],[Salary]]&lt;40000000,"medium","high"))</f>
        <v>medium</v>
      </c>
      <c r="AB510">
        <f>YEAR(Table1[[#This Row],[Hire Date]])</f>
        <v>2021</v>
      </c>
      <c r="AC510" t="str">
        <f>TEXT(Table1[[#This Row],[Hire Date]],"mmmm")</f>
        <v>ژوئيه</v>
      </c>
      <c r="AD510" t="str">
        <f>IF(Table1[[#This Row],[Resigned]]="yes","former","active")</f>
        <v>active</v>
      </c>
    </row>
    <row r="511" spans="1:30" x14ac:dyDescent="0.3">
      <c r="A511" t="s">
        <v>1087</v>
      </c>
      <c r="B511" t="s">
        <v>1088</v>
      </c>
      <c r="C511" t="s">
        <v>39</v>
      </c>
      <c r="D511">
        <v>50</v>
      </c>
      <c r="E511" t="s">
        <v>40</v>
      </c>
      <c r="F511" t="s">
        <v>48</v>
      </c>
      <c r="G511" t="s">
        <v>30</v>
      </c>
      <c r="H511" t="s">
        <v>42</v>
      </c>
      <c r="I511" t="s">
        <v>50</v>
      </c>
      <c r="J511" s="1">
        <v>43040</v>
      </c>
      <c r="K511">
        <v>9</v>
      </c>
      <c r="L511">
        <v>14467914</v>
      </c>
      <c r="M511">
        <v>6855159</v>
      </c>
      <c r="N511" t="s">
        <v>33</v>
      </c>
      <c r="O511">
        <v>4.22</v>
      </c>
      <c r="P511">
        <v>26</v>
      </c>
      <c r="Q511">
        <v>2</v>
      </c>
      <c r="R511">
        <v>3</v>
      </c>
      <c r="S511">
        <v>16</v>
      </c>
      <c r="T511" t="s">
        <v>34</v>
      </c>
      <c r="U511" t="s">
        <v>34</v>
      </c>
      <c r="V511" t="s">
        <v>59</v>
      </c>
      <c r="W511" t="s">
        <v>33</v>
      </c>
      <c r="X511" t="s">
        <v>52</v>
      </c>
      <c r="Z511" t="str">
        <f>IF(Table1[[#This Row],[Age]]&lt;30,"20-29",IF(Table1[[#This Row],[Age]]&lt;40,"30-39",IF(Table1[[#This Row],[Age]]&lt;50,"40-49","50+")))</f>
        <v>50+</v>
      </c>
      <c r="AA511" t="str">
        <f>IF(Table1[[#This Row],[Salary]]&lt;20000000,"low",IF(Table1[[#This Row],[Salary]]&lt;40000000,"medium","high"))</f>
        <v>low</v>
      </c>
      <c r="AB511">
        <f>YEAR(Table1[[#This Row],[Hire Date]])</f>
        <v>2017</v>
      </c>
      <c r="AC511" t="str">
        <f>TEXT(Table1[[#This Row],[Hire Date]],"mmmm")</f>
        <v>نوامبر</v>
      </c>
      <c r="AD511" t="str">
        <f>IF(Table1[[#This Row],[Resigned]]="yes","former","active")</f>
        <v>active</v>
      </c>
    </row>
    <row r="512" spans="1:30" x14ac:dyDescent="0.3">
      <c r="A512" t="s">
        <v>1089</v>
      </c>
      <c r="B512" t="s">
        <v>1090</v>
      </c>
      <c r="C512" t="s">
        <v>39</v>
      </c>
      <c r="D512">
        <v>43</v>
      </c>
      <c r="E512" t="s">
        <v>28</v>
      </c>
      <c r="F512" t="s">
        <v>29</v>
      </c>
      <c r="G512" t="s">
        <v>49</v>
      </c>
      <c r="H512" t="s">
        <v>31</v>
      </c>
      <c r="I512" t="s">
        <v>81</v>
      </c>
      <c r="J512" s="1">
        <v>45166</v>
      </c>
      <c r="K512">
        <v>3</v>
      </c>
      <c r="L512">
        <v>51769079</v>
      </c>
      <c r="M512">
        <v>1037440</v>
      </c>
      <c r="N512" t="s">
        <v>34</v>
      </c>
      <c r="O512">
        <v>4.5999999999999996</v>
      </c>
      <c r="P512">
        <v>33</v>
      </c>
      <c r="Q512">
        <v>4</v>
      </c>
      <c r="R512">
        <v>5</v>
      </c>
      <c r="S512">
        <v>13</v>
      </c>
      <c r="T512" t="s">
        <v>33</v>
      </c>
      <c r="U512" t="s">
        <v>34</v>
      </c>
      <c r="V512" t="s">
        <v>70</v>
      </c>
      <c r="W512" t="s">
        <v>33</v>
      </c>
      <c r="X512" t="s">
        <v>52</v>
      </c>
      <c r="Z512" t="str">
        <f>IF(Table1[[#This Row],[Age]]&lt;30,"20-29",IF(Table1[[#This Row],[Age]]&lt;40,"30-39",IF(Table1[[#This Row],[Age]]&lt;50,"40-49","50+")))</f>
        <v>40-49</v>
      </c>
      <c r="AA512" t="str">
        <f>IF(Table1[[#This Row],[Salary]]&lt;20000000,"low",IF(Table1[[#This Row],[Salary]]&lt;40000000,"medium","high"))</f>
        <v>high</v>
      </c>
      <c r="AB512">
        <f>YEAR(Table1[[#This Row],[Hire Date]])</f>
        <v>2023</v>
      </c>
      <c r="AC512" t="str">
        <f>TEXT(Table1[[#This Row],[Hire Date]],"mmmm")</f>
        <v>اوت</v>
      </c>
      <c r="AD512" t="str">
        <f>IF(Table1[[#This Row],[Resigned]]="yes","former","active")</f>
        <v>active</v>
      </c>
    </row>
    <row r="513" spans="1:30" x14ac:dyDescent="0.3">
      <c r="A513" t="s">
        <v>1091</v>
      </c>
      <c r="B513" t="s">
        <v>1092</v>
      </c>
      <c r="C513" t="s">
        <v>39</v>
      </c>
      <c r="D513">
        <v>37</v>
      </c>
      <c r="E513" t="s">
        <v>40</v>
      </c>
      <c r="F513" t="s">
        <v>41</v>
      </c>
      <c r="G513" t="s">
        <v>49</v>
      </c>
      <c r="H513" t="s">
        <v>31</v>
      </c>
      <c r="I513" t="s">
        <v>50</v>
      </c>
      <c r="J513" s="1">
        <v>43950</v>
      </c>
      <c r="K513">
        <v>6</v>
      </c>
      <c r="L513">
        <v>52443415</v>
      </c>
      <c r="M513">
        <v>6658327</v>
      </c>
      <c r="N513" t="s">
        <v>34</v>
      </c>
      <c r="O513">
        <v>2.5299999999999998</v>
      </c>
      <c r="P513">
        <v>33</v>
      </c>
      <c r="Q513">
        <v>1</v>
      </c>
      <c r="R513">
        <v>1</v>
      </c>
      <c r="S513">
        <v>11</v>
      </c>
      <c r="T513" t="s">
        <v>33</v>
      </c>
      <c r="U513" t="s">
        <v>34</v>
      </c>
      <c r="V513" t="s">
        <v>51</v>
      </c>
      <c r="W513" t="s">
        <v>33</v>
      </c>
      <c r="X513" t="s">
        <v>52</v>
      </c>
      <c r="Z513" t="str">
        <f>IF(Table1[[#This Row],[Age]]&lt;30,"20-29",IF(Table1[[#This Row],[Age]]&lt;40,"30-39",IF(Table1[[#This Row],[Age]]&lt;50,"40-49","50+")))</f>
        <v>30-39</v>
      </c>
      <c r="AA513" t="str">
        <f>IF(Table1[[#This Row],[Salary]]&lt;20000000,"low",IF(Table1[[#This Row],[Salary]]&lt;40000000,"medium","high"))</f>
        <v>high</v>
      </c>
      <c r="AB513">
        <f>YEAR(Table1[[#This Row],[Hire Date]])</f>
        <v>2020</v>
      </c>
      <c r="AC513" t="str">
        <f>TEXT(Table1[[#This Row],[Hire Date]],"mmmm")</f>
        <v>آوريل</v>
      </c>
      <c r="AD513" t="str">
        <f>IF(Table1[[#This Row],[Resigned]]="yes","former","active")</f>
        <v>active</v>
      </c>
    </row>
    <row r="514" spans="1:30" x14ac:dyDescent="0.3">
      <c r="A514" t="s">
        <v>1093</v>
      </c>
      <c r="B514" t="s">
        <v>1094</v>
      </c>
      <c r="C514" t="s">
        <v>27</v>
      </c>
      <c r="D514">
        <v>34</v>
      </c>
      <c r="E514" t="s">
        <v>40</v>
      </c>
      <c r="F514" t="s">
        <v>48</v>
      </c>
      <c r="G514" t="s">
        <v>49</v>
      </c>
      <c r="H514" t="s">
        <v>31</v>
      </c>
      <c r="I514" t="s">
        <v>65</v>
      </c>
      <c r="J514" s="1">
        <v>43039</v>
      </c>
      <c r="K514">
        <v>9</v>
      </c>
      <c r="L514">
        <v>53243523</v>
      </c>
      <c r="M514">
        <v>8842985</v>
      </c>
      <c r="N514" t="s">
        <v>33</v>
      </c>
      <c r="O514">
        <v>4.63</v>
      </c>
      <c r="P514">
        <v>36</v>
      </c>
      <c r="Q514">
        <v>2</v>
      </c>
      <c r="R514">
        <v>4</v>
      </c>
      <c r="S514">
        <v>18</v>
      </c>
      <c r="T514" t="s">
        <v>33</v>
      </c>
      <c r="U514" t="s">
        <v>34</v>
      </c>
      <c r="V514" t="s">
        <v>51</v>
      </c>
      <c r="W514" t="s">
        <v>33</v>
      </c>
      <c r="X514" t="s">
        <v>52</v>
      </c>
      <c r="Z514" t="str">
        <f>IF(Table1[[#This Row],[Age]]&lt;30,"20-29",IF(Table1[[#This Row],[Age]]&lt;40,"30-39",IF(Table1[[#This Row],[Age]]&lt;50,"40-49","50+")))</f>
        <v>30-39</v>
      </c>
      <c r="AA514" t="str">
        <f>IF(Table1[[#This Row],[Salary]]&lt;20000000,"low",IF(Table1[[#This Row],[Salary]]&lt;40000000,"medium","high"))</f>
        <v>high</v>
      </c>
      <c r="AB514">
        <f>YEAR(Table1[[#This Row],[Hire Date]])</f>
        <v>2017</v>
      </c>
      <c r="AC514" t="str">
        <f>TEXT(Table1[[#This Row],[Hire Date]],"mmmm")</f>
        <v>اُكتبر</v>
      </c>
      <c r="AD514" t="str">
        <f>IF(Table1[[#This Row],[Resigned]]="yes","former","active")</f>
        <v>active</v>
      </c>
    </row>
    <row r="515" spans="1:30" x14ac:dyDescent="0.3">
      <c r="A515" t="s">
        <v>1095</v>
      </c>
      <c r="B515" t="s">
        <v>1096</v>
      </c>
      <c r="C515" t="s">
        <v>39</v>
      </c>
      <c r="D515">
        <v>55</v>
      </c>
      <c r="E515" t="s">
        <v>40</v>
      </c>
      <c r="F515" t="s">
        <v>41</v>
      </c>
      <c r="G515" t="s">
        <v>30</v>
      </c>
      <c r="H515" t="s">
        <v>31</v>
      </c>
      <c r="I515" t="s">
        <v>65</v>
      </c>
      <c r="J515" s="1">
        <v>44933</v>
      </c>
      <c r="K515">
        <v>3</v>
      </c>
      <c r="L515">
        <v>19640231</v>
      </c>
      <c r="M515">
        <v>9007839</v>
      </c>
      <c r="N515" t="s">
        <v>33</v>
      </c>
      <c r="O515">
        <v>4.8099999999999996</v>
      </c>
      <c r="P515">
        <v>23</v>
      </c>
      <c r="Q515">
        <v>3</v>
      </c>
      <c r="R515">
        <v>2</v>
      </c>
      <c r="S515">
        <v>11</v>
      </c>
      <c r="T515" t="s">
        <v>33</v>
      </c>
      <c r="U515" t="s">
        <v>34</v>
      </c>
      <c r="V515" t="s">
        <v>70</v>
      </c>
      <c r="W515" t="s">
        <v>33</v>
      </c>
      <c r="X515" t="s">
        <v>45</v>
      </c>
      <c r="Z515" t="str">
        <f>IF(Table1[[#This Row],[Age]]&lt;30,"20-29",IF(Table1[[#This Row],[Age]]&lt;40,"30-39",IF(Table1[[#This Row],[Age]]&lt;50,"40-49","50+")))</f>
        <v>50+</v>
      </c>
      <c r="AA515" t="str">
        <f>IF(Table1[[#This Row],[Salary]]&lt;20000000,"low",IF(Table1[[#This Row],[Salary]]&lt;40000000,"medium","high"))</f>
        <v>low</v>
      </c>
      <c r="AB515">
        <f>YEAR(Table1[[#This Row],[Hire Date]])</f>
        <v>2023</v>
      </c>
      <c r="AC515" t="str">
        <f>TEXT(Table1[[#This Row],[Hire Date]],"mmmm")</f>
        <v>ژانويه</v>
      </c>
      <c r="AD515" t="str">
        <f>IF(Table1[[#This Row],[Resigned]]="yes","former","active")</f>
        <v>active</v>
      </c>
    </row>
    <row r="516" spans="1:30" x14ac:dyDescent="0.3">
      <c r="A516" t="s">
        <v>1097</v>
      </c>
      <c r="B516" t="s">
        <v>1098</v>
      </c>
      <c r="C516" t="s">
        <v>39</v>
      </c>
      <c r="D516">
        <v>24</v>
      </c>
      <c r="E516" t="s">
        <v>28</v>
      </c>
      <c r="F516" t="s">
        <v>80</v>
      </c>
      <c r="G516" t="s">
        <v>49</v>
      </c>
      <c r="H516" t="s">
        <v>31</v>
      </c>
      <c r="I516" t="s">
        <v>81</v>
      </c>
      <c r="J516" s="1">
        <v>44915</v>
      </c>
      <c r="K516">
        <v>4</v>
      </c>
      <c r="L516">
        <v>14721854</v>
      </c>
      <c r="M516">
        <v>6451320</v>
      </c>
      <c r="N516" t="s">
        <v>34</v>
      </c>
      <c r="O516">
        <v>3.27</v>
      </c>
      <c r="P516">
        <v>14</v>
      </c>
      <c r="Q516">
        <v>5</v>
      </c>
      <c r="R516">
        <v>1</v>
      </c>
      <c r="S516">
        <v>9</v>
      </c>
      <c r="T516" t="s">
        <v>34</v>
      </c>
      <c r="U516" t="s">
        <v>34</v>
      </c>
      <c r="V516" t="s">
        <v>35</v>
      </c>
      <c r="W516" t="s">
        <v>34</v>
      </c>
      <c r="X516" t="s">
        <v>36</v>
      </c>
      <c r="Z516" t="str">
        <f>IF(Table1[[#This Row],[Age]]&lt;30,"20-29",IF(Table1[[#This Row],[Age]]&lt;40,"30-39",IF(Table1[[#This Row],[Age]]&lt;50,"40-49","50+")))</f>
        <v>20-29</v>
      </c>
      <c r="AA516" t="str">
        <f>IF(Table1[[#This Row],[Salary]]&lt;20000000,"low",IF(Table1[[#This Row],[Salary]]&lt;40000000,"medium","high"))</f>
        <v>low</v>
      </c>
      <c r="AB516">
        <f>YEAR(Table1[[#This Row],[Hire Date]])</f>
        <v>2022</v>
      </c>
      <c r="AC516" t="str">
        <f>TEXT(Table1[[#This Row],[Hire Date]],"mmmm")</f>
        <v>دسامبر</v>
      </c>
      <c r="AD516" t="str">
        <f>IF(Table1[[#This Row],[Resigned]]="yes","former","active")</f>
        <v>active</v>
      </c>
    </row>
    <row r="517" spans="1:30" x14ac:dyDescent="0.3">
      <c r="A517" t="s">
        <v>1099</v>
      </c>
      <c r="B517" t="s">
        <v>1100</v>
      </c>
      <c r="C517" t="s">
        <v>27</v>
      </c>
      <c r="D517">
        <v>24</v>
      </c>
      <c r="E517" t="s">
        <v>73</v>
      </c>
      <c r="F517" t="s">
        <v>74</v>
      </c>
      <c r="G517" t="s">
        <v>58</v>
      </c>
      <c r="H517" t="s">
        <v>42</v>
      </c>
      <c r="I517" t="s">
        <v>81</v>
      </c>
      <c r="J517" s="1">
        <v>43385</v>
      </c>
      <c r="K517">
        <v>8</v>
      </c>
      <c r="L517">
        <v>50442024</v>
      </c>
      <c r="M517">
        <v>3139391</v>
      </c>
      <c r="N517" t="s">
        <v>33</v>
      </c>
      <c r="O517">
        <v>4.45</v>
      </c>
      <c r="P517">
        <v>61</v>
      </c>
      <c r="Q517">
        <v>2</v>
      </c>
      <c r="R517">
        <v>5</v>
      </c>
      <c r="S517">
        <v>12</v>
      </c>
      <c r="T517" t="s">
        <v>33</v>
      </c>
      <c r="U517" t="s">
        <v>33</v>
      </c>
      <c r="V517" t="s">
        <v>51</v>
      </c>
      <c r="W517" t="s">
        <v>34</v>
      </c>
      <c r="X517" t="s">
        <v>36</v>
      </c>
      <c r="Y517" t="s">
        <v>162</v>
      </c>
      <c r="Z517" t="str">
        <f>IF(Table1[[#This Row],[Age]]&lt;30,"20-29",IF(Table1[[#This Row],[Age]]&lt;40,"30-39",IF(Table1[[#This Row],[Age]]&lt;50,"40-49","50+")))</f>
        <v>20-29</v>
      </c>
      <c r="AA517" t="str">
        <f>IF(Table1[[#This Row],[Salary]]&lt;20000000,"low",IF(Table1[[#This Row],[Salary]]&lt;40000000,"medium","high"))</f>
        <v>high</v>
      </c>
      <c r="AB517">
        <f>YEAR(Table1[[#This Row],[Hire Date]])</f>
        <v>2018</v>
      </c>
      <c r="AC517" t="str">
        <f>TEXT(Table1[[#This Row],[Hire Date]],"mmmm")</f>
        <v>اُكتبر</v>
      </c>
      <c r="AD517" t="str">
        <f>IF(Table1[[#This Row],[Resigned]]="yes","former","active")</f>
        <v>former</v>
      </c>
    </row>
    <row r="518" spans="1:30" x14ac:dyDescent="0.3">
      <c r="A518" t="s">
        <v>1101</v>
      </c>
      <c r="B518" t="s">
        <v>1102</v>
      </c>
      <c r="C518" t="s">
        <v>39</v>
      </c>
      <c r="D518">
        <v>34</v>
      </c>
      <c r="E518" t="s">
        <v>28</v>
      </c>
      <c r="F518" t="s">
        <v>29</v>
      </c>
      <c r="G518" t="s">
        <v>58</v>
      </c>
      <c r="H518" t="s">
        <v>31</v>
      </c>
      <c r="I518" t="s">
        <v>43</v>
      </c>
      <c r="J518" s="1">
        <v>44411</v>
      </c>
      <c r="K518">
        <v>5</v>
      </c>
      <c r="L518">
        <v>27237421</v>
      </c>
      <c r="M518">
        <v>161826</v>
      </c>
      <c r="N518" t="s">
        <v>33</v>
      </c>
      <c r="O518">
        <v>4.74</v>
      </c>
      <c r="P518">
        <v>54</v>
      </c>
      <c r="Q518">
        <v>4</v>
      </c>
      <c r="R518">
        <v>3</v>
      </c>
      <c r="S518">
        <v>19</v>
      </c>
      <c r="T518" t="s">
        <v>33</v>
      </c>
      <c r="U518" t="s">
        <v>34</v>
      </c>
      <c r="V518" t="s">
        <v>70</v>
      </c>
      <c r="W518" t="s">
        <v>33</v>
      </c>
      <c r="X518" t="s">
        <v>36</v>
      </c>
      <c r="Z518" t="str">
        <f>IF(Table1[[#This Row],[Age]]&lt;30,"20-29",IF(Table1[[#This Row],[Age]]&lt;40,"30-39",IF(Table1[[#This Row],[Age]]&lt;50,"40-49","50+")))</f>
        <v>30-39</v>
      </c>
      <c r="AA518" t="str">
        <f>IF(Table1[[#This Row],[Salary]]&lt;20000000,"low",IF(Table1[[#This Row],[Salary]]&lt;40000000,"medium","high"))</f>
        <v>medium</v>
      </c>
      <c r="AB518">
        <f>YEAR(Table1[[#This Row],[Hire Date]])</f>
        <v>2021</v>
      </c>
      <c r="AC518" t="str">
        <f>TEXT(Table1[[#This Row],[Hire Date]],"mmmm")</f>
        <v>اوت</v>
      </c>
      <c r="AD518" t="str">
        <f>IF(Table1[[#This Row],[Resigned]]="yes","former","active")</f>
        <v>active</v>
      </c>
    </row>
    <row r="519" spans="1:30" x14ac:dyDescent="0.3">
      <c r="A519" t="s">
        <v>1103</v>
      </c>
      <c r="B519" t="s">
        <v>1104</v>
      </c>
      <c r="C519" t="s">
        <v>39</v>
      </c>
      <c r="D519">
        <v>31</v>
      </c>
      <c r="E519" t="s">
        <v>40</v>
      </c>
      <c r="F519" t="s">
        <v>48</v>
      </c>
      <c r="G519" t="s">
        <v>58</v>
      </c>
      <c r="H519" t="s">
        <v>31</v>
      </c>
      <c r="I519" t="s">
        <v>50</v>
      </c>
      <c r="J519" s="1">
        <v>45701</v>
      </c>
      <c r="K519">
        <v>1</v>
      </c>
      <c r="L519">
        <v>30216109</v>
      </c>
      <c r="M519">
        <v>4461144</v>
      </c>
      <c r="N519" t="s">
        <v>33</v>
      </c>
      <c r="O519">
        <v>2.8</v>
      </c>
      <c r="P519">
        <v>35</v>
      </c>
      <c r="Q519">
        <v>3</v>
      </c>
      <c r="R519">
        <v>5</v>
      </c>
      <c r="S519">
        <v>0</v>
      </c>
      <c r="T519" t="s">
        <v>33</v>
      </c>
      <c r="U519" t="s">
        <v>34</v>
      </c>
      <c r="V519" t="s">
        <v>59</v>
      </c>
      <c r="W519" t="s">
        <v>34</v>
      </c>
      <c r="X519" t="s">
        <v>36</v>
      </c>
      <c r="Z519" t="str">
        <f>IF(Table1[[#This Row],[Age]]&lt;30,"20-29",IF(Table1[[#This Row],[Age]]&lt;40,"30-39",IF(Table1[[#This Row],[Age]]&lt;50,"40-49","50+")))</f>
        <v>30-39</v>
      </c>
      <c r="AA519" t="str">
        <f>IF(Table1[[#This Row],[Salary]]&lt;20000000,"low",IF(Table1[[#This Row],[Salary]]&lt;40000000,"medium","high"))</f>
        <v>medium</v>
      </c>
      <c r="AB519">
        <f>YEAR(Table1[[#This Row],[Hire Date]])</f>
        <v>2025</v>
      </c>
      <c r="AC519" t="str">
        <f>TEXT(Table1[[#This Row],[Hire Date]],"mmmm")</f>
        <v>فوريه</v>
      </c>
      <c r="AD519" t="str">
        <f>IF(Table1[[#This Row],[Resigned]]="yes","former","active")</f>
        <v>active</v>
      </c>
    </row>
    <row r="520" spans="1:30" x14ac:dyDescent="0.3">
      <c r="A520" t="s">
        <v>1105</v>
      </c>
      <c r="B520" t="s">
        <v>1106</v>
      </c>
      <c r="C520" t="s">
        <v>27</v>
      </c>
      <c r="D520">
        <v>58</v>
      </c>
      <c r="E520" t="s">
        <v>40</v>
      </c>
      <c r="F520" t="s">
        <v>48</v>
      </c>
      <c r="G520" t="s">
        <v>49</v>
      </c>
      <c r="H520" t="s">
        <v>42</v>
      </c>
      <c r="I520" t="s">
        <v>81</v>
      </c>
      <c r="J520" s="1">
        <v>42936</v>
      </c>
      <c r="K520">
        <v>9</v>
      </c>
      <c r="L520">
        <v>43054607</v>
      </c>
      <c r="M520">
        <v>4302298</v>
      </c>
      <c r="N520" t="s">
        <v>33</v>
      </c>
      <c r="O520">
        <v>4.72</v>
      </c>
      <c r="P520">
        <v>79</v>
      </c>
      <c r="Q520">
        <v>2</v>
      </c>
      <c r="R520">
        <v>4</v>
      </c>
      <c r="S520">
        <v>16</v>
      </c>
      <c r="T520" t="s">
        <v>34</v>
      </c>
      <c r="U520" t="s">
        <v>34</v>
      </c>
      <c r="V520" t="s">
        <v>35</v>
      </c>
      <c r="W520" t="s">
        <v>33</v>
      </c>
      <c r="X520" t="s">
        <v>45</v>
      </c>
      <c r="Z520" t="str">
        <f>IF(Table1[[#This Row],[Age]]&lt;30,"20-29",IF(Table1[[#This Row],[Age]]&lt;40,"30-39",IF(Table1[[#This Row],[Age]]&lt;50,"40-49","50+")))</f>
        <v>50+</v>
      </c>
      <c r="AA520" t="str">
        <f>IF(Table1[[#This Row],[Salary]]&lt;20000000,"low",IF(Table1[[#This Row],[Salary]]&lt;40000000,"medium","high"))</f>
        <v>high</v>
      </c>
      <c r="AB520">
        <f>YEAR(Table1[[#This Row],[Hire Date]])</f>
        <v>2017</v>
      </c>
      <c r="AC520" t="str">
        <f>TEXT(Table1[[#This Row],[Hire Date]],"mmmm")</f>
        <v>ژوئيه</v>
      </c>
      <c r="AD520" t="str">
        <f>IF(Table1[[#This Row],[Resigned]]="yes","former","active")</f>
        <v>active</v>
      </c>
    </row>
    <row r="521" spans="1:30" x14ac:dyDescent="0.3">
      <c r="A521" t="s">
        <v>1107</v>
      </c>
      <c r="B521" t="s">
        <v>1108</v>
      </c>
      <c r="C521" t="s">
        <v>39</v>
      </c>
      <c r="D521">
        <v>45</v>
      </c>
      <c r="E521" t="s">
        <v>40</v>
      </c>
      <c r="F521" t="s">
        <v>41</v>
      </c>
      <c r="G521" t="s">
        <v>49</v>
      </c>
      <c r="H521" t="s">
        <v>31</v>
      </c>
      <c r="I521" t="s">
        <v>65</v>
      </c>
      <c r="J521" s="1">
        <v>44335</v>
      </c>
      <c r="K521">
        <v>5</v>
      </c>
      <c r="L521">
        <v>22758075</v>
      </c>
      <c r="M521">
        <v>14272</v>
      </c>
      <c r="N521" t="s">
        <v>33</v>
      </c>
      <c r="O521">
        <v>4.3099999999999996</v>
      </c>
      <c r="P521">
        <v>37</v>
      </c>
      <c r="Q521">
        <v>2</v>
      </c>
      <c r="R521">
        <v>5</v>
      </c>
      <c r="S521">
        <v>3</v>
      </c>
      <c r="T521" t="s">
        <v>33</v>
      </c>
      <c r="U521" t="s">
        <v>34</v>
      </c>
      <c r="V521" t="s">
        <v>70</v>
      </c>
      <c r="W521" t="s">
        <v>34</v>
      </c>
      <c r="X521" t="s">
        <v>45</v>
      </c>
      <c r="Z521" t="str">
        <f>IF(Table1[[#This Row],[Age]]&lt;30,"20-29",IF(Table1[[#This Row],[Age]]&lt;40,"30-39",IF(Table1[[#This Row],[Age]]&lt;50,"40-49","50+")))</f>
        <v>40-49</v>
      </c>
      <c r="AA521" t="str">
        <f>IF(Table1[[#This Row],[Salary]]&lt;20000000,"low",IF(Table1[[#This Row],[Salary]]&lt;40000000,"medium","high"))</f>
        <v>medium</v>
      </c>
      <c r="AB521">
        <f>YEAR(Table1[[#This Row],[Hire Date]])</f>
        <v>2021</v>
      </c>
      <c r="AC521" t="str">
        <f>TEXT(Table1[[#This Row],[Hire Date]],"mmmm")</f>
        <v>مه</v>
      </c>
      <c r="AD521" t="str">
        <f>IF(Table1[[#This Row],[Resigned]]="yes","former","active")</f>
        <v>active</v>
      </c>
    </row>
    <row r="522" spans="1:30" x14ac:dyDescent="0.3">
      <c r="A522" t="s">
        <v>1109</v>
      </c>
      <c r="B522" t="s">
        <v>1110</v>
      </c>
      <c r="C522" t="s">
        <v>39</v>
      </c>
      <c r="D522">
        <v>22</v>
      </c>
      <c r="E522" t="s">
        <v>110</v>
      </c>
      <c r="F522" t="s">
        <v>120</v>
      </c>
      <c r="G522" t="s">
        <v>58</v>
      </c>
      <c r="H522" t="s">
        <v>42</v>
      </c>
      <c r="I522" t="s">
        <v>43</v>
      </c>
      <c r="J522" s="1">
        <v>45221</v>
      </c>
      <c r="K522">
        <v>3</v>
      </c>
      <c r="L522">
        <v>16449996</v>
      </c>
      <c r="M522">
        <v>3067999</v>
      </c>
      <c r="N522" t="s">
        <v>34</v>
      </c>
      <c r="O522">
        <v>3.94</v>
      </c>
      <c r="P522">
        <v>63</v>
      </c>
      <c r="Q522">
        <v>2</v>
      </c>
      <c r="R522">
        <v>3</v>
      </c>
      <c r="S522">
        <v>7</v>
      </c>
      <c r="T522" t="s">
        <v>34</v>
      </c>
      <c r="U522" t="s">
        <v>34</v>
      </c>
      <c r="V522" t="s">
        <v>70</v>
      </c>
      <c r="W522" t="s">
        <v>34</v>
      </c>
      <c r="X522" t="s">
        <v>52</v>
      </c>
      <c r="Z522" t="str">
        <f>IF(Table1[[#This Row],[Age]]&lt;30,"20-29",IF(Table1[[#This Row],[Age]]&lt;40,"30-39",IF(Table1[[#This Row],[Age]]&lt;50,"40-49","50+")))</f>
        <v>20-29</v>
      </c>
      <c r="AA522" t="str">
        <f>IF(Table1[[#This Row],[Salary]]&lt;20000000,"low",IF(Table1[[#This Row],[Salary]]&lt;40000000,"medium","high"))</f>
        <v>low</v>
      </c>
      <c r="AB522">
        <f>YEAR(Table1[[#This Row],[Hire Date]])</f>
        <v>2023</v>
      </c>
      <c r="AC522" t="str">
        <f>TEXT(Table1[[#This Row],[Hire Date]],"mmmm")</f>
        <v>اُكتبر</v>
      </c>
      <c r="AD522" t="str">
        <f>IF(Table1[[#This Row],[Resigned]]="yes","former","active")</f>
        <v>active</v>
      </c>
    </row>
    <row r="523" spans="1:30" x14ac:dyDescent="0.3">
      <c r="A523" t="s">
        <v>1111</v>
      </c>
      <c r="B523" t="s">
        <v>1112</v>
      </c>
      <c r="C523" t="s">
        <v>39</v>
      </c>
      <c r="D523">
        <v>48</v>
      </c>
      <c r="E523" t="s">
        <v>28</v>
      </c>
      <c r="F523" t="s">
        <v>29</v>
      </c>
      <c r="G523" t="s">
        <v>58</v>
      </c>
      <c r="H523" t="s">
        <v>31</v>
      </c>
      <c r="I523" t="s">
        <v>43</v>
      </c>
      <c r="J523" s="1">
        <v>43117</v>
      </c>
      <c r="K523">
        <v>8</v>
      </c>
      <c r="L523">
        <v>45399052</v>
      </c>
      <c r="M523">
        <v>175983</v>
      </c>
      <c r="N523" t="s">
        <v>34</v>
      </c>
      <c r="O523">
        <v>3.34</v>
      </c>
      <c r="P523">
        <v>2</v>
      </c>
      <c r="Q523">
        <v>5</v>
      </c>
      <c r="R523">
        <v>4</v>
      </c>
      <c r="S523">
        <v>10</v>
      </c>
      <c r="T523" t="s">
        <v>34</v>
      </c>
      <c r="U523" t="s">
        <v>34</v>
      </c>
      <c r="V523" t="s">
        <v>70</v>
      </c>
      <c r="W523" t="s">
        <v>34</v>
      </c>
      <c r="X523" t="s">
        <v>52</v>
      </c>
      <c r="Z523" t="str">
        <f>IF(Table1[[#This Row],[Age]]&lt;30,"20-29",IF(Table1[[#This Row],[Age]]&lt;40,"30-39",IF(Table1[[#This Row],[Age]]&lt;50,"40-49","50+")))</f>
        <v>40-49</v>
      </c>
      <c r="AA523" t="str">
        <f>IF(Table1[[#This Row],[Salary]]&lt;20000000,"low",IF(Table1[[#This Row],[Salary]]&lt;40000000,"medium","high"))</f>
        <v>high</v>
      </c>
      <c r="AB523">
        <f>YEAR(Table1[[#This Row],[Hire Date]])</f>
        <v>2018</v>
      </c>
      <c r="AC523" t="str">
        <f>TEXT(Table1[[#This Row],[Hire Date]],"mmmm")</f>
        <v>ژانويه</v>
      </c>
      <c r="AD523" t="str">
        <f>IF(Table1[[#This Row],[Resigned]]="yes","former","active")</f>
        <v>active</v>
      </c>
    </row>
    <row r="524" spans="1:30" x14ac:dyDescent="0.3">
      <c r="A524" t="s">
        <v>1113</v>
      </c>
      <c r="B524" t="s">
        <v>1114</v>
      </c>
      <c r="C524" t="s">
        <v>39</v>
      </c>
      <c r="D524">
        <v>47</v>
      </c>
      <c r="E524" t="s">
        <v>40</v>
      </c>
      <c r="F524" t="s">
        <v>48</v>
      </c>
      <c r="G524" t="s">
        <v>30</v>
      </c>
      <c r="H524" t="s">
        <v>31</v>
      </c>
      <c r="I524" t="s">
        <v>32</v>
      </c>
      <c r="J524" s="1">
        <v>45419</v>
      </c>
      <c r="K524">
        <v>2</v>
      </c>
      <c r="L524">
        <v>15701735</v>
      </c>
      <c r="M524">
        <v>8270924</v>
      </c>
      <c r="N524" t="s">
        <v>33</v>
      </c>
      <c r="O524">
        <v>4.83</v>
      </c>
      <c r="P524">
        <v>20</v>
      </c>
      <c r="Q524">
        <v>2</v>
      </c>
      <c r="R524">
        <v>1</v>
      </c>
      <c r="S524">
        <v>20</v>
      </c>
      <c r="T524" t="s">
        <v>33</v>
      </c>
      <c r="U524" t="s">
        <v>34</v>
      </c>
      <c r="V524" t="s">
        <v>35</v>
      </c>
      <c r="W524" t="s">
        <v>33</v>
      </c>
      <c r="X524" t="s">
        <v>45</v>
      </c>
      <c r="Z524" t="str">
        <f>IF(Table1[[#This Row],[Age]]&lt;30,"20-29",IF(Table1[[#This Row],[Age]]&lt;40,"30-39",IF(Table1[[#This Row],[Age]]&lt;50,"40-49","50+")))</f>
        <v>40-49</v>
      </c>
      <c r="AA524" t="str">
        <f>IF(Table1[[#This Row],[Salary]]&lt;20000000,"low",IF(Table1[[#This Row],[Salary]]&lt;40000000,"medium","high"))</f>
        <v>low</v>
      </c>
      <c r="AB524">
        <f>YEAR(Table1[[#This Row],[Hire Date]])</f>
        <v>2024</v>
      </c>
      <c r="AC524" t="str">
        <f>TEXT(Table1[[#This Row],[Hire Date]],"mmmm")</f>
        <v>مه</v>
      </c>
      <c r="AD524" t="str">
        <f>IF(Table1[[#This Row],[Resigned]]="yes","former","active")</f>
        <v>active</v>
      </c>
    </row>
    <row r="525" spans="1:30" x14ac:dyDescent="0.3">
      <c r="A525" t="s">
        <v>1115</v>
      </c>
      <c r="B525" t="s">
        <v>1116</v>
      </c>
      <c r="C525" t="s">
        <v>39</v>
      </c>
      <c r="D525">
        <v>37</v>
      </c>
      <c r="E525" t="s">
        <v>63</v>
      </c>
      <c r="F525" t="s">
        <v>64</v>
      </c>
      <c r="G525" t="s">
        <v>58</v>
      </c>
      <c r="H525" t="s">
        <v>31</v>
      </c>
      <c r="I525" t="s">
        <v>50</v>
      </c>
      <c r="J525" s="1">
        <v>42669</v>
      </c>
      <c r="K525">
        <v>10</v>
      </c>
      <c r="L525">
        <v>37367970</v>
      </c>
      <c r="M525">
        <v>915011</v>
      </c>
      <c r="N525" t="s">
        <v>33</v>
      </c>
      <c r="O525">
        <v>3.64</v>
      </c>
      <c r="P525">
        <v>56</v>
      </c>
      <c r="Q525">
        <v>5</v>
      </c>
      <c r="R525">
        <v>1</v>
      </c>
      <c r="S525">
        <v>8</v>
      </c>
      <c r="T525" t="s">
        <v>33</v>
      </c>
      <c r="U525" t="s">
        <v>34</v>
      </c>
      <c r="V525" t="s">
        <v>44</v>
      </c>
      <c r="W525" t="s">
        <v>33</v>
      </c>
      <c r="X525" t="s">
        <v>36</v>
      </c>
      <c r="Z525" t="str">
        <f>IF(Table1[[#This Row],[Age]]&lt;30,"20-29",IF(Table1[[#This Row],[Age]]&lt;40,"30-39",IF(Table1[[#This Row],[Age]]&lt;50,"40-49","50+")))</f>
        <v>30-39</v>
      </c>
      <c r="AA525" t="str">
        <f>IF(Table1[[#This Row],[Salary]]&lt;20000000,"low",IF(Table1[[#This Row],[Salary]]&lt;40000000,"medium","high"))</f>
        <v>medium</v>
      </c>
      <c r="AB525">
        <f>YEAR(Table1[[#This Row],[Hire Date]])</f>
        <v>2016</v>
      </c>
      <c r="AC525" t="str">
        <f>TEXT(Table1[[#This Row],[Hire Date]],"mmmm")</f>
        <v>اُكتبر</v>
      </c>
      <c r="AD525" t="str">
        <f>IF(Table1[[#This Row],[Resigned]]="yes","former","active")</f>
        <v>active</v>
      </c>
    </row>
    <row r="526" spans="1:30" x14ac:dyDescent="0.3">
      <c r="A526" t="s">
        <v>1117</v>
      </c>
      <c r="B526" t="s">
        <v>1118</v>
      </c>
      <c r="C526" t="s">
        <v>39</v>
      </c>
      <c r="D526">
        <v>43</v>
      </c>
      <c r="E526" t="s">
        <v>73</v>
      </c>
      <c r="F526" t="s">
        <v>127</v>
      </c>
      <c r="G526" t="s">
        <v>58</v>
      </c>
      <c r="H526" t="s">
        <v>42</v>
      </c>
      <c r="I526" t="s">
        <v>65</v>
      </c>
      <c r="J526" s="1">
        <v>43743</v>
      </c>
      <c r="K526">
        <v>7</v>
      </c>
      <c r="L526">
        <v>24337994</v>
      </c>
      <c r="M526">
        <v>2803621</v>
      </c>
      <c r="N526" t="s">
        <v>33</v>
      </c>
      <c r="O526">
        <v>3.14</v>
      </c>
      <c r="P526">
        <v>55</v>
      </c>
      <c r="Q526">
        <v>2</v>
      </c>
      <c r="R526">
        <v>1</v>
      </c>
      <c r="S526">
        <v>4</v>
      </c>
      <c r="T526" t="s">
        <v>33</v>
      </c>
      <c r="U526" t="s">
        <v>33</v>
      </c>
      <c r="V526" t="s">
        <v>59</v>
      </c>
      <c r="W526" t="s">
        <v>33</v>
      </c>
      <c r="X526" t="s">
        <v>45</v>
      </c>
      <c r="Y526" t="s">
        <v>75</v>
      </c>
      <c r="Z526" t="str">
        <f>IF(Table1[[#This Row],[Age]]&lt;30,"20-29",IF(Table1[[#This Row],[Age]]&lt;40,"30-39",IF(Table1[[#This Row],[Age]]&lt;50,"40-49","50+")))</f>
        <v>40-49</v>
      </c>
      <c r="AA526" t="str">
        <f>IF(Table1[[#This Row],[Salary]]&lt;20000000,"low",IF(Table1[[#This Row],[Salary]]&lt;40000000,"medium","high"))</f>
        <v>medium</v>
      </c>
      <c r="AB526">
        <f>YEAR(Table1[[#This Row],[Hire Date]])</f>
        <v>2019</v>
      </c>
      <c r="AC526" t="str">
        <f>TEXT(Table1[[#This Row],[Hire Date]],"mmmm")</f>
        <v>اُكتبر</v>
      </c>
      <c r="AD526" t="str">
        <f>IF(Table1[[#This Row],[Resigned]]="yes","former","active")</f>
        <v>former</v>
      </c>
    </row>
    <row r="527" spans="1:30" x14ac:dyDescent="0.3">
      <c r="A527" t="s">
        <v>1119</v>
      </c>
      <c r="B527" t="s">
        <v>1120</v>
      </c>
      <c r="C527" t="s">
        <v>27</v>
      </c>
      <c r="D527">
        <v>25</v>
      </c>
      <c r="E527" t="s">
        <v>73</v>
      </c>
      <c r="F527" t="s">
        <v>74</v>
      </c>
      <c r="G527" t="s">
        <v>49</v>
      </c>
      <c r="H527" t="s">
        <v>31</v>
      </c>
      <c r="I527" t="s">
        <v>65</v>
      </c>
      <c r="J527" s="1">
        <v>45836</v>
      </c>
      <c r="K527">
        <v>1</v>
      </c>
      <c r="L527">
        <v>44874053</v>
      </c>
      <c r="M527">
        <v>5890535</v>
      </c>
      <c r="N527" t="s">
        <v>33</v>
      </c>
      <c r="O527">
        <v>4.75</v>
      </c>
      <c r="P527">
        <v>20</v>
      </c>
      <c r="Q527">
        <v>1</v>
      </c>
      <c r="R527">
        <v>2</v>
      </c>
      <c r="S527">
        <v>19</v>
      </c>
      <c r="T527" t="s">
        <v>33</v>
      </c>
      <c r="U527" t="s">
        <v>34</v>
      </c>
      <c r="V527" t="s">
        <v>51</v>
      </c>
      <c r="W527" t="s">
        <v>34</v>
      </c>
      <c r="X527" t="s">
        <v>52</v>
      </c>
      <c r="Z527" t="str">
        <f>IF(Table1[[#This Row],[Age]]&lt;30,"20-29",IF(Table1[[#This Row],[Age]]&lt;40,"30-39",IF(Table1[[#This Row],[Age]]&lt;50,"40-49","50+")))</f>
        <v>20-29</v>
      </c>
      <c r="AA527" t="str">
        <f>IF(Table1[[#This Row],[Salary]]&lt;20000000,"low",IF(Table1[[#This Row],[Salary]]&lt;40000000,"medium","high"))</f>
        <v>high</v>
      </c>
      <c r="AB527">
        <f>YEAR(Table1[[#This Row],[Hire Date]])</f>
        <v>2025</v>
      </c>
      <c r="AC527" t="str">
        <f>TEXT(Table1[[#This Row],[Hire Date]],"mmmm")</f>
        <v>ژوئن</v>
      </c>
      <c r="AD527" t="str">
        <f>IF(Table1[[#This Row],[Resigned]]="yes","former","active")</f>
        <v>active</v>
      </c>
    </row>
    <row r="528" spans="1:30" x14ac:dyDescent="0.3">
      <c r="A528" t="s">
        <v>1121</v>
      </c>
      <c r="B528" t="s">
        <v>1122</v>
      </c>
      <c r="C528" t="s">
        <v>27</v>
      </c>
      <c r="D528">
        <v>31</v>
      </c>
      <c r="E528" t="s">
        <v>110</v>
      </c>
      <c r="F528" t="s">
        <v>120</v>
      </c>
      <c r="G528" t="s">
        <v>49</v>
      </c>
      <c r="H528" t="s">
        <v>31</v>
      </c>
      <c r="I528" t="s">
        <v>32</v>
      </c>
      <c r="J528" s="1">
        <v>42522</v>
      </c>
      <c r="K528">
        <v>10</v>
      </c>
      <c r="L528">
        <v>45500858</v>
      </c>
      <c r="M528">
        <v>4219133</v>
      </c>
      <c r="N528" t="s">
        <v>34</v>
      </c>
      <c r="O528">
        <v>4.58</v>
      </c>
      <c r="P528">
        <v>62</v>
      </c>
      <c r="Q528">
        <v>4</v>
      </c>
      <c r="R528">
        <v>5</v>
      </c>
      <c r="S528">
        <v>4</v>
      </c>
      <c r="T528" t="s">
        <v>34</v>
      </c>
      <c r="U528" t="s">
        <v>34</v>
      </c>
      <c r="V528" t="s">
        <v>59</v>
      </c>
      <c r="W528" t="s">
        <v>33</v>
      </c>
      <c r="X528" t="s">
        <v>45</v>
      </c>
      <c r="Z528" t="str">
        <f>IF(Table1[[#This Row],[Age]]&lt;30,"20-29",IF(Table1[[#This Row],[Age]]&lt;40,"30-39",IF(Table1[[#This Row],[Age]]&lt;50,"40-49","50+")))</f>
        <v>30-39</v>
      </c>
      <c r="AA528" t="str">
        <f>IF(Table1[[#This Row],[Salary]]&lt;20000000,"low",IF(Table1[[#This Row],[Salary]]&lt;40000000,"medium","high"))</f>
        <v>high</v>
      </c>
      <c r="AB528">
        <f>YEAR(Table1[[#This Row],[Hire Date]])</f>
        <v>2016</v>
      </c>
      <c r="AC528" t="str">
        <f>TEXT(Table1[[#This Row],[Hire Date]],"mmmm")</f>
        <v>ژوئن</v>
      </c>
      <c r="AD528" t="str">
        <f>IF(Table1[[#This Row],[Resigned]]="yes","former","active")</f>
        <v>active</v>
      </c>
    </row>
    <row r="529" spans="1:30" x14ac:dyDescent="0.3">
      <c r="A529" t="s">
        <v>1123</v>
      </c>
      <c r="B529" t="s">
        <v>1124</v>
      </c>
      <c r="C529" t="s">
        <v>39</v>
      </c>
      <c r="D529">
        <v>29</v>
      </c>
      <c r="E529" t="s">
        <v>73</v>
      </c>
      <c r="F529" t="s">
        <v>127</v>
      </c>
      <c r="G529" t="s">
        <v>30</v>
      </c>
      <c r="H529" t="s">
        <v>31</v>
      </c>
      <c r="I529" t="s">
        <v>32</v>
      </c>
      <c r="J529" s="1">
        <v>44116</v>
      </c>
      <c r="K529">
        <v>6</v>
      </c>
      <c r="L529">
        <v>58280657</v>
      </c>
      <c r="M529">
        <v>7659945</v>
      </c>
      <c r="N529" t="s">
        <v>34</v>
      </c>
      <c r="O529">
        <v>3.32</v>
      </c>
      <c r="P529">
        <v>11</v>
      </c>
      <c r="Q529">
        <v>5</v>
      </c>
      <c r="R529">
        <v>4</v>
      </c>
      <c r="S529">
        <v>11</v>
      </c>
      <c r="T529" t="s">
        <v>33</v>
      </c>
      <c r="U529" t="s">
        <v>34</v>
      </c>
      <c r="V529" t="s">
        <v>59</v>
      </c>
      <c r="W529" t="s">
        <v>33</v>
      </c>
      <c r="X529" t="s">
        <v>36</v>
      </c>
      <c r="Z529" t="str">
        <f>IF(Table1[[#This Row],[Age]]&lt;30,"20-29",IF(Table1[[#This Row],[Age]]&lt;40,"30-39",IF(Table1[[#This Row],[Age]]&lt;50,"40-49","50+")))</f>
        <v>20-29</v>
      </c>
      <c r="AA529" t="str">
        <f>IF(Table1[[#This Row],[Salary]]&lt;20000000,"low",IF(Table1[[#This Row],[Salary]]&lt;40000000,"medium","high"))</f>
        <v>high</v>
      </c>
      <c r="AB529">
        <f>YEAR(Table1[[#This Row],[Hire Date]])</f>
        <v>2020</v>
      </c>
      <c r="AC529" t="str">
        <f>TEXT(Table1[[#This Row],[Hire Date]],"mmmm")</f>
        <v>اُكتبر</v>
      </c>
      <c r="AD529" t="str">
        <f>IF(Table1[[#This Row],[Resigned]]="yes","former","active")</f>
        <v>active</v>
      </c>
    </row>
    <row r="530" spans="1:30" x14ac:dyDescent="0.3">
      <c r="A530" t="s">
        <v>1125</v>
      </c>
      <c r="B530" t="s">
        <v>1126</v>
      </c>
      <c r="C530" t="s">
        <v>39</v>
      </c>
      <c r="D530">
        <v>36</v>
      </c>
      <c r="E530" t="s">
        <v>40</v>
      </c>
      <c r="F530" t="s">
        <v>48</v>
      </c>
      <c r="G530" t="s">
        <v>49</v>
      </c>
      <c r="H530" t="s">
        <v>42</v>
      </c>
      <c r="I530" t="s">
        <v>65</v>
      </c>
      <c r="J530" s="1">
        <v>43834</v>
      </c>
      <c r="K530">
        <v>6</v>
      </c>
      <c r="L530">
        <v>23565605</v>
      </c>
      <c r="M530">
        <v>1913905</v>
      </c>
      <c r="N530" t="s">
        <v>34</v>
      </c>
      <c r="O530">
        <v>3.97</v>
      </c>
      <c r="P530">
        <v>56</v>
      </c>
      <c r="Q530">
        <v>2</v>
      </c>
      <c r="R530">
        <v>2</v>
      </c>
      <c r="S530">
        <v>11</v>
      </c>
      <c r="T530" t="s">
        <v>33</v>
      </c>
      <c r="U530" t="s">
        <v>34</v>
      </c>
      <c r="V530" t="s">
        <v>70</v>
      </c>
      <c r="W530" t="s">
        <v>33</v>
      </c>
      <c r="X530" t="s">
        <v>45</v>
      </c>
      <c r="Z530" t="str">
        <f>IF(Table1[[#This Row],[Age]]&lt;30,"20-29",IF(Table1[[#This Row],[Age]]&lt;40,"30-39",IF(Table1[[#This Row],[Age]]&lt;50,"40-49","50+")))</f>
        <v>30-39</v>
      </c>
      <c r="AA530" t="str">
        <f>IF(Table1[[#This Row],[Salary]]&lt;20000000,"low",IF(Table1[[#This Row],[Salary]]&lt;40000000,"medium","high"))</f>
        <v>medium</v>
      </c>
      <c r="AB530">
        <f>YEAR(Table1[[#This Row],[Hire Date]])</f>
        <v>2020</v>
      </c>
      <c r="AC530" t="str">
        <f>TEXT(Table1[[#This Row],[Hire Date]],"mmmm")</f>
        <v>ژانويه</v>
      </c>
      <c r="AD530" t="str">
        <f>IF(Table1[[#This Row],[Resigned]]="yes","former","active")</f>
        <v>active</v>
      </c>
    </row>
    <row r="531" spans="1:30" x14ac:dyDescent="0.3">
      <c r="A531" t="s">
        <v>1127</v>
      </c>
      <c r="B531" t="s">
        <v>1128</v>
      </c>
      <c r="C531" t="s">
        <v>39</v>
      </c>
      <c r="D531">
        <v>58</v>
      </c>
      <c r="E531" t="s">
        <v>73</v>
      </c>
      <c r="F531" t="s">
        <v>127</v>
      </c>
      <c r="G531" t="s">
        <v>30</v>
      </c>
      <c r="H531" t="s">
        <v>42</v>
      </c>
      <c r="I531" t="s">
        <v>65</v>
      </c>
      <c r="J531" s="1">
        <v>43736</v>
      </c>
      <c r="K531">
        <v>7</v>
      </c>
      <c r="L531">
        <v>23475725</v>
      </c>
      <c r="M531">
        <v>9255210</v>
      </c>
      <c r="N531" t="s">
        <v>33</v>
      </c>
      <c r="O531">
        <v>2.79</v>
      </c>
      <c r="P531">
        <v>38</v>
      </c>
      <c r="Q531">
        <v>1</v>
      </c>
      <c r="R531">
        <v>4</v>
      </c>
      <c r="S531">
        <v>10</v>
      </c>
      <c r="T531" t="s">
        <v>34</v>
      </c>
      <c r="U531" t="s">
        <v>34</v>
      </c>
      <c r="V531" t="s">
        <v>44</v>
      </c>
      <c r="W531" t="s">
        <v>34</v>
      </c>
      <c r="X531" t="s">
        <v>52</v>
      </c>
      <c r="Z531" t="str">
        <f>IF(Table1[[#This Row],[Age]]&lt;30,"20-29",IF(Table1[[#This Row],[Age]]&lt;40,"30-39",IF(Table1[[#This Row],[Age]]&lt;50,"40-49","50+")))</f>
        <v>50+</v>
      </c>
      <c r="AA531" t="str">
        <f>IF(Table1[[#This Row],[Salary]]&lt;20000000,"low",IF(Table1[[#This Row],[Salary]]&lt;40000000,"medium","high"))</f>
        <v>medium</v>
      </c>
      <c r="AB531">
        <f>YEAR(Table1[[#This Row],[Hire Date]])</f>
        <v>2019</v>
      </c>
      <c r="AC531" t="str">
        <f>TEXT(Table1[[#This Row],[Hire Date]],"mmmm")</f>
        <v>سپتامبر</v>
      </c>
      <c r="AD531" t="str">
        <f>IF(Table1[[#This Row],[Resigned]]="yes","former","active")</f>
        <v>active</v>
      </c>
    </row>
    <row r="532" spans="1:30" x14ac:dyDescent="0.3">
      <c r="A532" t="s">
        <v>1129</v>
      </c>
      <c r="B532" t="s">
        <v>1130</v>
      </c>
      <c r="C532" t="s">
        <v>39</v>
      </c>
      <c r="D532">
        <v>31</v>
      </c>
      <c r="E532" t="s">
        <v>40</v>
      </c>
      <c r="F532" t="s">
        <v>48</v>
      </c>
      <c r="G532" t="s">
        <v>58</v>
      </c>
      <c r="H532" t="s">
        <v>42</v>
      </c>
      <c r="I532" t="s">
        <v>65</v>
      </c>
      <c r="J532" s="1">
        <v>45065</v>
      </c>
      <c r="K532">
        <v>3</v>
      </c>
      <c r="L532">
        <v>58788637</v>
      </c>
      <c r="M532">
        <v>2409634</v>
      </c>
      <c r="N532" t="s">
        <v>34</v>
      </c>
      <c r="O532">
        <v>2.81</v>
      </c>
      <c r="P532">
        <v>59</v>
      </c>
      <c r="Q532">
        <v>5</v>
      </c>
      <c r="R532">
        <v>3</v>
      </c>
      <c r="S532">
        <v>17</v>
      </c>
      <c r="T532" t="s">
        <v>34</v>
      </c>
      <c r="U532" t="s">
        <v>34</v>
      </c>
      <c r="V532" t="s">
        <v>59</v>
      </c>
      <c r="W532" t="s">
        <v>34</v>
      </c>
      <c r="X532" t="s">
        <v>36</v>
      </c>
      <c r="Z532" t="str">
        <f>IF(Table1[[#This Row],[Age]]&lt;30,"20-29",IF(Table1[[#This Row],[Age]]&lt;40,"30-39",IF(Table1[[#This Row],[Age]]&lt;50,"40-49","50+")))</f>
        <v>30-39</v>
      </c>
      <c r="AA532" t="str">
        <f>IF(Table1[[#This Row],[Salary]]&lt;20000000,"low",IF(Table1[[#This Row],[Salary]]&lt;40000000,"medium","high"))</f>
        <v>high</v>
      </c>
      <c r="AB532">
        <f>YEAR(Table1[[#This Row],[Hire Date]])</f>
        <v>2023</v>
      </c>
      <c r="AC532" t="str">
        <f>TEXT(Table1[[#This Row],[Hire Date]],"mmmm")</f>
        <v>مه</v>
      </c>
      <c r="AD532" t="str">
        <f>IF(Table1[[#This Row],[Resigned]]="yes","former","active")</f>
        <v>active</v>
      </c>
    </row>
    <row r="533" spans="1:30" x14ac:dyDescent="0.3">
      <c r="A533" t="s">
        <v>1131</v>
      </c>
      <c r="B533" t="s">
        <v>1132</v>
      </c>
      <c r="C533" t="s">
        <v>27</v>
      </c>
      <c r="D533">
        <v>37</v>
      </c>
      <c r="E533" t="s">
        <v>56</v>
      </c>
      <c r="F533" t="s">
        <v>84</v>
      </c>
      <c r="G533" t="s">
        <v>30</v>
      </c>
      <c r="H533" t="s">
        <v>42</v>
      </c>
      <c r="I533" t="s">
        <v>81</v>
      </c>
      <c r="J533" s="1">
        <v>43351</v>
      </c>
      <c r="K533">
        <v>8</v>
      </c>
      <c r="L533">
        <v>39979285</v>
      </c>
      <c r="M533">
        <v>6528680</v>
      </c>
      <c r="N533" t="s">
        <v>33</v>
      </c>
      <c r="O533">
        <v>2.7</v>
      </c>
      <c r="P533">
        <v>44</v>
      </c>
      <c r="Q533">
        <v>4</v>
      </c>
      <c r="R533">
        <v>3</v>
      </c>
      <c r="S533">
        <v>20</v>
      </c>
      <c r="T533" t="s">
        <v>34</v>
      </c>
      <c r="U533" t="s">
        <v>34</v>
      </c>
      <c r="V533" t="s">
        <v>35</v>
      </c>
      <c r="W533" t="s">
        <v>34</v>
      </c>
      <c r="X533" t="s">
        <v>45</v>
      </c>
      <c r="Z533" t="str">
        <f>IF(Table1[[#This Row],[Age]]&lt;30,"20-29",IF(Table1[[#This Row],[Age]]&lt;40,"30-39",IF(Table1[[#This Row],[Age]]&lt;50,"40-49","50+")))</f>
        <v>30-39</v>
      </c>
      <c r="AA533" t="str">
        <f>IF(Table1[[#This Row],[Salary]]&lt;20000000,"low",IF(Table1[[#This Row],[Salary]]&lt;40000000,"medium","high"))</f>
        <v>medium</v>
      </c>
      <c r="AB533">
        <f>YEAR(Table1[[#This Row],[Hire Date]])</f>
        <v>2018</v>
      </c>
      <c r="AC533" t="str">
        <f>TEXT(Table1[[#This Row],[Hire Date]],"mmmm")</f>
        <v>سپتامبر</v>
      </c>
      <c r="AD533" t="str">
        <f>IF(Table1[[#This Row],[Resigned]]="yes","former","active")</f>
        <v>active</v>
      </c>
    </row>
    <row r="534" spans="1:30" x14ac:dyDescent="0.3">
      <c r="A534" t="s">
        <v>1133</v>
      </c>
      <c r="B534" t="s">
        <v>1134</v>
      </c>
      <c r="C534" t="s">
        <v>27</v>
      </c>
      <c r="D534">
        <v>30</v>
      </c>
      <c r="E534" t="s">
        <v>110</v>
      </c>
      <c r="F534" t="s">
        <v>120</v>
      </c>
      <c r="G534" t="s">
        <v>58</v>
      </c>
      <c r="H534" t="s">
        <v>42</v>
      </c>
      <c r="I534" t="s">
        <v>81</v>
      </c>
      <c r="J534" s="1">
        <v>45486</v>
      </c>
      <c r="K534">
        <v>2</v>
      </c>
      <c r="L534">
        <v>15387427</v>
      </c>
      <c r="M534">
        <v>2835815</v>
      </c>
      <c r="N534" t="s">
        <v>33</v>
      </c>
      <c r="O534">
        <v>3.18</v>
      </c>
      <c r="P534">
        <v>50</v>
      </c>
      <c r="Q534">
        <v>1</v>
      </c>
      <c r="R534">
        <v>3</v>
      </c>
      <c r="S534">
        <v>3</v>
      </c>
      <c r="T534" t="s">
        <v>33</v>
      </c>
      <c r="U534" t="s">
        <v>34</v>
      </c>
      <c r="V534" t="s">
        <v>44</v>
      </c>
      <c r="W534" t="s">
        <v>33</v>
      </c>
      <c r="X534" t="s">
        <v>36</v>
      </c>
      <c r="Z534" t="str">
        <f>IF(Table1[[#This Row],[Age]]&lt;30,"20-29",IF(Table1[[#This Row],[Age]]&lt;40,"30-39",IF(Table1[[#This Row],[Age]]&lt;50,"40-49","50+")))</f>
        <v>30-39</v>
      </c>
      <c r="AA534" t="str">
        <f>IF(Table1[[#This Row],[Salary]]&lt;20000000,"low",IF(Table1[[#This Row],[Salary]]&lt;40000000,"medium","high"))</f>
        <v>low</v>
      </c>
      <c r="AB534">
        <f>YEAR(Table1[[#This Row],[Hire Date]])</f>
        <v>2024</v>
      </c>
      <c r="AC534" t="str">
        <f>TEXT(Table1[[#This Row],[Hire Date]],"mmmm")</f>
        <v>ژوئيه</v>
      </c>
      <c r="AD534" t="str">
        <f>IF(Table1[[#This Row],[Resigned]]="yes","former","active")</f>
        <v>active</v>
      </c>
    </row>
    <row r="535" spans="1:30" x14ac:dyDescent="0.3">
      <c r="A535" t="s">
        <v>1135</v>
      </c>
      <c r="B535" t="s">
        <v>1136</v>
      </c>
      <c r="C535" t="s">
        <v>27</v>
      </c>
      <c r="D535">
        <v>27</v>
      </c>
      <c r="E535" t="s">
        <v>63</v>
      </c>
      <c r="F535" t="s">
        <v>64</v>
      </c>
      <c r="G535" t="s">
        <v>58</v>
      </c>
      <c r="H535" t="s">
        <v>42</v>
      </c>
      <c r="I535" t="s">
        <v>43</v>
      </c>
      <c r="J535" s="1">
        <v>44620</v>
      </c>
      <c r="K535">
        <v>4</v>
      </c>
      <c r="L535">
        <v>13383634</v>
      </c>
      <c r="M535">
        <v>2060899</v>
      </c>
      <c r="N535" t="s">
        <v>34</v>
      </c>
      <c r="O535">
        <v>4.57</v>
      </c>
      <c r="P535">
        <v>22</v>
      </c>
      <c r="Q535">
        <v>3</v>
      </c>
      <c r="R535">
        <v>4</v>
      </c>
      <c r="S535">
        <v>0</v>
      </c>
      <c r="T535" t="s">
        <v>33</v>
      </c>
      <c r="U535" t="s">
        <v>34</v>
      </c>
      <c r="V535" t="s">
        <v>70</v>
      </c>
      <c r="W535" t="s">
        <v>34</v>
      </c>
      <c r="X535" t="s">
        <v>45</v>
      </c>
      <c r="Z535" t="str">
        <f>IF(Table1[[#This Row],[Age]]&lt;30,"20-29",IF(Table1[[#This Row],[Age]]&lt;40,"30-39",IF(Table1[[#This Row],[Age]]&lt;50,"40-49","50+")))</f>
        <v>20-29</v>
      </c>
      <c r="AA535" t="str">
        <f>IF(Table1[[#This Row],[Salary]]&lt;20000000,"low",IF(Table1[[#This Row],[Salary]]&lt;40000000,"medium","high"))</f>
        <v>low</v>
      </c>
      <c r="AB535">
        <f>YEAR(Table1[[#This Row],[Hire Date]])</f>
        <v>2022</v>
      </c>
      <c r="AC535" t="str">
        <f>TEXT(Table1[[#This Row],[Hire Date]],"mmmm")</f>
        <v>فوريه</v>
      </c>
      <c r="AD535" t="str">
        <f>IF(Table1[[#This Row],[Resigned]]="yes","former","active")</f>
        <v>active</v>
      </c>
    </row>
    <row r="536" spans="1:30" x14ac:dyDescent="0.3">
      <c r="A536" t="s">
        <v>1137</v>
      </c>
      <c r="B536" t="s">
        <v>1138</v>
      </c>
      <c r="C536" t="s">
        <v>27</v>
      </c>
      <c r="D536">
        <v>58</v>
      </c>
      <c r="E536" t="s">
        <v>110</v>
      </c>
      <c r="F536" t="s">
        <v>111</v>
      </c>
      <c r="G536" t="s">
        <v>30</v>
      </c>
      <c r="H536" t="s">
        <v>31</v>
      </c>
      <c r="I536" t="s">
        <v>43</v>
      </c>
      <c r="J536" s="1">
        <v>43741</v>
      </c>
      <c r="K536">
        <v>7</v>
      </c>
      <c r="L536">
        <v>13376605</v>
      </c>
      <c r="M536">
        <v>4531523</v>
      </c>
      <c r="N536" t="s">
        <v>33</v>
      </c>
      <c r="O536">
        <v>4.12</v>
      </c>
      <c r="P536">
        <v>8</v>
      </c>
      <c r="Q536">
        <v>2</v>
      </c>
      <c r="R536">
        <v>1</v>
      </c>
      <c r="S536">
        <v>7</v>
      </c>
      <c r="T536" t="s">
        <v>34</v>
      </c>
      <c r="U536" t="s">
        <v>34</v>
      </c>
      <c r="V536" t="s">
        <v>59</v>
      </c>
      <c r="W536" t="s">
        <v>34</v>
      </c>
      <c r="X536" t="s">
        <v>52</v>
      </c>
      <c r="Z536" t="str">
        <f>IF(Table1[[#This Row],[Age]]&lt;30,"20-29",IF(Table1[[#This Row],[Age]]&lt;40,"30-39",IF(Table1[[#This Row],[Age]]&lt;50,"40-49","50+")))</f>
        <v>50+</v>
      </c>
      <c r="AA536" t="str">
        <f>IF(Table1[[#This Row],[Salary]]&lt;20000000,"low",IF(Table1[[#This Row],[Salary]]&lt;40000000,"medium","high"))</f>
        <v>low</v>
      </c>
      <c r="AB536">
        <f>YEAR(Table1[[#This Row],[Hire Date]])</f>
        <v>2019</v>
      </c>
      <c r="AC536" t="str">
        <f>TEXT(Table1[[#This Row],[Hire Date]],"mmmm")</f>
        <v>اُكتبر</v>
      </c>
      <c r="AD536" t="str">
        <f>IF(Table1[[#This Row],[Resigned]]="yes","former","active")</f>
        <v>active</v>
      </c>
    </row>
    <row r="537" spans="1:30" x14ac:dyDescent="0.3">
      <c r="A537" t="s">
        <v>1139</v>
      </c>
      <c r="B537" t="s">
        <v>1140</v>
      </c>
      <c r="C537" t="s">
        <v>39</v>
      </c>
      <c r="D537">
        <v>45</v>
      </c>
      <c r="E537" t="s">
        <v>40</v>
      </c>
      <c r="F537" t="s">
        <v>48</v>
      </c>
      <c r="G537" t="s">
        <v>30</v>
      </c>
      <c r="H537" t="s">
        <v>31</v>
      </c>
      <c r="I537" t="s">
        <v>65</v>
      </c>
      <c r="J537" s="1">
        <v>43402</v>
      </c>
      <c r="K537">
        <v>8</v>
      </c>
      <c r="L537">
        <v>59192221</v>
      </c>
      <c r="M537">
        <v>5576705</v>
      </c>
      <c r="N537" t="s">
        <v>34</v>
      </c>
      <c r="O537">
        <v>3.56</v>
      </c>
      <c r="P537">
        <v>42</v>
      </c>
      <c r="Q537">
        <v>4</v>
      </c>
      <c r="R537">
        <v>1</v>
      </c>
      <c r="S537">
        <v>14</v>
      </c>
      <c r="T537" t="s">
        <v>33</v>
      </c>
      <c r="U537" t="s">
        <v>34</v>
      </c>
      <c r="V537" t="s">
        <v>44</v>
      </c>
      <c r="W537" t="s">
        <v>33</v>
      </c>
      <c r="X537" t="s">
        <v>52</v>
      </c>
      <c r="Z537" t="str">
        <f>IF(Table1[[#This Row],[Age]]&lt;30,"20-29",IF(Table1[[#This Row],[Age]]&lt;40,"30-39",IF(Table1[[#This Row],[Age]]&lt;50,"40-49","50+")))</f>
        <v>40-49</v>
      </c>
      <c r="AA537" t="str">
        <f>IF(Table1[[#This Row],[Salary]]&lt;20000000,"low",IF(Table1[[#This Row],[Salary]]&lt;40000000,"medium","high"))</f>
        <v>high</v>
      </c>
      <c r="AB537">
        <f>YEAR(Table1[[#This Row],[Hire Date]])</f>
        <v>2018</v>
      </c>
      <c r="AC537" t="str">
        <f>TEXT(Table1[[#This Row],[Hire Date]],"mmmm")</f>
        <v>اُكتبر</v>
      </c>
      <c r="AD537" t="str">
        <f>IF(Table1[[#This Row],[Resigned]]="yes","former","active")</f>
        <v>active</v>
      </c>
    </row>
    <row r="538" spans="1:30" x14ac:dyDescent="0.3">
      <c r="A538" t="s">
        <v>1141</v>
      </c>
      <c r="B538" t="s">
        <v>1142</v>
      </c>
      <c r="C538" t="s">
        <v>39</v>
      </c>
      <c r="D538">
        <v>44</v>
      </c>
      <c r="E538" t="s">
        <v>56</v>
      </c>
      <c r="F538" t="s">
        <v>57</v>
      </c>
      <c r="G538" t="s">
        <v>49</v>
      </c>
      <c r="H538" t="s">
        <v>31</v>
      </c>
      <c r="I538" t="s">
        <v>43</v>
      </c>
      <c r="J538" s="1">
        <v>43055</v>
      </c>
      <c r="K538">
        <v>9</v>
      </c>
      <c r="L538">
        <v>53799852</v>
      </c>
      <c r="M538">
        <v>5571653</v>
      </c>
      <c r="N538" t="s">
        <v>34</v>
      </c>
      <c r="O538">
        <v>3.1</v>
      </c>
      <c r="P538">
        <v>14</v>
      </c>
      <c r="Q538">
        <v>5</v>
      </c>
      <c r="R538">
        <v>4</v>
      </c>
      <c r="S538">
        <v>20</v>
      </c>
      <c r="T538" t="s">
        <v>34</v>
      </c>
      <c r="U538" t="s">
        <v>34</v>
      </c>
      <c r="V538" t="s">
        <v>70</v>
      </c>
      <c r="W538" t="s">
        <v>33</v>
      </c>
      <c r="X538" t="s">
        <v>52</v>
      </c>
      <c r="Z538" t="str">
        <f>IF(Table1[[#This Row],[Age]]&lt;30,"20-29",IF(Table1[[#This Row],[Age]]&lt;40,"30-39",IF(Table1[[#This Row],[Age]]&lt;50,"40-49","50+")))</f>
        <v>40-49</v>
      </c>
      <c r="AA538" t="str">
        <f>IF(Table1[[#This Row],[Salary]]&lt;20000000,"low",IF(Table1[[#This Row],[Salary]]&lt;40000000,"medium","high"))</f>
        <v>high</v>
      </c>
      <c r="AB538">
        <f>YEAR(Table1[[#This Row],[Hire Date]])</f>
        <v>2017</v>
      </c>
      <c r="AC538" t="str">
        <f>TEXT(Table1[[#This Row],[Hire Date]],"mmmm")</f>
        <v>نوامبر</v>
      </c>
      <c r="AD538" t="str">
        <f>IF(Table1[[#This Row],[Resigned]]="yes","former","active")</f>
        <v>active</v>
      </c>
    </row>
    <row r="539" spans="1:30" x14ac:dyDescent="0.3">
      <c r="A539" t="s">
        <v>1143</v>
      </c>
      <c r="B539" t="s">
        <v>1144</v>
      </c>
      <c r="C539" t="s">
        <v>39</v>
      </c>
      <c r="D539">
        <v>27</v>
      </c>
      <c r="E539" t="s">
        <v>28</v>
      </c>
      <c r="F539" t="s">
        <v>29</v>
      </c>
      <c r="G539" t="s">
        <v>30</v>
      </c>
      <c r="H539" t="s">
        <v>31</v>
      </c>
      <c r="I539" t="s">
        <v>81</v>
      </c>
      <c r="J539" s="1">
        <v>43877</v>
      </c>
      <c r="K539">
        <v>6</v>
      </c>
      <c r="L539">
        <v>23126411</v>
      </c>
      <c r="M539">
        <v>9508147</v>
      </c>
      <c r="N539" t="s">
        <v>34</v>
      </c>
      <c r="O539">
        <v>4.6500000000000004</v>
      </c>
      <c r="P539">
        <v>16</v>
      </c>
      <c r="Q539">
        <v>4</v>
      </c>
      <c r="R539">
        <v>4</v>
      </c>
      <c r="S539">
        <v>19</v>
      </c>
      <c r="T539" t="s">
        <v>34</v>
      </c>
      <c r="U539" t="s">
        <v>33</v>
      </c>
      <c r="V539" t="s">
        <v>70</v>
      </c>
      <c r="W539" t="s">
        <v>33</v>
      </c>
      <c r="X539" t="s">
        <v>36</v>
      </c>
      <c r="Y539" t="s">
        <v>162</v>
      </c>
      <c r="Z539" t="str">
        <f>IF(Table1[[#This Row],[Age]]&lt;30,"20-29",IF(Table1[[#This Row],[Age]]&lt;40,"30-39",IF(Table1[[#This Row],[Age]]&lt;50,"40-49","50+")))</f>
        <v>20-29</v>
      </c>
      <c r="AA539" t="str">
        <f>IF(Table1[[#This Row],[Salary]]&lt;20000000,"low",IF(Table1[[#This Row],[Salary]]&lt;40000000,"medium","high"))</f>
        <v>medium</v>
      </c>
      <c r="AB539">
        <f>YEAR(Table1[[#This Row],[Hire Date]])</f>
        <v>2020</v>
      </c>
      <c r="AC539" t="str">
        <f>TEXT(Table1[[#This Row],[Hire Date]],"mmmm")</f>
        <v>فوريه</v>
      </c>
      <c r="AD539" t="str">
        <f>IF(Table1[[#This Row],[Resigned]]="yes","former","active")</f>
        <v>former</v>
      </c>
    </row>
    <row r="540" spans="1:30" x14ac:dyDescent="0.3">
      <c r="A540" t="s">
        <v>1145</v>
      </c>
      <c r="B540" t="s">
        <v>1146</v>
      </c>
      <c r="C540" t="s">
        <v>27</v>
      </c>
      <c r="D540">
        <v>49</v>
      </c>
      <c r="E540" t="s">
        <v>63</v>
      </c>
      <c r="F540" t="s">
        <v>93</v>
      </c>
      <c r="G540" t="s">
        <v>58</v>
      </c>
      <c r="H540" t="s">
        <v>31</v>
      </c>
      <c r="I540" t="s">
        <v>32</v>
      </c>
      <c r="J540" s="1">
        <v>45034</v>
      </c>
      <c r="K540">
        <v>3</v>
      </c>
      <c r="L540">
        <v>59557736</v>
      </c>
      <c r="M540">
        <v>838195</v>
      </c>
      <c r="N540" t="s">
        <v>33</v>
      </c>
      <c r="O540">
        <v>3.97</v>
      </c>
      <c r="P540">
        <v>77</v>
      </c>
      <c r="Q540">
        <v>3</v>
      </c>
      <c r="R540">
        <v>2</v>
      </c>
      <c r="S540">
        <v>11</v>
      </c>
      <c r="T540" t="s">
        <v>33</v>
      </c>
      <c r="U540" t="s">
        <v>34</v>
      </c>
      <c r="V540" t="s">
        <v>44</v>
      </c>
      <c r="W540" t="s">
        <v>33</v>
      </c>
      <c r="X540" t="s">
        <v>45</v>
      </c>
      <c r="Z540" t="str">
        <f>IF(Table1[[#This Row],[Age]]&lt;30,"20-29",IF(Table1[[#This Row],[Age]]&lt;40,"30-39",IF(Table1[[#This Row],[Age]]&lt;50,"40-49","50+")))</f>
        <v>40-49</v>
      </c>
      <c r="AA540" t="str">
        <f>IF(Table1[[#This Row],[Salary]]&lt;20000000,"low",IF(Table1[[#This Row],[Salary]]&lt;40000000,"medium","high"))</f>
        <v>high</v>
      </c>
      <c r="AB540">
        <f>YEAR(Table1[[#This Row],[Hire Date]])</f>
        <v>2023</v>
      </c>
      <c r="AC540" t="str">
        <f>TEXT(Table1[[#This Row],[Hire Date]],"mmmm")</f>
        <v>آوريل</v>
      </c>
      <c r="AD540" t="str">
        <f>IF(Table1[[#This Row],[Resigned]]="yes","former","active")</f>
        <v>active</v>
      </c>
    </row>
    <row r="541" spans="1:30" x14ac:dyDescent="0.3">
      <c r="A541" t="s">
        <v>1147</v>
      </c>
      <c r="B541" t="s">
        <v>1148</v>
      </c>
      <c r="C541" t="s">
        <v>39</v>
      </c>
      <c r="D541">
        <v>50</v>
      </c>
      <c r="E541" t="s">
        <v>73</v>
      </c>
      <c r="F541" t="s">
        <v>127</v>
      </c>
      <c r="G541" t="s">
        <v>58</v>
      </c>
      <c r="H541" t="s">
        <v>42</v>
      </c>
      <c r="I541" t="s">
        <v>81</v>
      </c>
      <c r="J541" s="1">
        <v>44670</v>
      </c>
      <c r="K541">
        <v>4</v>
      </c>
      <c r="L541">
        <v>37402259</v>
      </c>
      <c r="M541">
        <v>8033721</v>
      </c>
      <c r="N541" t="s">
        <v>33</v>
      </c>
      <c r="O541">
        <v>4.7300000000000004</v>
      </c>
      <c r="P541">
        <v>27</v>
      </c>
      <c r="Q541">
        <v>2</v>
      </c>
      <c r="R541">
        <v>4</v>
      </c>
      <c r="S541">
        <v>6</v>
      </c>
      <c r="T541" t="s">
        <v>34</v>
      </c>
      <c r="U541" t="s">
        <v>34</v>
      </c>
      <c r="V541" t="s">
        <v>44</v>
      </c>
      <c r="W541" t="s">
        <v>33</v>
      </c>
      <c r="X541" t="s">
        <v>45</v>
      </c>
      <c r="Z541" t="str">
        <f>IF(Table1[[#This Row],[Age]]&lt;30,"20-29",IF(Table1[[#This Row],[Age]]&lt;40,"30-39",IF(Table1[[#This Row],[Age]]&lt;50,"40-49","50+")))</f>
        <v>50+</v>
      </c>
      <c r="AA541" t="str">
        <f>IF(Table1[[#This Row],[Salary]]&lt;20000000,"low",IF(Table1[[#This Row],[Salary]]&lt;40000000,"medium","high"))</f>
        <v>medium</v>
      </c>
      <c r="AB541">
        <f>YEAR(Table1[[#This Row],[Hire Date]])</f>
        <v>2022</v>
      </c>
      <c r="AC541" t="str">
        <f>TEXT(Table1[[#This Row],[Hire Date]],"mmmm")</f>
        <v>آوريل</v>
      </c>
      <c r="AD541" t="str">
        <f>IF(Table1[[#This Row],[Resigned]]="yes","former","active")</f>
        <v>active</v>
      </c>
    </row>
    <row r="542" spans="1:30" x14ac:dyDescent="0.3">
      <c r="A542" t="s">
        <v>1149</v>
      </c>
      <c r="B542" t="s">
        <v>1150</v>
      </c>
      <c r="C542" t="s">
        <v>39</v>
      </c>
      <c r="D542">
        <v>29</v>
      </c>
      <c r="E542" t="s">
        <v>73</v>
      </c>
      <c r="F542" t="s">
        <v>127</v>
      </c>
      <c r="G542" t="s">
        <v>49</v>
      </c>
      <c r="H542" t="s">
        <v>42</v>
      </c>
      <c r="I542" t="s">
        <v>81</v>
      </c>
      <c r="J542" s="1">
        <v>45648</v>
      </c>
      <c r="K542">
        <v>2</v>
      </c>
      <c r="L542">
        <v>23477498</v>
      </c>
      <c r="M542">
        <v>2985598</v>
      </c>
      <c r="N542" t="s">
        <v>34</v>
      </c>
      <c r="O542">
        <v>3.7</v>
      </c>
      <c r="P542">
        <v>15</v>
      </c>
      <c r="Q542">
        <v>1</v>
      </c>
      <c r="R542">
        <v>2</v>
      </c>
      <c r="S542">
        <v>17</v>
      </c>
      <c r="T542" t="s">
        <v>33</v>
      </c>
      <c r="U542" t="s">
        <v>34</v>
      </c>
      <c r="V542" t="s">
        <v>59</v>
      </c>
      <c r="W542" t="s">
        <v>33</v>
      </c>
      <c r="X542" t="s">
        <v>45</v>
      </c>
      <c r="Z542" t="str">
        <f>IF(Table1[[#This Row],[Age]]&lt;30,"20-29",IF(Table1[[#This Row],[Age]]&lt;40,"30-39",IF(Table1[[#This Row],[Age]]&lt;50,"40-49","50+")))</f>
        <v>20-29</v>
      </c>
      <c r="AA542" t="str">
        <f>IF(Table1[[#This Row],[Salary]]&lt;20000000,"low",IF(Table1[[#This Row],[Salary]]&lt;40000000,"medium","high"))</f>
        <v>medium</v>
      </c>
      <c r="AB542">
        <f>YEAR(Table1[[#This Row],[Hire Date]])</f>
        <v>2024</v>
      </c>
      <c r="AC542" t="str">
        <f>TEXT(Table1[[#This Row],[Hire Date]],"mmmm")</f>
        <v>دسامبر</v>
      </c>
      <c r="AD542" t="str">
        <f>IF(Table1[[#This Row],[Resigned]]="yes","former","active")</f>
        <v>active</v>
      </c>
    </row>
    <row r="543" spans="1:30" x14ac:dyDescent="0.3">
      <c r="A543" t="s">
        <v>1151</v>
      </c>
      <c r="B543" t="s">
        <v>1152</v>
      </c>
      <c r="C543" t="s">
        <v>27</v>
      </c>
      <c r="D543">
        <v>32</v>
      </c>
      <c r="E543" t="s">
        <v>63</v>
      </c>
      <c r="F543" t="s">
        <v>93</v>
      </c>
      <c r="G543" t="s">
        <v>49</v>
      </c>
      <c r="H543" t="s">
        <v>31</v>
      </c>
      <c r="I543" t="s">
        <v>32</v>
      </c>
      <c r="J543" s="1">
        <v>45300</v>
      </c>
      <c r="K543">
        <v>2</v>
      </c>
      <c r="L543">
        <v>56120666</v>
      </c>
      <c r="M543">
        <v>1181570</v>
      </c>
      <c r="N543" t="s">
        <v>33</v>
      </c>
      <c r="O543">
        <v>4.75</v>
      </c>
      <c r="P543">
        <v>26</v>
      </c>
      <c r="Q543">
        <v>4</v>
      </c>
      <c r="R543">
        <v>5</v>
      </c>
      <c r="S543">
        <v>20</v>
      </c>
      <c r="T543" t="s">
        <v>33</v>
      </c>
      <c r="U543" t="s">
        <v>33</v>
      </c>
      <c r="V543" t="s">
        <v>51</v>
      </c>
      <c r="W543" t="s">
        <v>34</v>
      </c>
      <c r="X543" t="s">
        <v>45</v>
      </c>
      <c r="Y543" t="s">
        <v>53</v>
      </c>
      <c r="Z543" t="str">
        <f>IF(Table1[[#This Row],[Age]]&lt;30,"20-29",IF(Table1[[#This Row],[Age]]&lt;40,"30-39",IF(Table1[[#This Row],[Age]]&lt;50,"40-49","50+")))</f>
        <v>30-39</v>
      </c>
      <c r="AA543" t="str">
        <f>IF(Table1[[#This Row],[Salary]]&lt;20000000,"low",IF(Table1[[#This Row],[Salary]]&lt;40000000,"medium","high"))</f>
        <v>high</v>
      </c>
      <c r="AB543">
        <f>YEAR(Table1[[#This Row],[Hire Date]])</f>
        <v>2024</v>
      </c>
      <c r="AC543" t="str">
        <f>TEXT(Table1[[#This Row],[Hire Date]],"mmmm")</f>
        <v>ژانويه</v>
      </c>
      <c r="AD543" t="str">
        <f>IF(Table1[[#This Row],[Resigned]]="yes","former","active")</f>
        <v>former</v>
      </c>
    </row>
    <row r="544" spans="1:30" x14ac:dyDescent="0.3">
      <c r="A544" t="s">
        <v>1153</v>
      </c>
      <c r="B544" t="s">
        <v>1154</v>
      </c>
      <c r="C544" t="s">
        <v>39</v>
      </c>
      <c r="D544">
        <v>39</v>
      </c>
      <c r="E544" t="s">
        <v>40</v>
      </c>
      <c r="F544" t="s">
        <v>41</v>
      </c>
      <c r="G544" t="s">
        <v>30</v>
      </c>
      <c r="H544" t="s">
        <v>42</v>
      </c>
      <c r="I544" t="s">
        <v>43</v>
      </c>
      <c r="J544" s="1">
        <v>45367</v>
      </c>
      <c r="K544">
        <v>2</v>
      </c>
      <c r="L544">
        <v>57343584</v>
      </c>
      <c r="M544">
        <v>2139881</v>
      </c>
      <c r="N544" t="s">
        <v>33</v>
      </c>
      <c r="O544">
        <v>3.1</v>
      </c>
      <c r="P544">
        <v>12</v>
      </c>
      <c r="Q544">
        <v>1</v>
      </c>
      <c r="R544">
        <v>5</v>
      </c>
      <c r="S544">
        <v>6</v>
      </c>
      <c r="T544" t="s">
        <v>33</v>
      </c>
      <c r="U544" t="s">
        <v>34</v>
      </c>
      <c r="V544" t="s">
        <v>35</v>
      </c>
      <c r="W544" t="s">
        <v>33</v>
      </c>
      <c r="X544" t="s">
        <v>45</v>
      </c>
      <c r="Z544" t="str">
        <f>IF(Table1[[#This Row],[Age]]&lt;30,"20-29",IF(Table1[[#This Row],[Age]]&lt;40,"30-39",IF(Table1[[#This Row],[Age]]&lt;50,"40-49","50+")))</f>
        <v>30-39</v>
      </c>
      <c r="AA544" t="str">
        <f>IF(Table1[[#This Row],[Salary]]&lt;20000000,"low",IF(Table1[[#This Row],[Salary]]&lt;40000000,"medium","high"))</f>
        <v>high</v>
      </c>
      <c r="AB544">
        <f>YEAR(Table1[[#This Row],[Hire Date]])</f>
        <v>2024</v>
      </c>
      <c r="AC544" t="str">
        <f>TEXT(Table1[[#This Row],[Hire Date]],"mmmm")</f>
        <v>مارس</v>
      </c>
      <c r="AD544" t="str">
        <f>IF(Table1[[#This Row],[Resigned]]="yes","former","active")</f>
        <v>active</v>
      </c>
    </row>
    <row r="545" spans="1:30" x14ac:dyDescent="0.3">
      <c r="A545" t="s">
        <v>1155</v>
      </c>
      <c r="B545" t="s">
        <v>1156</v>
      </c>
      <c r="C545" t="s">
        <v>27</v>
      </c>
      <c r="D545">
        <v>39</v>
      </c>
      <c r="E545" t="s">
        <v>56</v>
      </c>
      <c r="F545" t="s">
        <v>84</v>
      </c>
      <c r="G545" t="s">
        <v>49</v>
      </c>
      <c r="H545" t="s">
        <v>31</v>
      </c>
      <c r="I545" t="s">
        <v>43</v>
      </c>
      <c r="J545" s="1">
        <v>44012</v>
      </c>
      <c r="K545">
        <v>6</v>
      </c>
      <c r="L545">
        <v>35585530</v>
      </c>
      <c r="M545">
        <v>4389256</v>
      </c>
      <c r="N545" t="s">
        <v>33</v>
      </c>
      <c r="O545">
        <v>2.72</v>
      </c>
      <c r="P545">
        <v>63</v>
      </c>
      <c r="Q545">
        <v>4</v>
      </c>
      <c r="R545">
        <v>2</v>
      </c>
      <c r="S545">
        <v>3</v>
      </c>
      <c r="T545" t="s">
        <v>33</v>
      </c>
      <c r="U545" t="s">
        <v>34</v>
      </c>
      <c r="V545" t="s">
        <v>51</v>
      </c>
      <c r="W545" t="s">
        <v>33</v>
      </c>
      <c r="X545" t="s">
        <v>45</v>
      </c>
      <c r="Z545" t="str">
        <f>IF(Table1[[#This Row],[Age]]&lt;30,"20-29",IF(Table1[[#This Row],[Age]]&lt;40,"30-39",IF(Table1[[#This Row],[Age]]&lt;50,"40-49","50+")))</f>
        <v>30-39</v>
      </c>
      <c r="AA545" t="str">
        <f>IF(Table1[[#This Row],[Salary]]&lt;20000000,"low",IF(Table1[[#This Row],[Salary]]&lt;40000000,"medium","high"))</f>
        <v>medium</v>
      </c>
      <c r="AB545">
        <f>YEAR(Table1[[#This Row],[Hire Date]])</f>
        <v>2020</v>
      </c>
      <c r="AC545" t="str">
        <f>TEXT(Table1[[#This Row],[Hire Date]],"mmmm")</f>
        <v>ژوئن</v>
      </c>
      <c r="AD545" t="str">
        <f>IF(Table1[[#This Row],[Resigned]]="yes","former","active")</f>
        <v>active</v>
      </c>
    </row>
    <row r="546" spans="1:30" x14ac:dyDescent="0.3">
      <c r="A546" t="s">
        <v>1157</v>
      </c>
      <c r="B546" t="s">
        <v>1158</v>
      </c>
      <c r="C546" t="s">
        <v>39</v>
      </c>
      <c r="D546">
        <v>43</v>
      </c>
      <c r="E546" t="s">
        <v>73</v>
      </c>
      <c r="F546" t="s">
        <v>127</v>
      </c>
      <c r="G546" t="s">
        <v>30</v>
      </c>
      <c r="H546" t="s">
        <v>31</v>
      </c>
      <c r="I546" t="s">
        <v>50</v>
      </c>
      <c r="J546" s="1">
        <v>45824</v>
      </c>
      <c r="K546">
        <v>1</v>
      </c>
      <c r="L546">
        <v>32351072</v>
      </c>
      <c r="M546">
        <v>6280291</v>
      </c>
      <c r="N546" t="s">
        <v>33</v>
      </c>
      <c r="O546">
        <v>2.78</v>
      </c>
      <c r="P546">
        <v>55</v>
      </c>
      <c r="Q546">
        <v>4</v>
      </c>
      <c r="R546">
        <v>1</v>
      </c>
      <c r="S546">
        <v>17</v>
      </c>
      <c r="T546" t="s">
        <v>33</v>
      </c>
      <c r="U546" t="s">
        <v>34</v>
      </c>
      <c r="V546" t="s">
        <v>44</v>
      </c>
      <c r="W546" t="s">
        <v>33</v>
      </c>
      <c r="X546" t="s">
        <v>52</v>
      </c>
      <c r="Z546" t="str">
        <f>IF(Table1[[#This Row],[Age]]&lt;30,"20-29",IF(Table1[[#This Row],[Age]]&lt;40,"30-39",IF(Table1[[#This Row],[Age]]&lt;50,"40-49","50+")))</f>
        <v>40-49</v>
      </c>
      <c r="AA546" t="str">
        <f>IF(Table1[[#This Row],[Salary]]&lt;20000000,"low",IF(Table1[[#This Row],[Salary]]&lt;40000000,"medium","high"))</f>
        <v>medium</v>
      </c>
      <c r="AB546">
        <f>YEAR(Table1[[#This Row],[Hire Date]])</f>
        <v>2025</v>
      </c>
      <c r="AC546" t="str">
        <f>TEXT(Table1[[#This Row],[Hire Date]],"mmmm")</f>
        <v>ژوئن</v>
      </c>
      <c r="AD546" t="str">
        <f>IF(Table1[[#This Row],[Resigned]]="yes","former","active")</f>
        <v>active</v>
      </c>
    </row>
    <row r="547" spans="1:30" x14ac:dyDescent="0.3">
      <c r="A547" t="s">
        <v>1159</v>
      </c>
      <c r="B547" t="s">
        <v>1160</v>
      </c>
      <c r="C547" t="s">
        <v>39</v>
      </c>
      <c r="D547">
        <v>58</v>
      </c>
      <c r="E547" t="s">
        <v>40</v>
      </c>
      <c r="F547" t="s">
        <v>48</v>
      </c>
      <c r="G547" t="s">
        <v>49</v>
      </c>
      <c r="H547" t="s">
        <v>31</v>
      </c>
      <c r="I547" t="s">
        <v>32</v>
      </c>
      <c r="J547" s="1">
        <v>42581</v>
      </c>
      <c r="K547">
        <v>10</v>
      </c>
      <c r="L547">
        <v>54086054</v>
      </c>
      <c r="M547">
        <v>277157</v>
      </c>
      <c r="N547" t="s">
        <v>34</v>
      </c>
      <c r="O547">
        <v>4.42</v>
      </c>
      <c r="P547">
        <v>8</v>
      </c>
      <c r="Q547">
        <v>5</v>
      </c>
      <c r="R547">
        <v>5</v>
      </c>
      <c r="S547">
        <v>10</v>
      </c>
      <c r="T547" t="s">
        <v>34</v>
      </c>
      <c r="U547" t="s">
        <v>34</v>
      </c>
      <c r="V547" t="s">
        <v>70</v>
      </c>
      <c r="W547" t="s">
        <v>34</v>
      </c>
      <c r="X547" t="s">
        <v>45</v>
      </c>
      <c r="Z547" t="str">
        <f>IF(Table1[[#This Row],[Age]]&lt;30,"20-29",IF(Table1[[#This Row],[Age]]&lt;40,"30-39",IF(Table1[[#This Row],[Age]]&lt;50,"40-49","50+")))</f>
        <v>50+</v>
      </c>
      <c r="AA547" t="str">
        <f>IF(Table1[[#This Row],[Salary]]&lt;20000000,"low",IF(Table1[[#This Row],[Salary]]&lt;40000000,"medium","high"))</f>
        <v>high</v>
      </c>
      <c r="AB547">
        <f>YEAR(Table1[[#This Row],[Hire Date]])</f>
        <v>2016</v>
      </c>
      <c r="AC547" t="str">
        <f>TEXT(Table1[[#This Row],[Hire Date]],"mmmm")</f>
        <v>ژوئيه</v>
      </c>
      <c r="AD547" t="str">
        <f>IF(Table1[[#This Row],[Resigned]]="yes","former","active")</f>
        <v>active</v>
      </c>
    </row>
    <row r="548" spans="1:30" x14ac:dyDescent="0.3">
      <c r="A548" t="s">
        <v>1161</v>
      </c>
      <c r="B548" t="s">
        <v>1162</v>
      </c>
      <c r="C548" t="s">
        <v>39</v>
      </c>
      <c r="D548">
        <v>25</v>
      </c>
      <c r="E548" t="s">
        <v>73</v>
      </c>
      <c r="F548" t="s">
        <v>74</v>
      </c>
      <c r="G548" t="s">
        <v>30</v>
      </c>
      <c r="H548" t="s">
        <v>42</v>
      </c>
      <c r="I548" t="s">
        <v>32</v>
      </c>
      <c r="J548" s="1">
        <v>42834</v>
      </c>
      <c r="K548">
        <v>9</v>
      </c>
      <c r="L548">
        <v>40110777</v>
      </c>
      <c r="M548">
        <v>7105648</v>
      </c>
      <c r="N548" t="s">
        <v>33</v>
      </c>
      <c r="O548">
        <v>2.75</v>
      </c>
      <c r="P548">
        <v>34</v>
      </c>
      <c r="Q548">
        <v>5</v>
      </c>
      <c r="R548">
        <v>2</v>
      </c>
      <c r="S548">
        <v>2</v>
      </c>
      <c r="T548" t="s">
        <v>34</v>
      </c>
      <c r="U548" t="s">
        <v>33</v>
      </c>
      <c r="V548" t="s">
        <v>35</v>
      </c>
      <c r="W548" t="s">
        <v>33</v>
      </c>
      <c r="X548" t="s">
        <v>45</v>
      </c>
      <c r="Y548" t="s">
        <v>53</v>
      </c>
      <c r="Z548" t="str">
        <f>IF(Table1[[#This Row],[Age]]&lt;30,"20-29",IF(Table1[[#This Row],[Age]]&lt;40,"30-39",IF(Table1[[#This Row],[Age]]&lt;50,"40-49","50+")))</f>
        <v>20-29</v>
      </c>
      <c r="AA548" t="str">
        <f>IF(Table1[[#This Row],[Salary]]&lt;20000000,"low",IF(Table1[[#This Row],[Salary]]&lt;40000000,"medium","high"))</f>
        <v>high</v>
      </c>
      <c r="AB548">
        <f>YEAR(Table1[[#This Row],[Hire Date]])</f>
        <v>2017</v>
      </c>
      <c r="AC548" t="str">
        <f>TEXT(Table1[[#This Row],[Hire Date]],"mmmm")</f>
        <v>آوريل</v>
      </c>
      <c r="AD548" t="str">
        <f>IF(Table1[[#This Row],[Resigned]]="yes","former","active")</f>
        <v>former</v>
      </c>
    </row>
    <row r="549" spans="1:30" x14ac:dyDescent="0.3">
      <c r="A549" t="s">
        <v>1163</v>
      </c>
      <c r="B549" t="s">
        <v>1164</v>
      </c>
      <c r="C549" t="s">
        <v>27</v>
      </c>
      <c r="D549">
        <v>49</v>
      </c>
      <c r="E549" t="s">
        <v>110</v>
      </c>
      <c r="F549" t="s">
        <v>111</v>
      </c>
      <c r="G549" t="s">
        <v>58</v>
      </c>
      <c r="H549" t="s">
        <v>31</v>
      </c>
      <c r="I549" t="s">
        <v>50</v>
      </c>
      <c r="J549" s="1">
        <v>45208</v>
      </c>
      <c r="K549">
        <v>3</v>
      </c>
      <c r="L549">
        <v>37806436</v>
      </c>
      <c r="M549">
        <v>5460150</v>
      </c>
      <c r="N549" t="s">
        <v>34</v>
      </c>
      <c r="O549">
        <v>3.33</v>
      </c>
      <c r="P549">
        <v>38</v>
      </c>
      <c r="Q549">
        <v>4</v>
      </c>
      <c r="R549">
        <v>2</v>
      </c>
      <c r="S549">
        <v>11</v>
      </c>
      <c r="T549" t="s">
        <v>34</v>
      </c>
      <c r="U549" t="s">
        <v>34</v>
      </c>
      <c r="V549" t="s">
        <v>51</v>
      </c>
      <c r="W549" t="s">
        <v>34</v>
      </c>
      <c r="X549" t="s">
        <v>36</v>
      </c>
      <c r="Z549" t="str">
        <f>IF(Table1[[#This Row],[Age]]&lt;30,"20-29",IF(Table1[[#This Row],[Age]]&lt;40,"30-39",IF(Table1[[#This Row],[Age]]&lt;50,"40-49","50+")))</f>
        <v>40-49</v>
      </c>
      <c r="AA549" t="str">
        <f>IF(Table1[[#This Row],[Salary]]&lt;20000000,"low",IF(Table1[[#This Row],[Salary]]&lt;40000000,"medium","high"))</f>
        <v>medium</v>
      </c>
      <c r="AB549">
        <f>YEAR(Table1[[#This Row],[Hire Date]])</f>
        <v>2023</v>
      </c>
      <c r="AC549" t="str">
        <f>TEXT(Table1[[#This Row],[Hire Date]],"mmmm")</f>
        <v>اُكتبر</v>
      </c>
      <c r="AD549" t="str">
        <f>IF(Table1[[#This Row],[Resigned]]="yes","former","active")</f>
        <v>active</v>
      </c>
    </row>
    <row r="550" spans="1:30" x14ac:dyDescent="0.3">
      <c r="A550" t="s">
        <v>1165</v>
      </c>
      <c r="B550" t="s">
        <v>1166</v>
      </c>
      <c r="C550" t="s">
        <v>39</v>
      </c>
      <c r="D550">
        <v>43</v>
      </c>
      <c r="E550" t="s">
        <v>63</v>
      </c>
      <c r="F550" t="s">
        <v>93</v>
      </c>
      <c r="G550" t="s">
        <v>30</v>
      </c>
      <c r="H550" t="s">
        <v>42</v>
      </c>
      <c r="I550" t="s">
        <v>32</v>
      </c>
      <c r="J550" s="1">
        <v>44342</v>
      </c>
      <c r="K550">
        <v>5</v>
      </c>
      <c r="L550">
        <v>28631747</v>
      </c>
      <c r="M550">
        <v>1492277</v>
      </c>
      <c r="N550" t="s">
        <v>33</v>
      </c>
      <c r="O550">
        <v>3.81</v>
      </c>
      <c r="P550">
        <v>57</v>
      </c>
      <c r="Q550">
        <v>4</v>
      </c>
      <c r="R550">
        <v>2</v>
      </c>
      <c r="S550">
        <v>4</v>
      </c>
      <c r="T550" t="s">
        <v>34</v>
      </c>
      <c r="U550" t="s">
        <v>34</v>
      </c>
      <c r="V550" t="s">
        <v>51</v>
      </c>
      <c r="W550" t="s">
        <v>33</v>
      </c>
      <c r="X550" t="s">
        <v>36</v>
      </c>
      <c r="Z550" t="str">
        <f>IF(Table1[[#This Row],[Age]]&lt;30,"20-29",IF(Table1[[#This Row],[Age]]&lt;40,"30-39",IF(Table1[[#This Row],[Age]]&lt;50,"40-49","50+")))</f>
        <v>40-49</v>
      </c>
      <c r="AA550" t="str">
        <f>IF(Table1[[#This Row],[Salary]]&lt;20000000,"low",IF(Table1[[#This Row],[Salary]]&lt;40000000,"medium","high"))</f>
        <v>medium</v>
      </c>
      <c r="AB550">
        <f>YEAR(Table1[[#This Row],[Hire Date]])</f>
        <v>2021</v>
      </c>
      <c r="AC550" t="str">
        <f>TEXT(Table1[[#This Row],[Hire Date]],"mmmm")</f>
        <v>مه</v>
      </c>
      <c r="AD550" t="str">
        <f>IF(Table1[[#This Row],[Resigned]]="yes","former","active")</f>
        <v>active</v>
      </c>
    </row>
    <row r="551" spans="1:30" x14ac:dyDescent="0.3">
      <c r="A551" t="s">
        <v>1167</v>
      </c>
      <c r="B551" t="s">
        <v>1168</v>
      </c>
      <c r="C551" t="s">
        <v>39</v>
      </c>
      <c r="D551">
        <v>54</v>
      </c>
      <c r="E551" t="s">
        <v>73</v>
      </c>
      <c r="F551" t="s">
        <v>74</v>
      </c>
      <c r="G551" t="s">
        <v>30</v>
      </c>
      <c r="H551" t="s">
        <v>42</v>
      </c>
      <c r="I551" t="s">
        <v>43</v>
      </c>
      <c r="J551" s="1">
        <v>42575</v>
      </c>
      <c r="K551">
        <v>10</v>
      </c>
      <c r="L551">
        <v>21418308</v>
      </c>
      <c r="M551">
        <v>8057426</v>
      </c>
      <c r="N551" t="s">
        <v>33</v>
      </c>
      <c r="O551">
        <v>4.1900000000000004</v>
      </c>
      <c r="P551">
        <v>28</v>
      </c>
      <c r="Q551">
        <v>2</v>
      </c>
      <c r="R551">
        <v>2</v>
      </c>
      <c r="S551">
        <v>0</v>
      </c>
      <c r="T551" t="s">
        <v>34</v>
      </c>
      <c r="U551" t="s">
        <v>34</v>
      </c>
      <c r="V551" t="s">
        <v>35</v>
      </c>
      <c r="W551" t="s">
        <v>33</v>
      </c>
      <c r="X551" t="s">
        <v>36</v>
      </c>
      <c r="Z551" t="str">
        <f>IF(Table1[[#This Row],[Age]]&lt;30,"20-29",IF(Table1[[#This Row],[Age]]&lt;40,"30-39",IF(Table1[[#This Row],[Age]]&lt;50,"40-49","50+")))</f>
        <v>50+</v>
      </c>
      <c r="AA551" t="str">
        <f>IF(Table1[[#This Row],[Salary]]&lt;20000000,"low",IF(Table1[[#This Row],[Salary]]&lt;40000000,"medium","high"))</f>
        <v>medium</v>
      </c>
      <c r="AB551">
        <f>YEAR(Table1[[#This Row],[Hire Date]])</f>
        <v>2016</v>
      </c>
      <c r="AC551" t="str">
        <f>TEXT(Table1[[#This Row],[Hire Date]],"mmmm")</f>
        <v>ژوئيه</v>
      </c>
      <c r="AD551" t="str">
        <f>IF(Table1[[#This Row],[Resigned]]="yes","former","active")</f>
        <v>active</v>
      </c>
    </row>
    <row r="552" spans="1:30" x14ac:dyDescent="0.3">
      <c r="A552" t="s">
        <v>1169</v>
      </c>
      <c r="B552" t="s">
        <v>1170</v>
      </c>
      <c r="C552" t="s">
        <v>27</v>
      </c>
      <c r="D552">
        <v>42</v>
      </c>
      <c r="E552" t="s">
        <v>28</v>
      </c>
      <c r="F552" t="s">
        <v>29</v>
      </c>
      <c r="G552" t="s">
        <v>58</v>
      </c>
      <c r="H552" t="s">
        <v>31</v>
      </c>
      <c r="I552" t="s">
        <v>43</v>
      </c>
      <c r="J552" s="1">
        <v>42545</v>
      </c>
      <c r="K552">
        <v>10</v>
      </c>
      <c r="L552">
        <v>52172325</v>
      </c>
      <c r="M552">
        <v>6053178</v>
      </c>
      <c r="N552" t="s">
        <v>34</v>
      </c>
      <c r="O552">
        <v>4.25</v>
      </c>
      <c r="P552">
        <v>50</v>
      </c>
      <c r="Q552">
        <v>4</v>
      </c>
      <c r="R552">
        <v>1</v>
      </c>
      <c r="S552">
        <v>20</v>
      </c>
      <c r="T552" t="s">
        <v>34</v>
      </c>
      <c r="U552" t="s">
        <v>34</v>
      </c>
      <c r="V552" t="s">
        <v>59</v>
      </c>
      <c r="W552" t="s">
        <v>34</v>
      </c>
      <c r="X552" t="s">
        <v>52</v>
      </c>
      <c r="Z552" t="str">
        <f>IF(Table1[[#This Row],[Age]]&lt;30,"20-29",IF(Table1[[#This Row],[Age]]&lt;40,"30-39",IF(Table1[[#This Row],[Age]]&lt;50,"40-49","50+")))</f>
        <v>40-49</v>
      </c>
      <c r="AA552" t="str">
        <f>IF(Table1[[#This Row],[Salary]]&lt;20000000,"low",IF(Table1[[#This Row],[Salary]]&lt;40000000,"medium","high"))</f>
        <v>high</v>
      </c>
      <c r="AB552">
        <f>YEAR(Table1[[#This Row],[Hire Date]])</f>
        <v>2016</v>
      </c>
      <c r="AC552" t="str">
        <f>TEXT(Table1[[#This Row],[Hire Date]],"mmmm")</f>
        <v>ژوئن</v>
      </c>
      <c r="AD552" t="str">
        <f>IF(Table1[[#This Row],[Resigned]]="yes","former","active")</f>
        <v>active</v>
      </c>
    </row>
    <row r="553" spans="1:30" x14ac:dyDescent="0.3">
      <c r="A553" t="s">
        <v>1171</v>
      </c>
      <c r="B553" t="s">
        <v>1172</v>
      </c>
      <c r="C553" t="s">
        <v>39</v>
      </c>
      <c r="D553">
        <v>25</v>
      </c>
      <c r="E553" t="s">
        <v>28</v>
      </c>
      <c r="F553" t="s">
        <v>80</v>
      </c>
      <c r="G553" t="s">
        <v>49</v>
      </c>
      <c r="H553" t="s">
        <v>31</v>
      </c>
      <c r="I553" t="s">
        <v>43</v>
      </c>
      <c r="J553" s="1">
        <v>42652</v>
      </c>
      <c r="K553">
        <v>10</v>
      </c>
      <c r="L553">
        <v>29628214</v>
      </c>
      <c r="M553">
        <v>6856297</v>
      </c>
      <c r="N553" t="s">
        <v>33</v>
      </c>
      <c r="O553">
        <v>3.48</v>
      </c>
      <c r="P553">
        <v>72</v>
      </c>
      <c r="Q553">
        <v>2</v>
      </c>
      <c r="R553">
        <v>5</v>
      </c>
      <c r="S553">
        <v>18</v>
      </c>
      <c r="T553" t="s">
        <v>34</v>
      </c>
      <c r="U553" t="s">
        <v>34</v>
      </c>
      <c r="V553" t="s">
        <v>59</v>
      </c>
      <c r="W553" t="s">
        <v>34</v>
      </c>
      <c r="X553" t="s">
        <v>52</v>
      </c>
      <c r="Z553" t="str">
        <f>IF(Table1[[#This Row],[Age]]&lt;30,"20-29",IF(Table1[[#This Row],[Age]]&lt;40,"30-39",IF(Table1[[#This Row],[Age]]&lt;50,"40-49","50+")))</f>
        <v>20-29</v>
      </c>
      <c r="AA553" t="str">
        <f>IF(Table1[[#This Row],[Salary]]&lt;20000000,"low",IF(Table1[[#This Row],[Salary]]&lt;40000000,"medium","high"))</f>
        <v>medium</v>
      </c>
      <c r="AB553">
        <f>YEAR(Table1[[#This Row],[Hire Date]])</f>
        <v>2016</v>
      </c>
      <c r="AC553" t="str">
        <f>TEXT(Table1[[#This Row],[Hire Date]],"mmmm")</f>
        <v>اُكتبر</v>
      </c>
      <c r="AD553" t="str">
        <f>IF(Table1[[#This Row],[Resigned]]="yes","former","active")</f>
        <v>active</v>
      </c>
    </row>
    <row r="554" spans="1:30" x14ac:dyDescent="0.3">
      <c r="A554" t="s">
        <v>1173</v>
      </c>
      <c r="B554" t="s">
        <v>1174</v>
      </c>
      <c r="C554" t="s">
        <v>39</v>
      </c>
      <c r="D554">
        <v>33</v>
      </c>
      <c r="E554" t="s">
        <v>56</v>
      </c>
      <c r="F554" t="s">
        <v>84</v>
      </c>
      <c r="G554" t="s">
        <v>49</v>
      </c>
      <c r="H554" t="s">
        <v>31</v>
      </c>
      <c r="I554" t="s">
        <v>32</v>
      </c>
      <c r="J554" s="1">
        <v>42442</v>
      </c>
      <c r="K554">
        <v>10</v>
      </c>
      <c r="L554">
        <v>51793447</v>
      </c>
      <c r="M554">
        <v>1443813</v>
      </c>
      <c r="N554" t="s">
        <v>34</v>
      </c>
      <c r="O554">
        <v>3.53</v>
      </c>
      <c r="P554">
        <v>60</v>
      </c>
      <c r="Q554">
        <v>3</v>
      </c>
      <c r="R554">
        <v>3</v>
      </c>
      <c r="S554">
        <v>8</v>
      </c>
      <c r="T554" t="s">
        <v>34</v>
      </c>
      <c r="U554" t="s">
        <v>34</v>
      </c>
      <c r="V554" t="s">
        <v>59</v>
      </c>
      <c r="W554" t="s">
        <v>33</v>
      </c>
      <c r="X554" t="s">
        <v>45</v>
      </c>
      <c r="Z554" t="str">
        <f>IF(Table1[[#This Row],[Age]]&lt;30,"20-29",IF(Table1[[#This Row],[Age]]&lt;40,"30-39",IF(Table1[[#This Row],[Age]]&lt;50,"40-49","50+")))</f>
        <v>30-39</v>
      </c>
      <c r="AA554" t="str">
        <f>IF(Table1[[#This Row],[Salary]]&lt;20000000,"low",IF(Table1[[#This Row],[Salary]]&lt;40000000,"medium","high"))</f>
        <v>high</v>
      </c>
      <c r="AB554">
        <f>YEAR(Table1[[#This Row],[Hire Date]])</f>
        <v>2016</v>
      </c>
      <c r="AC554" t="str">
        <f>TEXT(Table1[[#This Row],[Hire Date]],"mmmm")</f>
        <v>مارس</v>
      </c>
      <c r="AD554" t="str">
        <f>IF(Table1[[#This Row],[Resigned]]="yes","former","active")</f>
        <v>active</v>
      </c>
    </row>
    <row r="555" spans="1:30" x14ac:dyDescent="0.3">
      <c r="A555" t="s">
        <v>1175</v>
      </c>
      <c r="B555" t="s">
        <v>1176</v>
      </c>
      <c r="C555" t="s">
        <v>39</v>
      </c>
      <c r="D555">
        <v>38</v>
      </c>
      <c r="E555" t="s">
        <v>63</v>
      </c>
      <c r="F555" t="s">
        <v>93</v>
      </c>
      <c r="G555" t="s">
        <v>49</v>
      </c>
      <c r="H555" t="s">
        <v>42</v>
      </c>
      <c r="I555" t="s">
        <v>81</v>
      </c>
      <c r="J555" s="1">
        <v>44860</v>
      </c>
      <c r="K555">
        <v>4</v>
      </c>
      <c r="L555">
        <v>41840868</v>
      </c>
      <c r="M555">
        <v>7107760</v>
      </c>
      <c r="N555" t="s">
        <v>33</v>
      </c>
      <c r="O555">
        <v>2.56</v>
      </c>
      <c r="P555">
        <v>69</v>
      </c>
      <c r="Q555">
        <v>2</v>
      </c>
      <c r="R555">
        <v>4</v>
      </c>
      <c r="S555">
        <v>17</v>
      </c>
      <c r="T555" t="s">
        <v>33</v>
      </c>
      <c r="U555" t="s">
        <v>34</v>
      </c>
      <c r="V555" t="s">
        <v>59</v>
      </c>
      <c r="W555" t="s">
        <v>34</v>
      </c>
      <c r="X555" t="s">
        <v>52</v>
      </c>
      <c r="Z555" t="str">
        <f>IF(Table1[[#This Row],[Age]]&lt;30,"20-29",IF(Table1[[#This Row],[Age]]&lt;40,"30-39",IF(Table1[[#This Row],[Age]]&lt;50,"40-49","50+")))</f>
        <v>30-39</v>
      </c>
      <c r="AA555" t="str">
        <f>IF(Table1[[#This Row],[Salary]]&lt;20000000,"low",IF(Table1[[#This Row],[Salary]]&lt;40000000,"medium","high"))</f>
        <v>high</v>
      </c>
      <c r="AB555">
        <f>YEAR(Table1[[#This Row],[Hire Date]])</f>
        <v>2022</v>
      </c>
      <c r="AC555" t="str">
        <f>TEXT(Table1[[#This Row],[Hire Date]],"mmmm")</f>
        <v>اُكتبر</v>
      </c>
      <c r="AD555" t="str">
        <f>IF(Table1[[#This Row],[Resigned]]="yes","former","active")</f>
        <v>active</v>
      </c>
    </row>
    <row r="556" spans="1:30" x14ac:dyDescent="0.3">
      <c r="A556" t="s">
        <v>1177</v>
      </c>
      <c r="B556" t="s">
        <v>1178</v>
      </c>
      <c r="C556" t="s">
        <v>39</v>
      </c>
      <c r="D556">
        <v>39</v>
      </c>
      <c r="E556" t="s">
        <v>56</v>
      </c>
      <c r="F556" t="s">
        <v>84</v>
      </c>
      <c r="G556" t="s">
        <v>30</v>
      </c>
      <c r="H556" t="s">
        <v>42</v>
      </c>
      <c r="I556" t="s">
        <v>65</v>
      </c>
      <c r="J556" s="1">
        <v>43543</v>
      </c>
      <c r="K556">
        <v>7</v>
      </c>
      <c r="L556">
        <v>12755935</v>
      </c>
      <c r="M556">
        <v>6731984</v>
      </c>
      <c r="N556" t="s">
        <v>34</v>
      </c>
      <c r="O556">
        <v>4.09</v>
      </c>
      <c r="P556">
        <v>58</v>
      </c>
      <c r="Q556">
        <v>3</v>
      </c>
      <c r="R556">
        <v>5</v>
      </c>
      <c r="S556">
        <v>5</v>
      </c>
      <c r="T556" t="s">
        <v>33</v>
      </c>
      <c r="U556" t="s">
        <v>34</v>
      </c>
      <c r="V556" t="s">
        <v>59</v>
      </c>
      <c r="W556" t="s">
        <v>33</v>
      </c>
      <c r="X556" t="s">
        <v>45</v>
      </c>
      <c r="Z556" t="str">
        <f>IF(Table1[[#This Row],[Age]]&lt;30,"20-29",IF(Table1[[#This Row],[Age]]&lt;40,"30-39",IF(Table1[[#This Row],[Age]]&lt;50,"40-49","50+")))</f>
        <v>30-39</v>
      </c>
      <c r="AA556" t="str">
        <f>IF(Table1[[#This Row],[Salary]]&lt;20000000,"low",IF(Table1[[#This Row],[Salary]]&lt;40000000,"medium","high"))</f>
        <v>low</v>
      </c>
      <c r="AB556">
        <f>YEAR(Table1[[#This Row],[Hire Date]])</f>
        <v>2019</v>
      </c>
      <c r="AC556" t="str">
        <f>TEXT(Table1[[#This Row],[Hire Date]],"mmmm")</f>
        <v>مارس</v>
      </c>
      <c r="AD556" t="str">
        <f>IF(Table1[[#This Row],[Resigned]]="yes","former","active")</f>
        <v>active</v>
      </c>
    </row>
    <row r="557" spans="1:30" x14ac:dyDescent="0.3">
      <c r="A557" t="s">
        <v>1179</v>
      </c>
      <c r="B557" t="s">
        <v>1180</v>
      </c>
      <c r="C557" t="s">
        <v>39</v>
      </c>
      <c r="D557">
        <v>50</v>
      </c>
      <c r="E557" t="s">
        <v>110</v>
      </c>
      <c r="F557" t="s">
        <v>120</v>
      </c>
      <c r="G557" t="s">
        <v>30</v>
      </c>
      <c r="H557" t="s">
        <v>31</v>
      </c>
      <c r="I557" t="s">
        <v>43</v>
      </c>
      <c r="J557" s="1">
        <v>42491</v>
      </c>
      <c r="K557">
        <v>10</v>
      </c>
      <c r="L557">
        <v>29497235</v>
      </c>
      <c r="M557">
        <v>2796069</v>
      </c>
      <c r="N557" t="s">
        <v>34</v>
      </c>
      <c r="O557">
        <v>3.19</v>
      </c>
      <c r="P557">
        <v>61</v>
      </c>
      <c r="Q557">
        <v>5</v>
      </c>
      <c r="R557">
        <v>2</v>
      </c>
      <c r="S557">
        <v>11</v>
      </c>
      <c r="T557" t="s">
        <v>34</v>
      </c>
      <c r="U557" t="s">
        <v>34</v>
      </c>
      <c r="V557" t="s">
        <v>51</v>
      </c>
      <c r="W557" t="s">
        <v>33</v>
      </c>
      <c r="X557" t="s">
        <v>36</v>
      </c>
      <c r="Z557" t="str">
        <f>IF(Table1[[#This Row],[Age]]&lt;30,"20-29",IF(Table1[[#This Row],[Age]]&lt;40,"30-39",IF(Table1[[#This Row],[Age]]&lt;50,"40-49","50+")))</f>
        <v>50+</v>
      </c>
      <c r="AA557" t="str">
        <f>IF(Table1[[#This Row],[Salary]]&lt;20000000,"low",IF(Table1[[#This Row],[Salary]]&lt;40000000,"medium","high"))</f>
        <v>medium</v>
      </c>
      <c r="AB557">
        <f>YEAR(Table1[[#This Row],[Hire Date]])</f>
        <v>2016</v>
      </c>
      <c r="AC557" t="str">
        <f>TEXT(Table1[[#This Row],[Hire Date]],"mmmm")</f>
        <v>مه</v>
      </c>
      <c r="AD557" t="str">
        <f>IF(Table1[[#This Row],[Resigned]]="yes","former","active")</f>
        <v>active</v>
      </c>
    </row>
    <row r="558" spans="1:30" x14ac:dyDescent="0.3">
      <c r="A558" t="s">
        <v>1181</v>
      </c>
      <c r="B558" t="s">
        <v>1182</v>
      </c>
      <c r="C558" t="s">
        <v>27</v>
      </c>
      <c r="D558">
        <v>45</v>
      </c>
      <c r="E558" t="s">
        <v>73</v>
      </c>
      <c r="F558" t="s">
        <v>74</v>
      </c>
      <c r="G558" t="s">
        <v>30</v>
      </c>
      <c r="H558" t="s">
        <v>31</v>
      </c>
      <c r="I558" t="s">
        <v>43</v>
      </c>
      <c r="J558" s="1">
        <v>42867</v>
      </c>
      <c r="K558">
        <v>9</v>
      </c>
      <c r="L558">
        <v>51622183</v>
      </c>
      <c r="M558">
        <v>8243922</v>
      </c>
      <c r="N558" t="s">
        <v>34</v>
      </c>
      <c r="O558">
        <v>3.44</v>
      </c>
      <c r="P558">
        <v>9</v>
      </c>
      <c r="Q558">
        <v>2</v>
      </c>
      <c r="R558">
        <v>2</v>
      </c>
      <c r="S558">
        <v>18</v>
      </c>
      <c r="T558" t="s">
        <v>34</v>
      </c>
      <c r="U558" t="s">
        <v>34</v>
      </c>
      <c r="V558" t="s">
        <v>51</v>
      </c>
      <c r="W558" t="s">
        <v>33</v>
      </c>
      <c r="X558" t="s">
        <v>36</v>
      </c>
      <c r="Z558" t="str">
        <f>IF(Table1[[#This Row],[Age]]&lt;30,"20-29",IF(Table1[[#This Row],[Age]]&lt;40,"30-39",IF(Table1[[#This Row],[Age]]&lt;50,"40-49","50+")))</f>
        <v>40-49</v>
      </c>
      <c r="AA558" t="str">
        <f>IF(Table1[[#This Row],[Salary]]&lt;20000000,"low",IF(Table1[[#This Row],[Salary]]&lt;40000000,"medium","high"))</f>
        <v>high</v>
      </c>
      <c r="AB558">
        <f>YEAR(Table1[[#This Row],[Hire Date]])</f>
        <v>2017</v>
      </c>
      <c r="AC558" t="str">
        <f>TEXT(Table1[[#This Row],[Hire Date]],"mmmm")</f>
        <v>مه</v>
      </c>
      <c r="AD558" t="str">
        <f>IF(Table1[[#This Row],[Resigned]]="yes","former","active")</f>
        <v>active</v>
      </c>
    </row>
    <row r="559" spans="1:30" x14ac:dyDescent="0.3">
      <c r="A559" t="s">
        <v>1183</v>
      </c>
      <c r="B559" t="s">
        <v>1184</v>
      </c>
      <c r="C559" t="s">
        <v>39</v>
      </c>
      <c r="D559">
        <v>25</v>
      </c>
      <c r="E559" t="s">
        <v>56</v>
      </c>
      <c r="F559" t="s">
        <v>84</v>
      </c>
      <c r="G559" t="s">
        <v>49</v>
      </c>
      <c r="H559" t="s">
        <v>31</v>
      </c>
      <c r="I559" t="s">
        <v>32</v>
      </c>
      <c r="J559" s="1">
        <v>44714</v>
      </c>
      <c r="K559">
        <v>4</v>
      </c>
      <c r="L559">
        <v>21909086</v>
      </c>
      <c r="M559">
        <v>8900190</v>
      </c>
      <c r="N559" t="s">
        <v>33</v>
      </c>
      <c r="O559">
        <v>4.99</v>
      </c>
      <c r="P559">
        <v>10</v>
      </c>
      <c r="Q559">
        <v>1</v>
      </c>
      <c r="R559">
        <v>2</v>
      </c>
      <c r="S559">
        <v>9</v>
      </c>
      <c r="T559" t="s">
        <v>33</v>
      </c>
      <c r="U559" t="s">
        <v>34</v>
      </c>
      <c r="V559" t="s">
        <v>70</v>
      </c>
      <c r="W559" t="s">
        <v>34</v>
      </c>
      <c r="X559" t="s">
        <v>36</v>
      </c>
      <c r="Z559" t="str">
        <f>IF(Table1[[#This Row],[Age]]&lt;30,"20-29",IF(Table1[[#This Row],[Age]]&lt;40,"30-39",IF(Table1[[#This Row],[Age]]&lt;50,"40-49","50+")))</f>
        <v>20-29</v>
      </c>
      <c r="AA559" t="str">
        <f>IF(Table1[[#This Row],[Salary]]&lt;20000000,"low",IF(Table1[[#This Row],[Salary]]&lt;40000000,"medium","high"))</f>
        <v>medium</v>
      </c>
      <c r="AB559">
        <f>YEAR(Table1[[#This Row],[Hire Date]])</f>
        <v>2022</v>
      </c>
      <c r="AC559" t="str">
        <f>TEXT(Table1[[#This Row],[Hire Date]],"mmmm")</f>
        <v>ژوئن</v>
      </c>
      <c r="AD559" t="str">
        <f>IF(Table1[[#This Row],[Resigned]]="yes","former","active")</f>
        <v>active</v>
      </c>
    </row>
    <row r="560" spans="1:30" x14ac:dyDescent="0.3">
      <c r="A560" t="s">
        <v>1185</v>
      </c>
      <c r="B560" t="s">
        <v>1186</v>
      </c>
      <c r="C560" t="s">
        <v>39</v>
      </c>
      <c r="D560">
        <v>58</v>
      </c>
      <c r="E560" t="s">
        <v>56</v>
      </c>
      <c r="F560" t="s">
        <v>84</v>
      </c>
      <c r="G560" t="s">
        <v>49</v>
      </c>
      <c r="H560" t="s">
        <v>31</v>
      </c>
      <c r="I560" t="s">
        <v>81</v>
      </c>
      <c r="J560" s="1">
        <v>43377</v>
      </c>
      <c r="K560">
        <v>8</v>
      </c>
      <c r="L560">
        <v>37885639</v>
      </c>
      <c r="M560">
        <v>1663551</v>
      </c>
      <c r="N560" t="s">
        <v>34</v>
      </c>
      <c r="O560">
        <v>3.21</v>
      </c>
      <c r="P560">
        <v>10</v>
      </c>
      <c r="Q560">
        <v>1</v>
      </c>
      <c r="R560">
        <v>5</v>
      </c>
      <c r="S560">
        <v>15</v>
      </c>
      <c r="T560" t="s">
        <v>33</v>
      </c>
      <c r="U560" t="s">
        <v>34</v>
      </c>
      <c r="V560" t="s">
        <v>51</v>
      </c>
      <c r="W560" t="s">
        <v>34</v>
      </c>
      <c r="X560" t="s">
        <v>52</v>
      </c>
      <c r="Z560" t="str">
        <f>IF(Table1[[#This Row],[Age]]&lt;30,"20-29",IF(Table1[[#This Row],[Age]]&lt;40,"30-39",IF(Table1[[#This Row],[Age]]&lt;50,"40-49","50+")))</f>
        <v>50+</v>
      </c>
      <c r="AA560" t="str">
        <f>IF(Table1[[#This Row],[Salary]]&lt;20000000,"low",IF(Table1[[#This Row],[Salary]]&lt;40000000,"medium","high"))</f>
        <v>medium</v>
      </c>
      <c r="AB560">
        <f>YEAR(Table1[[#This Row],[Hire Date]])</f>
        <v>2018</v>
      </c>
      <c r="AC560" t="str">
        <f>TEXT(Table1[[#This Row],[Hire Date]],"mmmm")</f>
        <v>اُكتبر</v>
      </c>
      <c r="AD560" t="str">
        <f>IF(Table1[[#This Row],[Resigned]]="yes","former","active")</f>
        <v>active</v>
      </c>
    </row>
    <row r="561" spans="1:30" x14ac:dyDescent="0.3">
      <c r="A561" t="s">
        <v>1187</v>
      </c>
      <c r="B561" t="s">
        <v>1188</v>
      </c>
      <c r="C561" t="s">
        <v>27</v>
      </c>
      <c r="D561">
        <v>38</v>
      </c>
      <c r="E561" t="s">
        <v>40</v>
      </c>
      <c r="F561" t="s">
        <v>41</v>
      </c>
      <c r="G561" t="s">
        <v>30</v>
      </c>
      <c r="H561" t="s">
        <v>31</v>
      </c>
      <c r="I561" t="s">
        <v>81</v>
      </c>
      <c r="J561" s="1">
        <v>42790</v>
      </c>
      <c r="K561">
        <v>9</v>
      </c>
      <c r="L561">
        <v>14886438</v>
      </c>
      <c r="M561">
        <v>3077400</v>
      </c>
      <c r="N561" t="s">
        <v>33</v>
      </c>
      <c r="O561">
        <v>3.12</v>
      </c>
      <c r="P561">
        <v>72</v>
      </c>
      <c r="Q561">
        <v>2</v>
      </c>
      <c r="R561">
        <v>3</v>
      </c>
      <c r="S561">
        <v>15</v>
      </c>
      <c r="T561" t="s">
        <v>33</v>
      </c>
      <c r="U561" t="s">
        <v>34</v>
      </c>
      <c r="V561" t="s">
        <v>70</v>
      </c>
      <c r="W561" t="s">
        <v>34</v>
      </c>
      <c r="X561" t="s">
        <v>45</v>
      </c>
      <c r="Z561" t="str">
        <f>IF(Table1[[#This Row],[Age]]&lt;30,"20-29",IF(Table1[[#This Row],[Age]]&lt;40,"30-39",IF(Table1[[#This Row],[Age]]&lt;50,"40-49","50+")))</f>
        <v>30-39</v>
      </c>
      <c r="AA561" t="str">
        <f>IF(Table1[[#This Row],[Salary]]&lt;20000000,"low",IF(Table1[[#This Row],[Salary]]&lt;40000000,"medium","high"))</f>
        <v>low</v>
      </c>
      <c r="AB561">
        <f>YEAR(Table1[[#This Row],[Hire Date]])</f>
        <v>2017</v>
      </c>
      <c r="AC561" t="str">
        <f>TEXT(Table1[[#This Row],[Hire Date]],"mmmm")</f>
        <v>فوريه</v>
      </c>
      <c r="AD561" t="str">
        <f>IF(Table1[[#This Row],[Resigned]]="yes","former","active")</f>
        <v>active</v>
      </c>
    </row>
    <row r="562" spans="1:30" x14ac:dyDescent="0.3">
      <c r="A562" t="s">
        <v>1189</v>
      </c>
      <c r="B562" t="s">
        <v>1190</v>
      </c>
      <c r="C562" t="s">
        <v>39</v>
      </c>
      <c r="D562">
        <v>36</v>
      </c>
      <c r="E562" t="s">
        <v>110</v>
      </c>
      <c r="F562" t="s">
        <v>111</v>
      </c>
      <c r="G562" t="s">
        <v>30</v>
      </c>
      <c r="H562" t="s">
        <v>31</v>
      </c>
      <c r="I562" t="s">
        <v>43</v>
      </c>
      <c r="J562" s="1">
        <v>43660</v>
      </c>
      <c r="K562">
        <v>7</v>
      </c>
      <c r="L562">
        <v>50876690</v>
      </c>
      <c r="M562">
        <v>5309753</v>
      </c>
      <c r="N562" t="s">
        <v>34</v>
      </c>
      <c r="O562">
        <v>3.69</v>
      </c>
      <c r="P562">
        <v>67</v>
      </c>
      <c r="Q562">
        <v>2</v>
      </c>
      <c r="R562">
        <v>4</v>
      </c>
      <c r="S562">
        <v>17</v>
      </c>
      <c r="T562" t="s">
        <v>33</v>
      </c>
      <c r="U562" t="s">
        <v>34</v>
      </c>
      <c r="V562" t="s">
        <v>51</v>
      </c>
      <c r="W562" t="s">
        <v>34</v>
      </c>
      <c r="X562" t="s">
        <v>45</v>
      </c>
      <c r="Z562" t="str">
        <f>IF(Table1[[#This Row],[Age]]&lt;30,"20-29",IF(Table1[[#This Row],[Age]]&lt;40,"30-39",IF(Table1[[#This Row],[Age]]&lt;50,"40-49","50+")))</f>
        <v>30-39</v>
      </c>
      <c r="AA562" t="str">
        <f>IF(Table1[[#This Row],[Salary]]&lt;20000000,"low",IF(Table1[[#This Row],[Salary]]&lt;40000000,"medium","high"))</f>
        <v>high</v>
      </c>
      <c r="AB562">
        <f>YEAR(Table1[[#This Row],[Hire Date]])</f>
        <v>2019</v>
      </c>
      <c r="AC562" t="str">
        <f>TEXT(Table1[[#This Row],[Hire Date]],"mmmm")</f>
        <v>ژوئيه</v>
      </c>
      <c r="AD562" t="str">
        <f>IF(Table1[[#This Row],[Resigned]]="yes","former","active")</f>
        <v>active</v>
      </c>
    </row>
    <row r="563" spans="1:30" x14ac:dyDescent="0.3">
      <c r="A563" t="s">
        <v>1191</v>
      </c>
      <c r="B563" t="s">
        <v>1192</v>
      </c>
      <c r="C563" t="s">
        <v>39</v>
      </c>
      <c r="D563">
        <v>54</v>
      </c>
      <c r="E563" t="s">
        <v>73</v>
      </c>
      <c r="F563" t="s">
        <v>74</v>
      </c>
      <c r="G563" t="s">
        <v>58</v>
      </c>
      <c r="H563" t="s">
        <v>42</v>
      </c>
      <c r="I563" t="s">
        <v>32</v>
      </c>
      <c r="J563" s="1">
        <v>45291</v>
      </c>
      <c r="K563">
        <v>3</v>
      </c>
      <c r="L563">
        <v>26704207</v>
      </c>
      <c r="M563">
        <v>1249241</v>
      </c>
      <c r="N563" t="s">
        <v>33</v>
      </c>
      <c r="O563">
        <v>3.21</v>
      </c>
      <c r="P563">
        <v>30</v>
      </c>
      <c r="Q563">
        <v>1</v>
      </c>
      <c r="R563">
        <v>3</v>
      </c>
      <c r="S563">
        <v>6</v>
      </c>
      <c r="T563" t="s">
        <v>34</v>
      </c>
      <c r="U563" t="s">
        <v>34</v>
      </c>
      <c r="V563" t="s">
        <v>44</v>
      </c>
      <c r="W563" t="s">
        <v>33</v>
      </c>
      <c r="X563" t="s">
        <v>45</v>
      </c>
      <c r="Z563" t="str">
        <f>IF(Table1[[#This Row],[Age]]&lt;30,"20-29",IF(Table1[[#This Row],[Age]]&lt;40,"30-39",IF(Table1[[#This Row],[Age]]&lt;50,"40-49","50+")))</f>
        <v>50+</v>
      </c>
      <c r="AA563" t="str">
        <f>IF(Table1[[#This Row],[Salary]]&lt;20000000,"low",IF(Table1[[#This Row],[Salary]]&lt;40000000,"medium","high"))</f>
        <v>medium</v>
      </c>
      <c r="AB563">
        <f>YEAR(Table1[[#This Row],[Hire Date]])</f>
        <v>2023</v>
      </c>
      <c r="AC563" t="str">
        <f>TEXT(Table1[[#This Row],[Hire Date]],"mmmm")</f>
        <v>دسامبر</v>
      </c>
      <c r="AD563" t="str">
        <f>IF(Table1[[#This Row],[Resigned]]="yes","former","active")</f>
        <v>active</v>
      </c>
    </row>
    <row r="564" spans="1:30" x14ac:dyDescent="0.3">
      <c r="A564" t="s">
        <v>1193</v>
      </c>
      <c r="B564" t="s">
        <v>1194</v>
      </c>
      <c r="C564" t="s">
        <v>27</v>
      </c>
      <c r="D564">
        <v>23</v>
      </c>
      <c r="E564" t="s">
        <v>73</v>
      </c>
      <c r="F564" t="s">
        <v>127</v>
      </c>
      <c r="G564" t="s">
        <v>30</v>
      </c>
      <c r="H564" t="s">
        <v>42</v>
      </c>
      <c r="I564" t="s">
        <v>32</v>
      </c>
      <c r="J564" s="1">
        <v>42679</v>
      </c>
      <c r="K564">
        <v>10</v>
      </c>
      <c r="L564">
        <v>59335486</v>
      </c>
      <c r="M564">
        <v>1495317</v>
      </c>
      <c r="N564" t="s">
        <v>33</v>
      </c>
      <c r="O564">
        <v>4.8499999999999996</v>
      </c>
      <c r="P564">
        <v>75</v>
      </c>
      <c r="Q564">
        <v>3</v>
      </c>
      <c r="R564">
        <v>3</v>
      </c>
      <c r="S564">
        <v>4</v>
      </c>
      <c r="T564" t="s">
        <v>34</v>
      </c>
      <c r="U564" t="s">
        <v>34</v>
      </c>
      <c r="V564" t="s">
        <v>59</v>
      </c>
      <c r="W564" t="s">
        <v>34</v>
      </c>
      <c r="X564" t="s">
        <v>36</v>
      </c>
      <c r="Z564" t="str">
        <f>IF(Table1[[#This Row],[Age]]&lt;30,"20-29",IF(Table1[[#This Row],[Age]]&lt;40,"30-39",IF(Table1[[#This Row],[Age]]&lt;50,"40-49","50+")))</f>
        <v>20-29</v>
      </c>
      <c r="AA564" t="str">
        <f>IF(Table1[[#This Row],[Salary]]&lt;20000000,"low",IF(Table1[[#This Row],[Salary]]&lt;40000000,"medium","high"))</f>
        <v>high</v>
      </c>
      <c r="AB564">
        <f>YEAR(Table1[[#This Row],[Hire Date]])</f>
        <v>2016</v>
      </c>
      <c r="AC564" t="str">
        <f>TEXT(Table1[[#This Row],[Hire Date]],"mmmm")</f>
        <v>نوامبر</v>
      </c>
      <c r="AD564" t="str">
        <f>IF(Table1[[#This Row],[Resigned]]="yes","former","active")</f>
        <v>active</v>
      </c>
    </row>
    <row r="565" spans="1:30" x14ac:dyDescent="0.3">
      <c r="A565" t="s">
        <v>1195</v>
      </c>
      <c r="B565" t="s">
        <v>1196</v>
      </c>
      <c r="C565" t="s">
        <v>27</v>
      </c>
      <c r="D565">
        <v>29</v>
      </c>
      <c r="E565" t="s">
        <v>56</v>
      </c>
      <c r="F565" t="s">
        <v>84</v>
      </c>
      <c r="G565" t="s">
        <v>49</v>
      </c>
      <c r="H565" t="s">
        <v>42</v>
      </c>
      <c r="I565" t="s">
        <v>65</v>
      </c>
      <c r="J565" s="1">
        <v>43166</v>
      </c>
      <c r="K565">
        <v>8</v>
      </c>
      <c r="L565">
        <v>39196412</v>
      </c>
      <c r="M565">
        <v>8167493</v>
      </c>
      <c r="N565" t="s">
        <v>33</v>
      </c>
      <c r="O565">
        <v>4.54</v>
      </c>
      <c r="P565">
        <v>22</v>
      </c>
      <c r="Q565">
        <v>2</v>
      </c>
      <c r="R565">
        <v>3</v>
      </c>
      <c r="S565">
        <v>16</v>
      </c>
      <c r="T565" t="s">
        <v>33</v>
      </c>
      <c r="U565" t="s">
        <v>34</v>
      </c>
      <c r="V565" t="s">
        <v>59</v>
      </c>
      <c r="W565" t="s">
        <v>34</v>
      </c>
      <c r="X565" t="s">
        <v>36</v>
      </c>
      <c r="Z565" t="str">
        <f>IF(Table1[[#This Row],[Age]]&lt;30,"20-29",IF(Table1[[#This Row],[Age]]&lt;40,"30-39",IF(Table1[[#This Row],[Age]]&lt;50,"40-49","50+")))</f>
        <v>20-29</v>
      </c>
      <c r="AA565" t="str">
        <f>IF(Table1[[#This Row],[Salary]]&lt;20000000,"low",IF(Table1[[#This Row],[Salary]]&lt;40000000,"medium","high"))</f>
        <v>medium</v>
      </c>
      <c r="AB565">
        <f>YEAR(Table1[[#This Row],[Hire Date]])</f>
        <v>2018</v>
      </c>
      <c r="AC565" t="str">
        <f>TEXT(Table1[[#This Row],[Hire Date]],"mmmm")</f>
        <v>مارس</v>
      </c>
      <c r="AD565" t="str">
        <f>IF(Table1[[#This Row],[Resigned]]="yes","former","active")</f>
        <v>active</v>
      </c>
    </row>
    <row r="566" spans="1:30" x14ac:dyDescent="0.3">
      <c r="A566" t="s">
        <v>1197</v>
      </c>
      <c r="B566" t="s">
        <v>1198</v>
      </c>
      <c r="C566" t="s">
        <v>27</v>
      </c>
      <c r="D566">
        <v>55</v>
      </c>
      <c r="E566" t="s">
        <v>110</v>
      </c>
      <c r="F566" t="s">
        <v>111</v>
      </c>
      <c r="G566" t="s">
        <v>49</v>
      </c>
      <c r="H566" t="s">
        <v>31</v>
      </c>
      <c r="I566" t="s">
        <v>65</v>
      </c>
      <c r="J566" s="1">
        <v>44156</v>
      </c>
      <c r="K566">
        <v>6</v>
      </c>
      <c r="L566">
        <v>32324162</v>
      </c>
      <c r="M566">
        <v>5077567</v>
      </c>
      <c r="N566" t="s">
        <v>33</v>
      </c>
      <c r="O566">
        <v>2.5499999999999998</v>
      </c>
      <c r="P566">
        <v>53</v>
      </c>
      <c r="Q566">
        <v>5</v>
      </c>
      <c r="R566">
        <v>4</v>
      </c>
      <c r="S566">
        <v>10</v>
      </c>
      <c r="T566" t="s">
        <v>33</v>
      </c>
      <c r="U566" t="s">
        <v>33</v>
      </c>
      <c r="V566" t="s">
        <v>35</v>
      </c>
      <c r="W566" t="s">
        <v>34</v>
      </c>
      <c r="X566" t="s">
        <v>36</v>
      </c>
      <c r="Y566" t="s">
        <v>53</v>
      </c>
      <c r="Z566" t="str">
        <f>IF(Table1[[#This Row],[Age]]&lt;30,"20-29",IF(Table1[[#This Row],[Age]]&lt;40,"30-39",IF(Table1[[#This Row],[Age]]&lt;50,"40-49","50+")))</f>
        <v>50+</v>
      </c>
      <c r="AA566" t="str">
        <f>IF(Table1[[#This Row],[Salary]]&lt;20000000,"low",IF(Table1[[#This Row],[Salary]]&lt;40000000,"medium","high"))</f>
        <v>medium</v>
      </c>
      <c r="AB566">
        <f>YEAR(Table1[[#This Row],[Hire Date]])</f>
        <v>2020</v>
      </c>
      <c r="AC566" t="str">
        <f>TEXT(Table1[[#This Row],[Hire Date]],"mmmm")</f>
        <v>نوامبر</v>
      </c>
      <c r="AD566" t="str">
        <f>IF(Table1[[#This Row],[Resigned]]="yes","former","active")</f>
        <v>former</v>
      </c>
    </row>
    <row r="567" spans="1:30" x14ac:dyDescent="0.3">
      <c r="A567" t="s">
        <v>1199</v>
      </c>
      <c r="B567" t="s">
        <v>1200</v>
      </c>
      <c r="C567" t="s">
        <v>39</v>
      </c>
      <c r="D567">
        <v>54</v>
      </c>
      <c r="E567" t="s">
        <v>73</v>
      </c>
      <c r="F567" t="s">
        <v>74</v>
      </c>
      <c r="G567" t="s">
        <v>58</v>
      </c>
      <c r="H567" t="s">
        <v>42</v>
      </c>
      <c r="I567" t="s">
        <v>50</v>
      </c>
      <c r="J567" s="1">
        <v>43194</v>
      </c>
      <c r="K567">
        <v>8</v>
      </c>
      <c r="L567">
        <v>51945877</v>
      </c>
      <c r="M567">
        <v>7404054</v>
      </c>
      <c r="N567" t="s">
        <v>34</v>
      </c>
      <c r="O567">
        <v>4.03</v>
      </c>
      <c r="P567">
        <v>33</v>
      </c>
      <c r="Q567">
        <v>2</v>
      </c>
      <c r="R567">
        <v>4</v>
      </c>
      <c r="S567">
        <v>7</v>
      </c>
      <c r="T567" t="s">
        <v>34</v>
      </c>
      <c r="U567" t="s">
        <v>34</v>
      </c>
      <c r="V567" t="s">
        <v>35</v>
      </c>
      <c r="W567" t="s">
        <v>34</v>
      </c>
      <c r="X567" t="s">
        <v>52</v>
      </c>
      <c r="Z567" t="str">
        <f>IF(Table1[[#This Row],[Age]]&lt;30,"20-29",IF(Table1[[#This Row],[Age]]&lt;40,"30-39",IF(Table1[[#This Row],[Age]]&lt;50,"40-49","50+")))</f>
        <v>50+</v>
      </c>
      <c r="AA567" t="str">
        <f>IF(Table1[[#This Row],[Salary]]&lt;20000000,"low",IF(Table1[[#This Row],[Salary]]&lt;40000000,"medium","high"))</f>
        <v>high</v>
      </c>
      <c r="AB567">
        <f>YEAR(Table1[[#This Row],[Hire Date]])</f>
        <v>2018</v>
      </c>
      <c r="AC567" t="str">
        <f>TEXT(Table1[[#This Row],[Hire Date]],"mmmm")</f>
        <v>آوريل</v>
      </c>
      <c r="AD567" t="str">
        <f>IF(Table1[[#This Row],[Resigned]]="yes","former","active")</f>
        <v>active</v>
      </c>
    </row>
    <row r="568" spans="1:30" x14ac:dyDescent="0.3">
      <c r="A568" t="s">
        <v>1201</v>
      </c>
      <c r="B568" t="s">
        <v>1202</v>
      </c>
      <c r="C568" t="s">
        <v>27</v>
      </c>
      <c r="D568">
        <v>50</v>
      </c>
      <c r="E568" t="s">
        <v>28</v>
      </c>
      <c r="F568" t="s">
        <v>29</v>
      </c>
      <c r="G568" t="s">
        <v>58</v>
      </c>
      <c r="H568" t="s">
        <v>42</v>
      </c>
      <c r="I568" t="s">
        <v>43</v>
      </c>
      <c r="J568" s="1">
        <v>42820</v>
      </c>
      <c r="K568">
        <v>9</v>
      </c>
      <c r="L568">
        <v>19247054</v>
      </c>
      <c r="M568">
        <v>783974</v>
      </c>
      <c r="N568" t="s">
        <v>34</v>
      </c>
      <c r="O568">
        <v>3.58</v>
      </c>
      <c r="P568">
        <v>7</v>
      </c>
      <c r="Q568">
        <v>2</v>
      </c>
      <c r="R568">
        <v>4</v>
      </c>
      <c r="S568">
        <v>3</v>
      </c>
      <c r="T568" t="s">
        <v>33</v>
      </c>
      <c r="U568" t="s">
        <v>33</v>
      </c>
      <c r="V568" t="s">
        <v>51</v>
      </c>
      <c r="W568" t="s">
        <v>34</v>
      </c>
      <c r="X568" t="s">
        <v>45</v>
      </c>
      <c r="Y568" t="s">
        <v>75</v>
      </c>
      <c r="Z568" t="str">
        <f>IF(Table1[[#This Row],[Age]]&lt;30,"20-29",IF(Table1[[#This Row],[Age]]&lt;40,"30-39",IF(Table1[[#This Row],[Age]]&lt;50,"40-49","50+")))</f>
        <v>50+</v>
      </c>
      <c r="AA568" t="str">
        <f>IF(Table1[[#This Row],[Salary]]&lt;20000000,"low",IF(Table1[[#This Row],[Salary]]&lt;40000000,"medium","high"))</f>
        <v>low</v>
      </c>
      <c r="AB568">
        <f>YEAR(Table1[[#This Row],[Hire Date]])</f>
        <v>2017</v>
      </c>
      <c r="AC568" t="str">
        <f>TEXT(Table1[[#This Row],[Hire Date]],"mmmm")</f>
        <v>مارس</v>
      </c>
      <c r="AD568" t="str">
        <f>IF(Table1[[#This Row],[Resigned]]="yes","former","active")</f>
        <v>former</v>
      </c>
    </row>
    <row r="569" spans="1:30" x14ac:dyDescent="0.3">
      <c r="A569" t="s">
        <v>1203</v>
      </c>
      <c r="B569" t="s">
        <v>1204</v>
      </c>
      <c r="C569" t="s">
        <v>39</v>
      </c>
      <c r="D569">
        <v>34</v>
      </c>
      <c r="E569" t="s">
        <v>28</v>
      </c>
      <c r="F569" t="s">
        <v>29</v>
      </c>
      <c r="G569" t="s">
        <v>58</v>
      </c>
      <c r="H569" t="s">
        <v>31</v>
      </c>
      <c r="I569" t="s">
        <v>81</v>
      </c>
      <c r="J569" s="1">
        <v>43974</v>
      </c>
      <c r="K569">
        <v>6</v>
      </c>
      <c r="L569">
        <v>30880225</v>
      </c>
      <c r="M569">
        <v>2538</v>
      </c>
      <c r="N569" t="s">
        <v>34</v>
      </c>
      <c r="O569">
        <v>3.38</v>
      </c>
      <c r="P569">
        <v>25</v>
      </c>
      <c r="Q569">
        <v>2</v>
      </c>
      <c r="R569">
        <v>4</v>
      </c>
      <c r="S569">
        <v>1</v>
      </c>
      <c r="T569" t="s">
        <v>33</v>
      </c>
      <c r="U569" t="s">
        <v>34</v>
      </c>
      <c r="V569" t="s">
        <v>44</v>
      </c>
      <c r="W569" t="s">
        <v>34</v>
      </c>
      <c r="X569" t="s">
        <v>36</v>
      </c>
      <c r="Z569" t="str">
        <f>IF(Table1[[#This Row],[Age]]&lt;30,"20-29",IF(Table1[[#This Row],[Age]]&lt;40,"30-39",IF(Table1[[#This Row],[Age]]&lt;50,"40-49","50+")))</f>
        <v>30-39</v>
      </c>
      <c r="AA569" t="str">
        <f>IF(Table1[[#This Row],[Salary]]&lt;20000000,"low",IF(Table1[[#This Row],[Salary]]&lt;40000000,"medium","high"))</f>
        <v>medium</v>
      </c>
      <c r="AB569">
        <f>YEAR(Table1[[#This Row],[Hire Date]])</f>
        <v>2020</v>
      </c>
      <c r="AC569" t="str">
        <f>TEXT(Table1[[#This Row],[Hire Date]],"mmmm")</f>
        <v>مه</v>
      </c>
      <c r="AD569" t="str">
        <f>IF(Table1[[#This Row],[Resigned]]="yes","former","active")</f>
        <v>active</v>
      </c>
    </row>
    <row r="570" spans="1:30" x14ac:dyDescent="0.3">
      <c r="A570" t="s">
        <v>1205</v>
      </c>
      <c r="B570" t="s">
        <v>1206</v>
      </c>
      <c r="C570" t="s">
        <v>39</v>
      </c>
      <c r="D570">
        <v>57</v>
      </c>
      <c r="E570" t="s">
        <v>63</v>
      </c>
      <c r="F570" t="s">
        <v>93</v>
      </c>
      <c r="G570" t="s">
        <v>58</v>
      </c>
      <c r="H570" t="s">
        <v>31</v>
      </c>
      <c r="I570" t="s">
        <v>32</v>
      </c>
      <c r="J570" s="1">
        <v>44733</v>
      </c>
      <c r="K570">
        <v>4</v>
      </c>
      <c r="L570">
        <v>56959308</v>
      </c>
      <c r="M570">
        <v>4411314</v>
      </c>
      <c r="N570" t="s">
        <v>33</v>
      </c>
      <c r="O570">
        <v>4.45</v>
      </c>
      <c r="P570">
        <v>20</v>
      </c>
      <c r="Q570">
        <v>4</v>
      </c>
      <c r="R570">
        <v>4</v>
      </c>
      <c r="S570">
        <v>20</v>
      </c>
      <c r="T570" t="s">
        <v>34</v>
      </c>
      <c r="U570" t="s">
        <v>34</v>
      </c>
      <c r="V570" t="s">
        <v>51</v>
      </c>
      <c r="W570" t="s">
        <v>34</v>
      </c>
      <c r="X570" t="s">
        <v>52</v>
      </c>
      <c r="Z570" t="str">
        <f>IF(Table1[[#This Row],[Age]]&lt;30,"20-29",IF(Table1[[#This Row],[Age]]&lt;40,"30-39",IF(Table1[[#This Row],[Age]]&lt;50,"40-49","50+")))</f>
        <v>50+</v>
      </c>
      <c r="AA570" t="str">
        <f>IF(Table1[[#This Row],[Salary]]&lt;20000000,"low",IF(Table1[[#This Row],[Salary]]&lt;40000000,"medium","high"))</f>
        <v>high</v>
      </c>
      <c r="AB570">
        <f>YEAR(Table1[[#This Row],[Hire Date]])</f>
        <v>2022</v>
      </c>
      <c r="AC570" t="str">
        <f>TEXT(Table1[[#This Row],[Hire Date]],"mmmm")</f>
        <v>ژوئن</v>
      </c>
      <c r="AD570" t="str">
        <f>IF(Table1[[#This Row],[Resigned]]="yes","former","active")</f>
        <v>active</v>
      </c>
    </row>
    <row r="571" spans="1:30" x14ac:dyDescent="0.3">
      <c r="A571" t="s">
        <v>1207</v>
      </c>
      <c r="B571" t="s">
        <v>1208</v>
      </c>
      <c r="C571" t="s">
        <v>39</v>
      </c>
      <c r="D571">
        <v>42</v>
      </c>
      <c r="E571" t="s">
        <v>73</v>
      </c>
      <c r="F571" t="s">
        <v>74</v>
      </c>
      <c r="G571" t="s">
        <v>49</v>
      </c>
      <c r="H571" t="s">
        <v>31</v>
      </c>
      <c r="I571" t="s">
        <v>32</v>
      </c>
      <c r="J571" s="1">
        <v>45385</v>
      </c>
      <c r="K571">
        <v>2</v>
      </c>
      <c r="L571">
        <v>12977493</v>
      </c>
      <c r="M571">
        <v>3022082</v>
      </c>
      <c r="N571" t="s">
        <v>33</v>
      </c>
      <c r="O571">
        <v>3.58</v>
      </c>
      <c r="P571">
        <v>15</v>
      </c>
      <c r="Q571">
        <v>3</v>
      </c>
      <c r="R571">
        <v>3</v>
      </c>
      <c r="S571">
        <v>13</v>
      </c>
      <c r="T571" t="s">
        <v>33</v>
      </c>
      <c r="U571" t="s">
        <v>34</v>
      </c>
      <c r="V571" t="s">
        <v>35</v>
      </c>
      <c r="W571" t="s">
        <v>34</v>
      </c>
      <c r="X571" t="s">
        <v>52</v>
      </c>
      <c r="Z571" t="str">
        <f>IF(Table1[[#This Row],[Age]]&lt;30,"20-29",IF(Table1[[#This Row],[Age]]&lt;40,"30-39",IF(Table1[[#This Row],[Age]]&lt;50,"40-49","50+")))</f>
        <v>40-49</v>
      </c>
      <c r="AA571" t="str">
        <f>IF(Table1[[#This Row],[Salary]]&lt;20000000,"low",IF(Table1[[#This Row],[Salary]]&lt;40000000,"medium","high"))</f>
        <v>low</v>
      </c>
      <c r="AB571">
        <f>YEAR(Table1[[#This Row],[Hire Date]])</f>
        <v>2024</v>
      </c>
      <c r="AC571" t="str">
        <f>TEXT(Table1[[#This Row],[Hire Date]],"mmmm")</f>
        <v>آوريل</v>
      </c>
      <c r="AD571" t="str">
        <f>IF(Table1[[#This Row],[Resigned]]="yes","former","active")</f>
        <v>active</v>
      </c>
    </row>
    <row r="572" spans="1:30" x14ac:dyDescent="0.3">
      <c r="A572" t="s">
        <v>1209</v>
      </c>
      <c r="B572" t="s">
        <v>1210</v>
      </c>
      <c r="C572" t="s">
        <v>39</v>
      </c>
      <c r="D572">
        <v>57</v>
      </c>
      <c r="E572" t="s">
        <v>56</v>
      </c>
      <c r="F572" t="s">
        <v>57</v>
      </c>
      <c r="G572" t="s">
        <v>49</v>
      </c>
      <c r="H572" t="s">
        <v>31</v>
      </c>
      <c r="I572" t="s">
        <v>43</v>
      </c>
      <c r="J572" s="1">
        <v>43239</v>
      </c>
      <c r="K572">
        <v>8</v>
      </c>
      <c r="L572">
        <v>37917365</v>
      </c>
      <c r="M572">
        <v>3985499</v>
      </c>
      <c r="N572" t="s">
        <v>33</v>
      </c>
      <c r="O572">
        <v>4.5599999999999996</v>
      </c>
      <c r="P572">
        <v>46</v>
      </c>
      <c r="Q572">
        <v>3</v>
      </c>
      <c r="R572">
        <v>5</v>
      </c>
      <c r="S572">
        <v>4</v>
      </c>
      <c r="T572" t="s">
        <v>33</v>
      </c>
      <c r="U572" t="s">
        <v>34</v>
      </c>
      <c r="V572" t="s">
        <v>59</v>
      </c>
      <c r="W572" t="s">
        <v>34</v>
      </c>
      <c r="X572" t="s">
        <v>36</v>
      </c>
      <c r="Z572" t="str">
        <f>IF(Table1[[#This Row],[Age]]&lt;30,"20-29",IF(Table1[[#This Row],[Age]]&lt;40,"30-39",IF(Table1[[#This Row],[Age]]&lt;50,"40-49","50+")))</f>
        <v>50+</v>
      </c>
      <c r="AA572" t="str">
        <f>IF(Table1[[#This Row],[Salary]]&lt;20000000,"low",IF(Table1[[#This Row],[Salary]]&lt;40000000,"medium","high"))</f>
        <v>medium</v>
      </c>
      <c r="AB572">
        <f>YEAR(Table1[[#This Row],[Hire Date]])</f>
        <v>2018</v>
      </c>
      <c r="AC572" t="str">
        <f>TEXT(Table1[[#This Row],[Hire Date]],"mmmm")</f>
        <v>مه</v>
      </c>
      <c r="AD572" t="str">
        <f>IF(Table1[[#This Row],[Resigned]]="yes","former","active")</f>
        <v>active</v>
      </c>
    </row>
    <row r="573" spans="1:30" x14ac:dyDescent="0.3">
      <c r="A573" t="s">
        <v>1211</v>
      </c>
      <c r="B573" t="s">
        <v>1212</v>
      </c>
      <c r="C573" t="s">
        <v>27</v>
      </c>
      <c r="D573">
        <v>43</v>
      </c>
      <c r="E573" t="s">
        <v>56</v>
      </c>
      <c r="F573" t="s">
        <v>57</v>
      </c>
      <c r="G573" t="s">
        <v>58</v>
      </c>
      <c r="H573" t="s">
        <v>31</v>
      </c>
      <c r="I573" t="s">
        <v>43</v>
      </c>
      <c r="J573" s="1">
        <v>42890</v>
      </c>
      <c r="K573">
        <v>9</v>
      </c>
      <c r="L573">
        <v>53801626</v>
      </c>
      <c r="M573">
        <v>1325348</v>
      </c>
      <c r="N573" t="s">
        <v>33</v>
      </c>
      <c r="O573">
        <v>3.94</v>
      </c>
      <c r="P573">
        <v>46</v>
      </c>
      <c r="Q573">
        <v>2</v>
      </c>
      <c r="R573">
        <v>3</v>
      </c>
      <c r="S573">
        <v>1</v>
      </c>
      <c r="T573" t="s">
        <v>34</v>
      </c>
      <c r="U573" t="s">
        <v>34</v>
      </c>
      <c r="V573" t="s">
        <v>51</v>
      </c>
      <c r="W573" t="s">
        <v>33</v>
      </c>
      <c r="X573" t="s">
        <v>52</v>
      </c>
      <c r="Z573" t="str">
        <f>IF(Table1[[#This Row],[Age]]&lt;30,"20-29",IF(Table1[[#This Row],[Age]]&lt;40,"30-39",IF(Table1[[#This Row],[Age]]&lt;50,"40-49","50+")))</f>
        <v>40-49</v>
      </c>
      <c r="AA573" t="str">
        <f>IF(Table1[[#This Row],[Salary]]&lt;20000000,"low",IF(Table1[[#This Row],[Salary]]&lt;40000000,"medium","high"))</f>
        <v>high</v>
      </c>
      <c r="AB573">
        <f>YEAR(Table1[[#This Row],[Hire Date]])</f>
        <v>2017</v>
      </c>
      <c r="AC573" t="str">
        <f>TEXT(Table1[[#This Row],[Hire Date]],"mmmm")</f>
        <v>ژوئن</v>
      </c>
      <c r="AD573" t="str">
        <f>IF(Table1[[#This Row],[Resigned]]="yes","former","active")</f>
        <v>active</v>
      </c>
    </row>
    <row r="574" spans="1:30" x14ac:dyDescent="0.3">
      <c r="A574" t="s">
        <v>1213</v>
      </c>
      <c r="B574" t="s">
        <v>1214</v>
      </c>
      <c r="C574" t="s">
        <v>27</v>
      </c>
      <c r="D574">
        <v>47</v>
      </c>
      <c r="E574" t="s">
        <v>110</v>
      </c>
      <c r="F574" t="s">
        <v>111</v>
      </c>
      <c r="G574" t="s">
        <v>49</v>
      </c>
      <c r="H574" t="s">
        <v>31</v>
      </c>
      <c r="I574" t="s">
        <v>43</v>
      </c>
      <c r="J574" s="1">
        <v>43816</v>
      </c>
      <c r="K574">
        <v>7</v>
      </c>
      <c r="L574">
        <v>39332829</v>
      </c>
      <c r="M574">
        <v>6412683</v>
      </c>
      <c r="N574" t="s">
        <v>33</v>
      </c>
      <c r="O574">
        <v>4.3499999999999996</v>
      </c>
      <c r="P574">
        <v>48</v>
      </c>
      <c r="Q574">
        <v>3</v>
      </c>
      <c r="R574">
        <v>5</v>
      </c>
      <c r="S574">
        <v>10</v>
      </c>
      <c r="T574" t="s">
        <v>34</v>
      </c>
      <c r="U574" t="s">
        <v>34</v>
      </c>
      <c r="V574" t="s">
        <v>51</v>
      </c>
      <c r="W574" t="s">
        <v>33</v>
      </c>
      <c r="X574" t="s">
        <v>45</v>
      </c>
      <c r="Z574" t="str">
        <f>IF(Table1[[#This Row],[Age]]&lt;30,"20-29",IF(Table1[[#This Row],[Age]]&lt;40,"30-39",IF(Table1[[#This Row],[Age]]&lt;50,"40-49","50+")))</f>
        <v>40-49</v>
      </c>
      <c r="AA574" t="str">
        <f>IF(Table1[[#This Row],[Salary]]&lt;20000000,"low",IF(Table1[[#This Row],[Salary]]&lt;40000000,"medium","high"))</f>
        <v>medium</v>
      </c>
      <c r="AB574">
        <f>YEAR(Table1[[#This Row],[Hire Date]])</f>
        <v>2019</v>
      </c>
      <c r="AC574" t="str">
        <f>TEXT(Table1[[#This Row],[Hire Date]],"mmmm")</f>
        <v>دسامبر</v>
      </c>
      <c r="AD574" t="str">
        <f>IF(Table1[[#This Row],[Resigned]]="yes","former","active")</f>
        <v>active</v>
      </c>
    </row>
    <row r="575" spans="1:30" x14ac:dyDescent="0.3">
      <c r="A575" t="s">
        <v>1215</v>
      </c>
      <c r="B575" t="s">
        <v>1216</v>
      </c>
      <c r="C575" t="s">
        <v>27</v>
      </c>
      <c r="D575">
        <v>41</v>
      </c>
      <c r="E575" t="s">
        <v>63</v>
      </c>
      <c r="F575" t="s">
        <v>64</v>
      </c>
      <c r="G575" t="s">
        <v>30</v>
      </c>
      <c r="H575" t="s">
        <v>31</v>
      </c>
      <c r="I575" t="s">
        <v>65</v>
      </c>
      <c r="J575" s="1">
        <v>44630</v>
      </c>
      <c r="K575">
        <v>4</v>
      </c>
      <c r="L575">
        <v>28031519</v>
      </c>
      <c r="M575">
        <v>7963720</v>
      </c>
      <c r="N575" t="s">
        <v>34</v>
      </c>
      <c r="O575">
        <v>4.42</v>
      </c>
      <c r="P575">
        <v>75</v>
      </c>
      <c r="Q575">
        <v>3</v>
      </c>
      <c r="R575">
        <v>2</v>
      </c>
      <c r="S575">
        <v>19</v>
      </c>
      <c r="T575" t="s">
        <v>33</v>
      </c>
      <c r="U575" t="s">
        <v>34</v>
      </c>
      <c r="V575" t="s">
        <v>70</v>
      </c>
      <c r="W575" t="s">
        <v>34</v>
      </c>
      <c r="X575" t="s">
        <v>45</v>
      </c>
      <c r="Z575" t="str">
        <f>IF(Table1[[#This Row],[Age]]&lt;30,"20-29",IF(Table1[[#This Row],[Age]]&lt;40,"30-39",IF(Table1[[#This Row],[Age]]&lt;50,"40-49","50+")))</f>
        <v>40-49</v>
      </c>
      <c r="AA575" t="str">
        <f>IF(Table1[[#This Row],[Salary]]&lt;20000000,"low",IF(Table1[[#This Row],[Salary]]&lt;40000000,"medium","high"))</f>
        <v>medium</v>
      </c>
      <c r="AB575">
        <f>YEAR(Table1[[#This Row],[Hire Date]])</f>
        <v>2022</v>
      </c>
      <c r="AC575" t="str">
        <f>TEXT(Table1[[#This Row],[Hire Date]],"mmmm")</f>
        <v>مارس</v>
      </c>
      <c r="AD575" t="str">
        <f>IF(Table1[[#This Row],[Resigned]]="yes","former","active")</f>
        <v>active</v>
      </c>
    </row>
    <row r="576" spans="1:30" x14ac:dyDescent="0.3">
      <c r="A576" t="s">
        <v>1217</v>
      </c>
      <c r="B576" t="s">
        <v>1218</v>
      </c>
      <c r="C576" t="s">
        <v>27</v>
      </c>
      <c r="D576">
        <v>51</v>
      </c>
      <c r="E576" t="s">
        <v>110</v>
      </c>
      <c r="F576" t="s">
        <v>111</v>
      </c>
      <c r="G576" t="s">
        <v>49</v>
      </c>
      <c r="H576" t="s">
        <v>42</v>
      </c>
      <c r="I576" t="s">
        <v>65</v>
      </c>
      <c r="J576" s="1">
        <v>44308</v>
      </c>
      <c r="K576">
        <v>5</v>
      </c>
      <c r="L576">
        <v>26736599</v>
      </c>
      <c r="M576">
        <v>6248729</v>
      </c>
      <c r="N576" t="s">
        <v>34</v>
      </c>
      <c r="O576">
        <v>3.94</v>
      </c>
      <c r="P576">
        <v>15</v>
      </c>
      <c r="Q576">
        <v>4</v>
      </c>
      <c r="R576">
        <v>3</v>
      </c>
      <c r="S576">
        <v>6</v>
      </c>
      <c r="T576" t="s">
        <v>34</v>
      </c>
      <c r="U576" t="s">
        <v>34</v>
      </c>
      <c r="V576" t="s">
        <v>51</v>
      </c>
      <c r="W576" t="s">
        <v>34</v>
      </c>
      <c r="X576" t="s">
        <v>52</v>
      </c>
      <c r="Z576" t="str">
        <f>IF(Table1[[#This Row],[Age]]&lt;30,"20-29",IF(Table1[[#This Row],[Age]]&lt;40,"30-39",IF(Table1[[#This Row],[Age]]&lt;50,"40-49","50+")))</f>
        <v>50+</v>
      </c>
      <c r="AA576" t="str">
        <f>IF(Table1[[#This Row],[Salary]]&lt;20000000,"low",IF(Table1[[#This Row],[Salary]]&lt;40000000,"medium","high"))</f>
        <v>medium</v>
      </c>
      <c r="AB576">
        <f>YEAR(Table1[[#This Row],[Hire Date]])</f>
        <v>2021</v>
      </c>
      <c r="AC576" t="str">
        <f>TEXT(Table1[[#This Row],[Hire Date]],"mmmm")</f>
        <v>آوريل</v>
      </c>
      <c r="AD576" t="str">
        <f>IF(Table1[[#This Row],[Resigned]]="yes","former","active")</f>
        <v>active</v>
      </c>
    </row>
    <row r="577" spans="1:30" x14ac:dyDescent="0.3">
      <c r="A577" t="s">
        <v>1219</v>
      </c>
      <c r="B577" t="s">
        <v>1220</v>
      </c>
      <c r="C577" t="s">
        <v>39</v>
      </c>
      <c r="D577">
        <v>58</v>
      </c>
      <c r="E577" t="s">
        <v>28</v>
      </c>
      <c r="F577" t="s">
        <v>29</v>
      </c>
      <c r="G577" t="s">
        <v>30</v>
      </c>
      <c r="H577" t="s">
        <v>42</v>
      </c>
      <c r="I577" t="s">
        <v>43</v>
      </c>
      <c r="J577" s="1">
        <v>43975</v>
      </c>
      <c r="K577">
        <v>6</v>
      </c>
      <c r="L577">
        <v>35310651</v>
      </c>
      <c r="M577">
        <v>4502492</v>
      </c>
      <c r="N577" t="s">
        <v>34</v>
      </c>
      <c r="O577">
        <v>2.5299999999999998</v>
      </c>
      <c r="P577">
        <v>57</v>
      </c>
      <c r="Q577">
        <v>3</v>
      </c>
      <c r="R577">
        <v>3</v>
      </c>
      <c r="S577">
        <v>18</v>
      </c>
      <c r="T577" t="s">
        <v>33</v>
      </c>
      <c r="U577" t="s">
        <v>34</v>
      </c>
      <c r="V577" t="s">
        <v>70</v>
      </c>
      <c r="W577" t="s">
        <v>34</v>
      </c>
      <c r="X577" t="s">
        <v>36</v>
      </c>
      <c r="Z577" t="str">
        <f>IF(Table1[[#This Row],[Age]]&lt;30,"20-29",IF(Table1[[#This Row],[Age]]&lt;40,"30-39",IF(Table1[[#This Row],[Age]]&lt;50,"40-49","50+")))</f>
        <v>50+</v>
      </c>
      <c r="AA577" t="str">
        <f>IF(Table1[[#This Row],[Salary]]&lt;20000000,"low",IF(Table1[[#This Row],[Salary]]&lt;40000000,"medium","high"))</f>
        <v>medium</v>
      </c>
      <c r="AB577">
        <f>YEAR(Table1[[#This Row],[Hire Date]])</f>
        <v>2020</v>
      </c>
      <c r="AC577" t="str">
        <f>TEXT(Table1[[#This Row],[Hire Date]],"mmmm")</f>
        <v>مه</v>
      </c>
      <c r="AD577" t="str">
        <f>IF(Table1[[#This Row],[Resigned]]="yes","former","active")</f>
        <v>active</v>
      </c>
    </row>
    <row r="578" spans="1:30" x14ac:dyDescent="0.3">
      <c r="A578" t="s">
        <v>1221</v>
      </c>
      <c r="B578" t="s">
        <v>1222</v>
      </c>
      <c r="C578" t="s">
        <v>27</v>
      </c>
      <c r="D578">
        <v>39</v>
      </c>
      <c r="E578" t="s">
        <v>110</v>
      </c>
      <c r="F578" t="s">
        <v>120</v>
      </c>
      <c r="G578" t="s">
        <v>30</v>
      </c>
      <c r="H578" t="s">
        <v>31</v>
      </c>
      <c r="I578" t="s">
        <v>43</v>
      </c>
      <c r="J578" s="1">
        <v>45821</v>
      </c>
      <c r="K578">
        <v>1</v>
      </c>
      <c r="L578">
        <v>48697956</v>
      </c>
      <c r="M578">
        <v>5388505</v>
      </c>
      <c r="N578" t="s">
        <v>34</v>
      </c>
      <c r="O578">
        <v>4.58</v>
      </c>
      <c r="P578">
        <v>60</v>
      </c>
      <c r="Q578">
        <v>1</v>
      </c>
      <c r="R578">
        <v>1</v>
      </c>
      <c r="S578">
        <v>18</v>
      </c>
      <c r="T578" t="s">
        <v>34</v>
      </c>
      <c r="U578" t="s">
        <v>34</v>
      </c>
      <c r="V578" t="s">
        <v>59</v>
      </c>
      <c r="W578" t="s">
        <v>34</v>
      </c>
      <c r="X578" t="s">
        <v>36</v>
      </c>
      <c r="Z578" t="str">
        <f>IF(Table1[[#This Row],[Age]]&lt;30,"20-29",IF(Table1[[#This Row],[Age]]&lt;40,"30-39",IF(Table1[[#This Row],[Age]]&lt;50,"40-49","50+")))</f>
        <v>30-39</v>
      </c>
      <c r="AA578" t="str">
        <f>IF(Table1[[#This Row],[Salary]]&lt;20000000,"low",IF(Table1[[#This Row],[Salary]]&lt;40000000,"medium","high"))</f>
        <v>high</v>
      </c>
      <c r="AB578">
        <f>YEAR(Table1[[#This Row],[Hire Date]])</f>
        <v>2025</v>
      </c>
      <c r="AC578" t="str">
        <f>TEXT(Table1[[#This Row],[Hire Date]],"mmmm")</f>
        <v>ژوئن</v>
      </c>
      <c r="AD578" t="str">
        <f>IF(Table1[[#This Row],[Resigned]]="yes","former","active")</f>
        <v>active</v>
      </c>
    </row>
    <row r="579" spans="1:30" x14ac:dyDescent="0.3">
      <c r="A579" t="s">
        <v>1223</v>
      </c>
      <c r="B579" t="s">
        <v>1224</v>
      </c>
      <c r="C579" t="s">
        <v>39</v>
      </c>
      <c r="D579">
        <v>25</v>
      </c>
      <c r="E579" t="s">
        <v>73</v>
      </c>
      <c r="F579" t="s">
        <v>127</v>
      </c>
      <c r="G579" t="s">
        <v>58</v>
      </c>
      <c r="H579" t="s">
        <v>31</v>
      </c>
      <c r="I579" t="s">
        <v>50</v>
      </c>
      <c r="J579" s="1">
        <v>42815</v>
      </c>
      <c r="K579">
        <v>9</v>
      </c>
      <c r="L579">
        <v>35307286</v>
      </c>
      <c r="M579">
        <v>5977361</v>
      </c>
      <c r="N579" t="s">
        <v>34</v>
      </c>
      <c r="O579">
        <v>3.81</v>
      </c>
      <c r="P579">
        <v>18</v>
      </c>
      <c r="Q579">
        <v>4</v>
      </c>
      <c r="R579">
        <v>1</v>
      </c>
      <c r="S579">
        <v>15</v>
      </c>
      <c r="T579" t="s">
        <v>33</v>
      </c>
      <c r="U579" t="s">
        <v>34</v>
      </c>
      <c r="V579" t="s">
        <v>70</v>
      </c>
      <c r="W579" t="s">
        <v>33</v>
      </c>
      <c r="X579" t="s">
        <v>52</v>
      </c>
      <c r="Z579" t="str">
        <f>IF(Table1[[#This Row],[Age]]&lt;30,"20-29",IF(Table1[[#This Row],[Age]]&lt;40,"30-39",IF(Table1[[#This Row],[Age]]&lt;50,"40-49","50+")))</f>
        <v>20-29</v>
      </c>
      <c r="AA579" t="str">
        <f>IF(Table1[[#This Row],[Salary]]&lt;20000000,"low",IF(Table1[[#This Row],[Salary]]&lt;40000000,"medium","high"))</f>
        <v>medium</v>
      </c>
      <c r="AB579">
        <f>YEAR(Table1[[#This Row],[Hire Date]])</f>
        <v>2017</v>
      </c>
      <c r="AC579" t="str">
        <f>TEXT(Table1[[#This Row],[Hire Date]],"mmmm")</f>
        <v>مارس</v>
      </c>
      <c r="AD579" t="str">
        <f>IF(Table1[[#This Row],[Resigned]]="yes","former","active")</f>
        <v>active</v>
      </c>
    </row>
    <row r="580" spans="1:30" x14ac:dyDescent="0.3">
      <c r="A580" t="s">
        <v>1225</v>
      </c>
      <c r="B580" t="s">
        <v>1226</v>
      </c>
      <c r="C580" t="s">
        <v>27</v>
      </c>
      <c r="D580">
        <v>53</v>
      </c>
      <c r="E580" t="s">
        <v>56</v>
      </c>
      <c r="F580" t="s">
        <v>57</v>
      </c>
      <c r="G580" t="s">
        <v>58</v>
      </c>
      <c r="H580" t="s">
        <v>31</v>
      </c>
      <c r="I580" t="s">
        <v>65</v>
      </c>
      <c r="J580" s="1">
        <v>44679</v>
      </c>
      <c r="K580">
        <v>4</v>
      </c>
      <c r="L580">
        <v>24314471</v>
      </c>
      <c r="M580">
        <v>2782568</v>
      </c>
      <c r="N580" t="s">
        <v>34</v>
      </c>
      <c r="O580">
        <v>4.93</v>
      </c>
      <c r="P580">
        <v>5</v>
      </c>
      <c r="Q580">
        <v>4</v>
      </c>
      <c r="R580">
        <v>1</v>
      </c>
      <c r="S580">
        <v>5</v>
      </c>
      <c r="T580" t="s">
        <v>34</v>
      </c>
      <c r="U580" t="s">
        <v>34</v>
      </c>
      <c r="V580" t="s">
        <v>51</v>
      </c>
      <c r="W580" t="s">
        <v>33</v>
      </c>
      <c r="X580" t="s">
        <v>52</v>
      </c>
      <c r="Z580" t="str">
        <f>IF(Table1[[#This Row],[Age]]&lt;30,"20-29",IF(Table1[[#This Row],[Age]]&lt;40,"30-39",IF(Table1[[#This Row],[Age]]&lt;50,"40-49","50+")))</f>
        <v>50+</v>
      </c>
      <c r="AA580" t="str">
        <f>IF(Table1[[#This Row],[Salary]]&lt;20000000,"low",IF(Table1[[#This Row],[Salary]]&lt;40000000,"medium","high"))</f>
        <v>medium</v>
      </c>
      <c r="AB580">
        <f>YEAR(Table1[[#This Row],[Hire Date]])</f>
        <v>2022</v>
      </c>
      <c r="AC580" t="str">
        <f>TEXT(Table1[[#This Row],[Hire Date]],"mmmm")</f>
        <v>آوريل</v>
      </c>
      <c r="AD580" t="str">
        <f>IF(Table1[[#This Row],[Resigned]]="yes","former","active")</f>
        <v>active</v>
      </c>
    </row>
    <row r="581" spans="1:30" x14ac:dyDescent="0.3">
      <c r="A581" t="s">
        <v>1227</v>
      </c>
      <c r="B581" t="s">
        <v>1228</v>
      </c>
      <c r="C581" t="s">
        <v>27</v>
      </c>
      <c r="D581">
        <v>50</v>
      </c>
      <c r="E581" t="s">
        <v>28</v>
      </c>
      <c r="F581" t="s">
        <v>29</v>
      </c>
      <c r="G581" t="s">
        <v>30</v>
      </c>
      <c r="H581" t="s">
        <v>42</v>
      </c>
      <c r="I581" t="s">
        <v>43</v>
      </c>
      <c r="J581" s="1">
        <v>45167</v>
      </c>
      <c r="K581">
        <v>3</v>
      </c>
      <c r="L581">
        <v>26368094</v>
      </c>
      <c r="M581">
        <v>7190924</v>
      </c>
      <c r="N581" t="s">
        <v>34</v>
      </c>
      <c r="O581">
        <v>4.28</v>
      </c>
      <c r="P581">
        <v>50</v>
      </c>
      <c r="Q581">
        <v>2</v>
      </c>
      <c r="R581">
        <v>4</v>
      </c>
      <c r="S581">
        <v>14</v>
      </c>
      <c r="T581" t="s">
        <v>34</v>
      </c>
      <c r="U581" t="s">
        <v>34</v>
      </c>
      <c r="V581" t="s">
        <v>59</v>
      </c>
      <c r="W581" t="s">
        <v>33</v>
      </c>
      <c r="X581" t="s">
        <v>52</v>
      </c>
      <c r="Z581" t="str">
        <f>IF(Table1[[#This Row],[Age]]&lt;30,"20-29",IF(Table1[[#This Row],[Age]]&lt;40,"30-39",IF(Table1[[#This Row],[Age]]&lt;50,"40-49","50+")))</f>
        <v>50+</v>
      </c>
      <c r="AA581" t="str">
        <f>IF(Table1[[#This Row],[Salary]]&lt;20000000,"low",IF(Table1[[#This Row],[Salary]]&lt;40000000,"medium","high"))</f>
        <v>medium</v>
      </c>
      <c r="AB581">
        <f>YEAR(Table1[[#This Row],[Hire Date]])</f>
        <v>2023</v>
      </c>
      <c r="AC581" t="str">
        <f>TEXT(Table1[[#This Row],[Hire Date]],"mmmm")</f>
        <v>اوت</v>
      </c>
      <c r="AD581" t="str">
        <f>IF(Table1[[#This Row],[Resigned]]="yes","former","active")</f>
        <v>active</v>
      </c>
    </row>
    <row r="582" spans="1:30" x14ac:dyDescent="0.3">
      <c r="A582" t="s">
        <v>1229</v>
      </c>
      <c r="B582" t="s">
        <v>1230</v>
      </c>
      <c r="C582" t="s">
        <v>27</v>
      </c>
      <c r="D582">
        <v>46</v>
      </c>
      <c r="E582" t="s">
        <v>56</v>
      </c>
      <c r="F582" t="s">
        <v>57</v>
      </c>
      <c r="G582" t="s">
        <v>30</v>
      </c>
      <c r="H582" t="s">
        <v>31</v>
      </c>
      <c r="I582" t="s">
        <v>65</v>
      </c>
      <c r="J582" s="1">
        <v>45515</v>
      </c>
      <c r="K582">
        <v>2</v>
      </c>
      <c r="L582">
        <v>33042975</v>
      </c>
      <c r="M582">
        <v>425067</v>
      </c>
      <c r="N582" t="s">
        <v>34</v>
      </c>
      <c r="O582">
        <v>3.33</v>
      </c>
      <c r="P582">
        <v>29</v>
      </c>
      <c r="Q582">
        <v>5</v>
      </c>
      <c r="R582">
        <v>4</v>
      </c>
      <c r="S582">
        <v>9</v>
      </c>
      <c r="T582" t="s">
        <v>34</v>
      </c>
      <c r="U582" t="s">
        <v>34</v>
      </c>
      <c r="V582" t="s">
        <v>70</v>
      </c>
      <c r="W582" t="s">
        <v>33</v>
      </c>
      <c r="X582" t="s">
        <v>36</v>
      </c>
      <c r="Z582" t="str">
        <f>IF(Table1[[#This Row],[Age]]&lt;30,"20-29",IF(Table1[[#This Row],[Age]]&lt;40,"30-39",IF(Table1[[#This Row],[Age]]&lt;50,"40-49","50+")))</f>
        <v>40-49</v>
      </c>
      <c r="AA582" t="str">
        <f>IF(Table1[[#This Row],[Salary]]&lt;20000000,"low",IF(Table1[[#This Row],[Salary]]&lt;40000000,"medium","high"))</f>
        <v>medium</v>
      </c>
      <c r="AB582">
        <f>YEAR(Table1[[#This Row],[Hire Date]])</f>
        <v>2024</v>
      </c>
      <c r="AC582" t="str">
        <f>TEXT(Table1[[#This Row],[Hire Date]],"mmmm")</f>
        <v>اوت</v>
      </c>
      <c r="AD582" t="str">
        <f>IF(Table1[[#This Row],[Resigned]]="yes","former","active")</f>
        <v>active</v>
      </c>
    </row>
    <row r="583" spans="1:30" x14ac:dyDescent="0.3">
      <c r="A583" t="s">
        <v>1231</v>
      </c>
      <c r="B583" t="s">
        <v>1232</v>
      </c>
      <c r="C583" t="s">
        <v>39</v>
      </c>
      <c r="D583">
        <v>49</v>
      </c>
      <c r="E583" t="s">
        <v>40</v>
      </c>
      <c r="F583" t="s">
        <v>48</v>
      </c>
      <c r="G583" t="s">
        <v>58</v>
      </c>
      <c r="H583" t="s">
        <v>42</v>
      </c>
      <c r="I583" t="s">
        <v>50</v>
      </c>
      <c r="J583" s="1">
        <v>44971</v>
      </c>
      <c r="K583">
        <v>3</v>
      </c>
      <c r="L583">
        <v>33025633</v>
      </c>
      <c r="M583">
        <v>2881535</v>
      </c>
      <c r="N583" t="s">
        <v>33</v>
      </c>
      <c r="O583">
        <v>4.72</v>
      </c>
      <c r="P583">
        <v>76</v>
      </c>
      <c r="Q583">
        <v>3</v>
      </c>
      <c r="R583">
        <v>3</v>
      </c>
      <c r="S583">
        <v>17</v>
      </c>
      <c r="T583" t="s">
        <v>34</v>
      </c>
      <c r="U583" t="s">
        <v>33</v>
      </c>
      <c r="V583" t="s">
        <v>35</v>
      </c>
      <c r="W583" t="s">
        <v>33</v>
      </c>
      <c r="X583" t="s">
        <v>52</v>
      </c>
      <c r="Y583" t="s">
        <v>60</v>
      </c>
      <c r="Z583" t="str">
        <f>IF(Table1[[#This Row],[Age]]&lt;30,"20-29",IF(Table1[[#This Row],[Age]]&lt;40,"30-39",IF(Table1[[#This Row],[Age]]&lt;50,"40-49","50+")))</f>
        <v>40-49</v>
      </c>
      <c r="AA583" t="str">
        <f>IF(Table1[[#This Row],[Salary]]&lt;20000000,"low",IF(Table1[[#This Row],[Salary]]&lt;40000000,"medium","high"))</f>
        <v>medium</v>
      </c>
      <c r="AB583">
        <f>YEAR(Table1[[#This Row],[Hire Date]])</f>
        <v>2023</v>
      </c>
      <c r="AC583" t="str">
        <f>TEXT(Table1[[#This Row],[Hire Date]],"mmmm")</f>
        <v>فوريه</v>
      </c>
      <c r="AD583" t="str">
        <f>IF(Table1[[#This Row],[Resigned]]="yes","former","active")</f>
        <v>former</v>
      </c>
    </row>
    <row r="584" spans="1:30" x14ac:dyDescent="0.3">
      <c r="A584" t="s">
        <v>1233</v>
      </c>
      <c r="B584" t="s">
        <v>1234</v>
      </c>
      <c r="C584" t="s">
        <v>39</v>
      </c>
      <c r="D584">
        <v>44</v>
      </c>
      <c r="E584" t="s">
        <v>56</v>
      </c>
      <c r="F584" t="s">
        <v>57</v>
      </c>
      <c r="G584" t="s">
        <v>30</v>
      </c>
      <c r="H584" t="s">
        <v>42</v>
      </c>
      <c r="I584" t="s">
        <v>43</v>
      </c>
      <c r="J584" s="1">
        <v>42462</v>
      </c>
      <c r="K584">
        <v>10</v>
      </c>
      <c r="L584">
        <v>45001065</v>
      </c>
      <c r="M584">
        <v>1090798</v>
      </c>
      <c r="N584" t="s">
        <v>34</v>
      </c>
      <c r="O584">
        <v>3.52</v>
      </c>
      <c r="P584">
        <v>29</v>
      </c>
      <c r="Q584">
        <v>2</v>
      </c>
      <c r="R584">
        <v>3</v>
      </c>
      <c r="S584">
        <v>17</v>
      </c>
      <c r="T584" t="s">
        <v>34</v>
      </c>
      <c r="U584" t="s">
        <v>34</v>
      </c>
      <c r="V584" t="s">
        <v>51</v>
      </c>
      <c r="W584" t="s">
        <v>33</v>
      </c>
      <c r="X584" t="s">
        <v>36</v>
      </c>
      <c r="Z584" t="str">
        <f>IF(Table1[[#This Row],[Age]]&lt;30,"20-29",IF(Table1[[#This Row],[Age]]&lt;40,"30-39",IF(Table1[[#This Row],[Age]]&lt;50,"40-49","50+")))</f>
        <v>40-49</v>
      </c>
      <c r="AA584" t="str">
        <f>IF(Table1[[#This Row],[Salary]]&lt;20000000,"low",IF(Table1[[#This Row],[Salary]]&lt;40000000,"medium","high"))</f>
        <v>high</v>
      </c>
      <c r="AB584">
        <f>YEAR(Table1[[#This Row],[Hire Date]])</f>
        <v>2016</v>
      </c>
      <c r="AC584" t="str">
        <f>TEXT(Table1[[#This Row],[Hire Date]],"mmmm")</f>
        <v>آوريل</v>
      </c>
      <c r="AD584" t="str">
        <f>IF(Table1[[#This Row],[Resigned]]="yes","former","active")</f>
        <v>active</v>
      </c>
    </row>
    <row r="585" spans="1:30" x14ac:dyDescent="0.3">
      <c r="A585" t="s">
        <v>1235</v>
      </c>
      <c r="B585" t="s">
        <v>1236</v>
      </c>
      <c r="C585" t="s">
        <v>39</v>
      </c>
      <c r="D585">
        <v>51</v>
      </c>
      <c r="E585" t="s">
        <v>56</v>
      </c>
      <c r="F585" t="s">
        <v>57</v>
      </c>
      <c r="G585" t="s">
        <v>49</v>
      </c>
      <c r="H585" t="s">
        <v>42</v>
      </c>
      <c r="I585" t="s">
        <v>32</v>
      </c>
      <c r="J585" s="1">
        <v>43856</v>
      </c>
      <c r="K585">
        <v>6</v>
      </c>
      <c r="L585">
        <v>34660180</v>
      </c>
      <c r="M585">
        <v>3823282</v>
      </c>
      <c r="N585" t="s">
        <v>33</v>
      </c>
      <c r="O585">
        <v>4.33</v>
      </c>
      <c r="P585">
        <v>78</v>
      </c>
      <c r="Q585">
        <v>2</v>
      </c>
      <c r="R585">
        <v>5</v>
      </c>
      <c r="S585">
        <v>4</v>
      </c>
      <c r="T585" t="s">
        <v>33</v>
      </c>
      <c r="U585" t="s">
        <v>34</v>
      </c>
      <c r="V585" t="s">
        <v>59</v>
      </c>
      <c r="W585" t="s">
        <v>33</v>
      </c>
      <c r="X585" t="s">
        <v>45</v>
      </c>
      <c r="Z585" t="str">
        <f>IF(Table1[[#This Row],[Age]]&lt;30,"20-29",IF(Table1[[#This Row],[Age]]&lt;40,"30-39",IF(Table1[[#This Row],[Age]]&lt;50,"40-49","50+")))</f>
        <v>50+</v>
      </c>
      <c r="AA585" t="str">
        <f>IF(Table1[[#This Row],[Salary]]&lt;20000000,"low",IF(Table1[[#This Row],[Salary]]&lt;40000000,"medium","high"))</f>
        <v>medium</v>
      </c>
      <c r="AB585">
        <f>YEAR(Table1[[#This Row],[Hire Date]])</f>
        <v>2020</v>
      </c>
      <c r="AC585" t="str">
        <f>TEXT(Table1[[#This Row],[Hire Date]],"mmmm")</f>
        <v>ژانويه</v>
      </c>
      <c r="AD585" t="str">
        <f>IF(Table1[[#This Row],[Resigned]]="yes","former","active")</f>
        <v>active</v>
      </c>
    </row>
    <row r="586" spans="1:30" x14ac:dyDescent="0.3">
      <c r="A586" t="s">
        <v>1237</v>
      </c>
      <c r="B586" t="s">
        <v>1238</v>
      </c>
      <c r="C586" t="s">
        <v>39</v>
      </c>
      <c r="D586">
        <v>43</v>
      </c>
      <c r="E586" t="s">
        <v>73</v>
      </c>
      <c r="F586" t="s">
        <v>127</v>
      </c>
      <c r="G586" t="s">
        <v>49</v>
      </c>
      <c r="H586" t="s">
        <v>42</v>
      </c>
      <c r="I586" t="s">
        <v>65</v>
      </c>
      <c r="J586" s="1">
        <v>45365</v>
      </c>
      <c r="K586">
        <v>2</v>
      </c>
      <c r="L586">
        <v>25094372</v>
      </c>
      <c r="M586">
        <v>5176316</v>
      </c>
      <c r="N586" t="s">
        <v>33</v>
      </c>
      <c r="O586">
        <v>3.64</v>
      </c>
      <c r="P586">
        <v>76</v>
      </c>
      <c r="Q586">
        <v>5</v>
      </c>
      <c r="R586">
        <v>4</v>
      </c>
      <c r="S586">
        <v>11</v>
      </c>
      <c r="T586" t="s">
        <v>34</v>
      </c>
      <c r="U586" t="s">
        <v>34</v>
      </c>
      <c r="V586" t="s">
        <v>51</v>
      </c>
      <c r="W586" t="s">
        <v>34</v>
      </c>
      <c r="X586" t="s">
        <v>36</v>
      </c>
      <c r="Z586" t="str">
        <f>IF(Table1[[#This Row],[Age]]&lt;30,"20-29",IF(Table1[[#This Row],[Age]]&lt;40,"30-39",IF(Table1[[#This Row],[Age]]&lt;50,"40-49","50+")))</f>
        <v>40-49</v>
      </c>
      <c r="AA586" t="str">
        <f>IF(Table1[[#This Row],[Salary]]&lt;20000000,"low",IF(Table1[[#This Row],[Salary]]&lt;40000000,"medium","high"))</f>
        <v>medium</v>
      </c>
      <c r="AB586">
        <f>YEAR(Table1[[#This Row],[Hire Date]])</f>
        <v>2024</v>
      </c>
      <c r="AC586" t="str">
        <f>TEXT(Table1[[#This Row],[Hire Date]],"mmmm")</f>
        <v>مارس</v>
      </c>
      <c r="AD586" t="str">
        <f>IF(Table1[[#This Row],[Resigned]]="yes","former","active")</f>
        <v>active</v>
      </c>
    </row>
    <row r="587" spans="1:30" x14ac:dyDescent="0.3">
      <c r="A587" t="s">
        <v>1239</v>
      </c>
      <c r="B587" t="s">
        <v>1240</v>
      </c>
      <c r="C587" t="s">
        <v>27</v>
      </c>
      <c r="D587">
        <v>34</v>
      </c>
      <c r="E587" t="s">
        <v>28</v>
      </c>
      <c r="F587" t="s">
        <v>80</v>
      </c>
      <c r="G587" t="s">
        <v>49</v>
      </c>
      <c r="H587" t="s">
        <v>42</v>
      </c>
      <c r="I587" t="s">
        <v>81</v>
      </c>
      <c r="J587" s="1">
        <v>43445</v>
      </c>
      <c r="K587">
        <v>8</v>
      </c>
      <c r="L587">
        <v>26934005</v>
      </c>
      <c r="M587">
        <v>9134468</v>
      </c>
      <c r="N587" t="s">
        <v>33</v>
      </c>
      <c r="O587">
        <v>2.91</v>
      </c>
      <c r="P587">
        <v>5</v>
      </c>
      <c r="Q587">
        <v>2</v>
      </c>
      <c r="R587">
        <v>1</v>
      </c>
      <c r="S587">
        <v>17</v>
      </c>
      <c r="T587" t="s">
        <v>33</v>
      </c>
      <c r="U587" t="s">
        <v>34</v>
      </c>
      <c r="V587" t="s">
        <v>35</v>
      </c>
      <c r="W587" t="s">
        <v>34</v>
      </c>
      <c r="X587" t="s">
        <v>36</v>
      </c>
      <c r="Z587" t="str">
        <f>IF(Table1[[#This Row],[Age]]&lt;30,"20-29",IF(Table1[[#This Row],[Age]]&lt;40,"30-39",IF(Table1[[#This Row],[Age]]&lt;50,"40-49","50+")))</f>
        <v>30-39</v>
      </c>
      <c r="AA587" t="str">
        <f>IF(Table1[[#This Row],[Salary]]&lt;20000000,"low",IF(Table1[[#This Row],[Salary]]&lt;40000000,"medium","high"))</f>
        <v>medium</v>
      </c>
      <c r="AB587">
        <f>YEAR(Table1[[#This Row],[Hire Date]])</f>
        <v>2018</v>
      </c>
      <c r="AC587" t="str">
        <f>TEXT(Table1[[#This Row],[Hire Date]],"mmmm")</f>
        <v>دسامبر</v>
      </c>
      <c r="AD587" t="str">
        <f>IF(Table1[[#This Row],[Resigned]]="yes","former","active")</f>
        <v>active</v>
      </c>
    </row>
    <row r="588" spans="1:30" x14ac:dyDescent="0.3">
      <c r="A588" t="s">
        <v>1241</v>
      </c>
      <c r="B588" t="s">
        <v>1242</v>
      </c>
      <c r="C588" t="s">
        <v>27</v>
      </c>
      <c r="D588">
        <v>49</v>
      </c>
      <c r="E588" t="s">
        <v>73</v>
      </c>
      <c r="F588" t="s">
        <v>127</v>
      </c>
      <c r="G588" t="s">
        <v>49</v>
      </c>
      <c r="H588" t="s">
        <v>31</v>
      </c>
      <c r="I588" t="s">
        <v>43</v>
      </c>
      <c r="J588" s="1">
        <v>42708</v>
      </c>
      <c r="K588">
        <v>10</v>
      </c>
      <c r="L588">
        <v>59687610</v>
      </c>
      <c r="M588">
        <v>6116998</v>
      </c>
      <c r="N588" t="s">
        <v>34</v>
      </c>
      <c r="O588">
        <v>4.62</v>
      </c>
      <c r="P588">
        <v>0</v>
      </c>
      <c r="Q588">
        <v>2</v>
      </c>
      <c r="R588">
        <v>3</v>
      </c>
      <c r="S588">
        <v>7</v>
      </c>
      <c r="T588" t="s">
        <v>34</v>
      </c>
      <c r="U588" t="s">
        <v>34</v>
      </c>
      <c r="V588" t="s">
        <v>59</v>
      </c>
      <c r="W588" t="s">
        <v>34</v>
      </c>
      <c r="X588" t="s">
        <v>36</v>
      </c>
      <c r="Z588" t="str">
        <f>IF(Table1[[#This Row],[Age]]&lt;30,"20-29",IF(Table1[[#This Row],[Age]]&lt;40,"30-39",IF(Table1[[#This Row],[Age]]&lt;50,"40-49","50+")))</f>
        <v>40-49</v>
      </c>
      <c r="AA588" t="str">
        <f>IF(Table1[[#This Row],[Salary]]&lt;20000000,"low",IF(Table1[[#This Row],[Salary]]&lt;40000000,"medium","high"))</f>
        <v>high</v>
      </c>
      <c r="AB588">
        <f>YEAR(Table1[[#This Row],[Hire Date]])</f>
        <v>2016</v>
      </c>
      <c r="AC588" t="str">
        <f>TEXT(Table1[[#This Row],[Hire Date]],"mmmm")</f>
        <v>دسامبر</v>
      </c>
      <c r="AD588" t="str">
        <f>IF(Table1[[#This Row],[Resigned]]="yes","former","active")</f>
        <v>active</v>
      </c>
    </row>
    <row r="589" spans="1:30" x14ac:dyDescent="0.3">
      <c r="A589" t="s">
        <v>1243</v>
      </c>
      <c r="B589" t="s">
        <v>1244</v>
      </c>
      <c r="C589" t="s">
        <v>39</v>
      </c>
      <c r="D589">
        <v>34</v>
      </c>
      <c r="E589" t="s">
        <v>56</v>
      </c>
      <c r="F589" t="s">
        <v>84</v>
      </c>
      <c r="G589" t="s">
        <v>49</v>
      </c>
      <c r="H589" t="s">
        <v>31</v>
      </c>
      <c r="I589" t="s">
        <v>32</v>
      </c>
      <c r="J589" s="1">
        <v>44220</v>
      </c>
      <c r="K589">
        <v>5</v>
      </c>
      <c r="L589">
        <v>31882019</v>
      </c>
      <c r="M589">
        <v>4030593</v>
      </c>
      <c r="N589" t="s">
        <v>34</v>
      </c>
      <c r="O589">
        <v>3.36</v>
      </c>
      <c r="P589">
        <v>2</v>
      </c>
      <c r="Q589">
        <v>5</v>
      </c>
      <c r="R589">
        <v>4</v>
      </c>
      <c r="S589">
        <v>17</v>
      </c>
      <c r="T589" t="s">
        <v>34</v>
      </c>
      <c r="U589" t="s">
        <v>34</v>
      </c>
      <c r="V589" t="s">
        <v>70</v>
      </c>
      <c r="W589" t="s">
        <v>33</v>
      </c>
      <c r="X589" t="s">
        <v>52</v>
      </c>
      <c r="Z589" t="str">
        <f>IF(Table1[[#This Row],[Age]]&lt;30,"20-29",IF(Table1[[#This Row],[Age]]&lt;40,"30-39",IF(Table1[[#This Row],[Age]]&lt;50,"40-49","50+")))</f>
        <v>30-39</v>
      </c>
      <c r="AA589" t="str">
        <f>IF(Table1[[#This Row],[Salary]]&lt;20000000,"low",IF(Table1[[#This Row],[Salary]]&lt;40000000,"medium","high"))</f>
        <v>medium</v>
      </c>
      <c r="AB589">
        <f>YEAR(Table1[[#This Row],[Hire Date]])</f>
        <v>2021</v>
      </c>
      <c r="AC589" t="str">
        <f>TEXT(Table1[[#This Row],[Hire Date]],"mmmm")</f>
        <v>ژانويه</v>
      </c>
      <c r="AD589" t="str">
        <f>IF(Table1[[#This Row],[Resigned]]="yes","former","active")</f>
        <v>active</v>
      </c>
    </row>
    <row r="590" spans="1:30" x14ac:dyDescent="0.3">
      <c r="A590" t="s">
        <v>1245</v>
      </c>
      <c r="B590" t="s">
        <v>1246</v>
      </c>
      <c r="C590" t="s">
        <v>39</v>
      </c>
      <c r="D590">
        <v>56</v>
      </c>
      <c r="E590" t="s">
        <v>73</v>
      </c>
      <c r="F590" t="s">
        <v>74</v>
      </c>
      <c r="G590" t="s">
        <v>30</v>
      </c>
      <c r="H590" t="s">
        <v>31</v>
      </c>
      <c r="I590" t="s">
        <v>43</v>
      </c>
      <c r="J590" s="1">
        <v>44127</v>
      </c>
      <c r="K590">
        <v>6</v>
      </c>
      <c r="L590">
        <v>36683580</v>
      </c>
      <c r="M590">
        <v>1210389</v>
      </c>
      <c r="N590" t="s">
        <v>34</v>
      </c>
      <c r="O590">
        <v>3.6</v>
      </c>
      <c r="P590">
        <v>34</v>
      </c>
      <c r="Q590">
        <v>5</v>
      </c>
      <c r="R590">
        <v>4</v>
      </c>
      <c r="S590">
        <v>14</v>
      </c>
      <c r="T590" t="s">
        <v>33</v>
      </c>
      <c r="U590" t="s">
        <v>34</v>
      </c>
      <c r="V590" t="s">
        <v>70</v>
      </c>
      <c r="W590" t="s">
        <v>33</v>
      </c>
      <c r="X590" t="s">
        <v>45</v>
      </c>
      <c r="Z590" t="str">
        <f>IF(Table1[[#This Row],[Age]]&lt;30,"20-29",IF(Table1[[#This Row],[Age]]&lt;40,"30-39",IF(Table1[[#This Row],[Age]]&lt;50,"40-49","50+")))</f>
        <v>50+</v>
      </c>
      <c r="AA590" t="str">
        <f>IF(Table1[[#This Row],[Salary]]&lt;20000000,"low",IF(Table1[[#This Row],[Salary]]&lt;40000000,"medium","high"))</f>
        <v>medium</v>
      </c>
      <c r="AB590">
        <f>YEAR(Table1[[#This Row],[Hire Date]])</f>
        <v>2020</v>
      </c>
      <c r="AC590" t="str">
        <f>TEXT(Table1[[#This Row],[Hire Date]],"mmmm")</f>
        <v>اُكتبر</v>
      </c>
      <c r="AD590" t="str">
        <f>IF(Table1[[#This Row],[Resigned]]="yes","former","active")</f>
        <v>active</v>
      </c>
    </row>
    <row r="591" spans="1:30" x14ac:dyDescent="0.3">
      <c r="A591" t="s">
        <v>1247</v>
      </c>
      <c r="B591" t="s">
        <v>1248</v>
      </c>
      <c r="C591" t="s">
        <v>39</v>
      </c>
      <c r="D591">
        <v>24</v>
      </c>
      <c r="E591" t="s">
        <v>63</v>
      </c>
      <c r="F591" t="s">
        <v>64</v>
      </c>
      <c r="G591" t="s">
        <v>49</v>
      </c>
      <c r="H591" t="s">
        <v>31</v>
      </c>
      <c r="I591" t="s">
        <v>32</v>
      </c>
      <c r="J591" s="1">
        <v>45491</v>
      </c>
      <c r="K591">
        <v>2</v>
      </c>
      <c r="L591">
        <v>29927301</v>
      </c>
      <c r="M591">
        <v>1095284</v>
      </c>
      <c r="N591" t="s">
        <v>34</v>
      </c>
      <c r="O591">
        <v>3.43</v>
      </c>
      <c r="P591">
        <v>65</v>
      </c>
      <c r="Q591">
        <v>5</v>
      </c>
      <c r="R591">
        <v>5</v>
      </c>
      <c r="S591">
        <v>18</v>
      </c>
      <c r="T591" t="s">
        <v>34</v>
      </c>
      <c r="U591" t="s">
        <v>33</v>
      </c>
      <c r="V591" t="s">
        <v>44</v>
      </c>
      <c r="W591" t="s">
        <v>33</v>
      </c>
      <c r="X591" t="s">
        <v>52</v>
      </c>
      <c r="Y591" t="s">
        <v>53</v>
      </c>
      <c r="Z591" t="str">
        <f>IF(Table1[[#This Row],[Age]]&lt;30,"20-29",IF(Table1[[#This Row],[Age]]&lt;40,"30-39",IF(Table1[[#This Row],[Age]]&lt;50,"40-49","50+")))</f>
        <v>20-29</v>
      </c>
      <c r="AA591" t="str">
        <f>IF(Table1[[#This Row],[Salary]]&lt;20000000,"low",IF(Table1[[#This Row],[Salary]]&lt;40000000,"medium","high"))</f>
        <v>medium</v>
      </c>
      <c r="AB591">
        <f>YEAR(Table1[[#This Row],[Hire Date]])</f>
        <v>2024</v>
      </c>
      <c r="AC591" t="str">
        <f>TEXT(Table1[[#This Row],[Hire Date]],"mmmm")</f>
        <v>ژوئيه</v>
      </c>
      <c r="AD591" t="str">
        <f>IF(Table1[[#This Row],[Resigned]]="yes","former","active")</f>
        <v>former</v>
      </c>
    </row>
    <row r="592" spans="1:30" x14ac:dyDescent="0.3">
      <c r="A592" t="s">
        <v>1249</v>
      </c>
      <c r="B592" t="s">
        <v>1250</v>
      </c>
      <c r="C592" t="s">
        <v>27</v>
      </c>
      <c r="D592">
        <v>34</v>
      </c>
      <c r="E592" t="s">
        <v>110</v>
      </c>
      <c r="F592" t="s">
        <v>111</v>
      </c>
      <c r="G592" t="s">
        <v>49</v>
      </c>
      <c r="H592" t="s">
        <v>31</v>
      </c>
      <c r="I592" t="s">
        <v>50</v>
      </c>
      <c r="J592" s="1">
        <v>44420</v>
      </c>
      <c r="K592">
        <v>5</v>
      </c>
      <c r="L592">
        <v>25732557</v>
      </c>
      <c r="M592">
        <v>1474281</v>
      </c>
      <c r="N592" t="s">
        <v>34</v>
      </c>
      <c r="O592">
        <v>4.5</v>
      </c>
      <c r="P592">
        <v>61</v>
      </c>
      <c r="Q592">
        <v>5</v>
      </c>
      <c r="R592">
        <v>1</v>
      </c>
      <c r="S592">
        <v>3</v>
      </c>
      <c r="T592" t="s">
        <v>34</v>
      </c>
      <c r="U592" t="s">
        <v>33</v>
      </c>
      <c r="V592" t="s">
        <v>70</v>
      </c>
      <c r="W592" t="s">
        <v>34</v>
      </c>
      <c r="X592" t="s">
        <v>52</v>
      </c>
      <c r="Y592" t="s">
        <v>53</v>
      </c>
      <c r="Z592" t="str">
        <f>IF(Table1[[#This Row],[Age]]&lt;30,"20-29",IF(Table1[[#This Row],[Age]]&lt;40,"30-39",IF(Table1[[#This Row],[Age]]&lt;50,"40-49","50+")))</f>
        <v>30-39</v>
      </c>
      <c r="AA592" t="str">
        <f>IF(Table1[[#This Row],[Salary]]&lt;20000000,"low",IF(Table1[[#This Row],[Salary]]&lt;40000000,"medium","high"))</f>
        <v>medium</v>
      </c>
      <c r="AB592">
        <f>YEAR(Table1[[#This Row],[Hire Date]])</f>
        <v>2021</v>
      </c>
      <c r="AC592" t="str">
        <f>TEXT(Table1[[#This Row],[Hire Date]],"mmmm")</f>
        <v>اوت</v>
      </c>
      <c r="AD592" t="str">
        <f>IF(Table1[[#This Row],[Resigned]]="yes","former","active")</f>
        <v>former</v>
      </c>
    </row>
    <row r="593" spans="1:30" x14ac:dyDescent="0.3">
      <c r="A593" t="s">
        <v>1251</v>
      </c>
      <c r="B593" t="s">
        <v>1252</v>
      </c>
      <c r="C593" t="s">
        <v>27</v>
      </c>
      <c r="D593">
        <v>53</v>
      </c>
      <c r="E593" t="s">
        <v>40</v>
      </c>
      <c r="F593" t="s">
        <v>41</v>
      </c>
      <c r="G593" t="s">
        <v>58</v>
      </c>
      <c r="H593" t="s">
        <v>42</v>
      </c>
      <c r="I593" t="s">
        <v>50</v>
      </c>
      <c r="J593" s="1">
        <v>42928</v>
      </c>
      <c r="K593">
        <v>9</v>
      </c>
      <c r="L593">
        <v>40094992</v>
      </c>
      <c r="M593">
        <v>5070376</v>
      </c>
      <c r="N593" t="s">
        <v>33</v>
      </c>
      <c r="O593">
        <v>3.03</v>
      </c>
      <c r="P593">
        <v>2</v>
      </c>
      <c r="Q593">
        <v>3</v>
      </c>
      <c r="R593">
        <v>1</v>
      </c>
      <c r="S593">
        <v>12</v>
      </c>
      <c r="T593" t="s">
        <v>34</v>
      </c>
      <c r="U593" t="s">
        <v>34</v>
      </c>
      <c r="V593" t="s">
        <v>51</v>
      </c>
      <c r="W593" t="s">
        <v>33</v>
      </c>
      <c r="X593" t="s">
        <v>36</v>
      </c>
      <c r="Z593" t="str">
        <f>IF(Table1[[#This Row],[Age]]&lt;30,"20-29",IF(Table1[[#This Row],[Age]]&lt;40,"30-39",IF(Table1[[#This Row],[Age]]&lt;50,"40-49","50+")))</f>
        <v>50+</v>
      </c>
      <c r="AA593" t="str">
        <f>IF(Table1[[#This Row],[Salary]]&lt;20000000,"low",IF(Table1[[#This Row],[Salary]]&lt;40000000,"medium","high"))</f>
        <v>high</v>
      </c>
      <c r="AB593">
        <f>YEAR(Table1[[#This Row],[Hire Date]])</f>
        <v>2017</v>
      </c>
      <c r="AC593" t="str">
        <f>TEXT(Table1[[#This Row],[Hire Date]],"mmmm")</f>
        <v>ژوئيه</v>
      </c>
      <c r="AD593" t="str">
        <f>IF(Table1[[#This Row],[Resigned]]="yes","former","active")</f>
        <v>active</v>
      </c>
    </row>
    <row r="594" spans="1:30" x14ac:dyDescent="0.3">
      <c r="A594" t="s">
        <v>1253</v>
      </c>
      <c r="B594" t="s">
        <v>1254</v>
      </c>
      <c r="C594" t="s">
        <v>27</v>
      </c>
      <c r="D594">
        <v>53</v>
      </c>
      <c r="E594" t="s">
        <v>56</v>
      </c>
      <c r="F594" t="s">
        <v>84</v>
      </c>
      <c r="G594" t="s">
        <v>49</v>
      </c>
      <c r="H594" t="s">
        <v>42</v>
      </c>
      <c r="I594" t="s">
        <v>32</v>
      </c>
      <c r="J594" s="1">
        <v>45856</v>
      </c>
      <c r="K594">
        <v>1</v>
      </c>
      <c r="L594">
        <v>27406511</v>
      </c>
      <c r="M594">
        <v>6707722</v>
      </c>
      <c r="N594" t="s">
        <v>34</v>
      </c>
      <c r="O594">
        <v>3.64</v>
      </c>
      <c r="P594">
        <v>38</v>
      </c>
      <c r="Q594">
        <v>1</v>
      </c>
      <c r="R594">
        <v>3</v>
      </c>
      <c r="S594">
        <v>6</v>
      </c>
      <c r="T594" t="s">
        <v>33</v>
      </c>
      <c r="U594" t="s">
        <v>33</v>
      </c>
      <c r="V594" t="s">
        <v>35</v>
      </c>
      <c r="W594" t="s">
        <v>33</v>
      </c>
      <c r="X594" t="s">
        <v>36</v>
      </c>
      <c r="Y594" t="s">
        <v>60</v>
      </c>
      <c r="Z594" t="str">
        <f>IF(Table1[[#This Row],[Age]]&lt;30,"20-29",IF(Table1[[#This Row],[Age]]&lt;40,"30-39",IF(Table1[[#This Row],[Age]]&lt;50,"40-49","50+")))</f>
        <v>50+</v>
      </c>
      <c r="AA594" t="str">
        <f>IF(Table1[[#This Row],[Salary]]&lt;20000000,"low",IF(Table1[[#This Row],[Salary]]&lt;40000000,"medium","high"))</f>
        <v>medium</v>
      </c>
      <c r="AB594">
        <f>YEAR(Table1[[#This Row],[Hire Date]])</f>
        <v>2025</v>
      </c>
      <c r="AC594" t="str">
        <f>TEXT(Table1[[#This Row],[Hire Date]],"mmmm")</f>
        <v>ژوئيه</v>
      </c>
      <c r="AD594" t="str">
        <f>IF(Table1[[#This Row],[Resigned]]="yes","former","active")</f>
        <v>former</v>
      </c>
    </row>
    <row r="595" spans="1:30" x14ac:dyDescent="0.3">
      <c r="A595" t="s">
        <v>1255</v>
      </c>
      <c r="B595" t="s">
        <v>1256</v>
      </c>
      <c r="C595" t="s">
        <v>27</v>
      </c>
      <c r="D595">
        <v>42</v>
      </c>
      <c r="E595" t="s">
        <v>28</v>
      </c>
      <c r="F595" t="s">
        <v>80</v>
      </c>
      <c r="G595" t="s">
        <v>58</v>
      </c>
      <c r="H595" t="s">
        <v>42</v>
      </c>
      <c r="I595" t="s">
        <v>65</v>
      </c>
      <c r="J595" s="1">
        <v>43923</v>
      </c>
      <c r="K595">
        <v>6</v>
      </c>
      <c r="L595">
        <v>20179205</v>
      </c>
      <c r="M595">
        <v>1347287</v>
      </c>
      <c r="N595" t="s">
        <v>33</v>
      </c>
      <c r="O595">
        <v>4.6900000000000004</v>
      </c>
      <c r="P595">
        <v>44</v>
      </c>
      <c r="Q595">
        <v>1</v>
      </c>
      <c r="R595">
        <v>4</v>
      </c>
      <c r="S595">
        <v>12</v>
      </c>
      <c r="T595" t="s">
        <v>34</v>
      </c>
      <c r="U595" t="s">
        <v>34</v>
      </c>
      <c r="V595" t="s">
        <v>70</v>
      </c>
      <c r="W595" t="s">
        <v>33</v>
      </c>
      <c r="X595" t="s">
        <v>36</v>
      </c>
      <c r="Z595" t="str">
        <f>IF(Table1[[#This Row],[Age]]&lt;30,"20-29",IF(Table1[[#This Row],[Age]]&lt;40,"30-39",IF(Table1[[#This Row],[Age]]&lt;50,"40-49","50+")))</f>
        <v>40-49</v>
      </c>
      <c r="AA595" t="str">
        <f>IF(Table1[[#This Row],[Salary]]&lt;20000000,"low",IF(Table1[[#This Row],[Salary]]&lt;40000000,"medium","high"))</f>
        <v>medium</v>
      </c>
      <c r="AB595">
        <f>YEAR(Table1[[#This Row],[Hire Date]])</f>
        <v>2020</v>
      </c>
      <c r="AC595" t="str">
        <f>TEXT(Table1[[#This Row],[Hire Date]],"mmmm")</f>
        <v>آوريل</v>
      </c>
      <c r="AD595" t="str">
        <f>IF(Table1[[#This Row],[Resigned]]="yes","former","active")</f>
        <v>active</v>
      </c>
    </row>
    <row r="596" spans="1:30" x14ac:dyDescent="0.3">
      <c r="A596" t="s">
        <v>1257</v>
      </c>
      <c r="B596" t="s">
        <v>1258</v>
      </c>
      <c r="C596" t="s">
        <v>39</v>
      </c>
      <c r="D596">
        <v>46</v>
      </c>
      <c r="E596" t="s">
        <v>40</v>
      </c>
      <c r="F596" t="s">
        <v>48</v>
      </c>
      <c r="G596" t="s">
        <v>49</v>
      </c>
      <c r="H596" t="s">
        <v>42</v>
      </c>
      <c r="I596" t="s">
        <v>32</v>
      </c>
      <c r="J596" s="1">
        <v>45655</v>
      </c>
      <c r="K596">
        <v>2</v>
      </c>
      <c r="L596">
        <v>29786281</v>
      </c>
      <c r="M596">
        <v>4069012</v>
      </c>
      <c r="N596" t="s">
        <v>34</v>
      </c>
      <c r="O596">
        <v>3.75</v>
      </c>
      <c r="P596">
        <v>20</v>
      </c>
      <c r="Q596">
        <v>1</v>
      </c>
      <c r="R596">
        <v>4</v>
      </c>
      <c r="S596">
        <v>8</v>
      </c>
      <c r="T596" t="s">
        <v>34</v>
      </c>
      <c r="U596" t="s">
        <v>34</v>
      </c>
      <c r="V596" t="s">
        <v>59</v>
      </c>
      <c r="W596" t="s">
        <v>34</v>
      </c>
      <c r="X596" t="s">
        <v>45</v>
      </c>
      <c r="Z596" t="str">
        <f>IF(Table1[[#This Row],[Age]]&lt;30,"20-29",IF(Table1[[#This Row],[Age]]&lt;40,"30-39",IF(Table1[[#This Row],[Age]]&lt;50,"40-49","50+")))</f>
        <v>40-49</v>
      </c>
      <c r="AA596" t="str">
        <f>IF(Table1[[#This Row],[Salary]]&lt;20000000,"low",IF(Table1[[#This Row],[Salary]]&lt;40000000,"medium","high"))</f>
        <v>medium</v>
      </c>
      <c r="AB596">
        <f>YEAR(Table1[[#This Row],[Hire Date]])</f>
        <v>2024</v>
      </c>
      <c r="AC596" t="str">
        <f>TEXT(Table1[[#This Row],[Hire Date]],"mmmm")</f>
        <v>دسامبر</v>
      </c>
      <c r="AD596" t="str">
        <f>IF(Table1[[#This Row],[Resigned]]="yes","former","active")</f>
        <v>active</v>
      </c>
    </row>
    <row r="597" spans="1:30" x14ac:dyDescent="0.3">
      <c r="A597" t="s">
        <v>1259</v>
      </c>
      <c r="B597" t="s">
        <v>1260</v>
      </c>
      <c r="C597" t="s">
        <v>39</v>
      </c>
      <c r="D597">
        <v>45</v>
      </c>
      <c r="E597" t="s">
        <v>73</v>
      </c>
      <c r="F597" t="s">
        <v>127</v>
      </c>
      <c r="G597" t="s">
        <v>58</v>
      </c>
      <c r="H597" t="s">
        <v>42</v>
      </c>
      <c r="I597" t="s">
        <v>65</v>
      </c>
      <c r="J597" s="1">
        <v>45842</v>
      </c>
      <c r="K597">
        <v>1</v>
      </c>
      <c r="L597">
        <v>14284212</v>
      </c>
      <c r="M597">
        <v>8434851</v>
      </c>
      <c r="N597" t="s">
        <v>34</v>
      </c>
      <c r="O597">
        <v>4.96</v>
      </c>
      <c r="P597">
        <v>70</v>
      </c>
      <c r="Q597">
        <v>4</v>
      </c>
      <c r="R597">
        <v>1</v>
      </c>
      <c r="S597">
        <v>7</v>
      </c>
      <c r="T597" t="s">
        <v>34</v>
      </c>
      <c r="U597" t="s">
        <v>33</v>
      </c>
      <c r="V597" t="s">
        <v>35</v>
      </c>
      <c r="W597" t="s">
        <v>34</v>
      </c>
      <c r="X597" t="s">
        <v>45</v>
      </c>
      <c r="Y597" t="s">
        <v>162</v>
      </c>
      <c r="Z597" t="str">
        <f>IF(Table1[[#This Row],[Age]]&lt;30,"20-29",IF(Table1[[#This Row],[Age]]&lt;40,"30-39",IF(Table1[[#This Row],[Age]]&lt;50,"40-49","50+")))</f>
        <v>40-49</v>
      </c>
      <c r="AA597" t="str">
        <f>IF(Table1[[#This Row],[Salary]]&lt;20000000,"low",IF(Table1[[#This Row],[Salary]]&lt;40000000,"medium","high"))</f>
        <v>low</v>
      </c>
      <c r="AB597">
        <f>YEAR(Table1[[#This Row],[Hire Date]])</f>
        <v>2025</v>
      </c>
      <c r="AC597" t="str">
        <f>TEXT(Table1[[#This Row],[Hire Date]],"mmmm")</f>
        <v>ژوئيه</v>
      </c>
      <c r="AD597" t="str">
        <f>IF(Table1[[#This Row],[Resigned]]="yes","former","active")</f>
        <v>former</v>
      </c>
    </row>
    <row r="598" spans="1:30" x14ac:dyDescent="0.3">
      <c r="A598" t="s">
        <v>1261</v>
      </c>
      <c r="B598" t="s">
        <v>1262</v>
      </c>
      <c r="C598" t="s">
        <v>39</v>
      </c>
      <c r="D598">
        <v>30</v>
      </c>
      <c r="E598" t="s">
        <v>73</v>
      </c>
      <c r="F598" t="s">
        <v>74</v>
      </c>
      <c r="G598" t="s">
        <v>58</v>
      </c>
      <c r="H598" t="s">
        <v>31</v>
      </c>
      <c r="I598" t="s">
        <v>43</v>
      </c>
      <c r="J598" s="1">
        <v>43818</v>
      </c>
      <c r="K598">
        <v>7</v>
      </c>
      <c r="L598">
        <v>45801603</v>
      </c>
      <c r="M598">
        <v>8290850</v>
      </c>
      <c r="N598" t="s">
        <v>33</v>
      </c>
      <c r="O598">
        <v>2.87</v>
      </c>
      <c r="P598">
        <v>78</v>
      </c>
      <c r="Q598">
        <v>1</v>
      </c>
      <c r="R598">
        <v>1</v>
      </c>
      <c r="S598">
        <v>11</v>
      </c>
      <c r="T598" t="s">
        <v>33</v>
      </c>
      <c r="U598" t="s">
        <v>33</v>
      </c>
      <c r="V598" t="s">
        <v>51</v>
      </c>
      <c r="W598" t="s">
        <v>33</v>
      </c>
      <c r="X598" t="s">
        <v>36</v>
      </c>
      <c r="Y598" t="s">
        <v>60</v>
      </c>
      <c r="Z598" t="str">
        <f>IF(Table1[[#This Row],[Age]]&lt;30,"20-29",IF(Table1[[#This Row],[Age]]&lt;40,"30-39",IF(Table1[[#This Row],[Age]]&lt;50,"40-49","50+")))</f>
        <v>30-39</v>
      </c>
      <c r="AA598" t="str">
        <f>IF(Table1[[#This Row],[Salary]]&lt;20000000,"low",IF(Table1[[#This Row],[Salary]]&lt;40000000,"medium","high"))</f>
        <v>high</v>
      </c>
      <c r="AB598">
        <f>YEAR(Table1[[#This Row],[Hire Date]])</f>
        <v>2019</v>
      </c>
      <c r="AC598" t="str">
        <f>TEXT(Table1[[#This Row],[Hire Date]],"mmmm")</f>
        <v>دسامبر</v>
      </c>
      <c r="AD598" t="str">
        <f>IF(Table1[[#This Row],[Resigned]]="yes","former","active")</f>
        <v>former</v>
      </c>
    </row>
    <row r="599" spans="1:30" x14ac:dyDescent="0.3">
      <c r="A599" t="s">
        <v>1263</v>
      </c>
      <c r="B599" t="s">
        <v>1264</v>
      </c>
      <c r="C599" t="s">
        <v>27</v>
      </c>
      <c r="D599">
        <v>46</v>
      </c>
      <c r="E599" t="s">
        <v>110</v>
      </c>
      <c r="F599" t="s">
        <v>120</v>
      </c>
      <c r="G599" t="s">
        <v>30</v>
      </c>
      <c r="H599" t="s">
        <v>31</v>
      </c>
      <c r="I599" t="s">
        <v>65</v>
      </c>
      <c r="J599" s="1">
        <v>42897</v>
      </c>
      <c r="K599">
        <v>9</v>
      </c>
      <c r="L599">
        <v>58816142</v>
      </c>
      <c r="M599">
        <v>889199</v>
      </c>
      <c r="N599" t="s">
        <v>34</v>
      </c>
      <c r="O599">
        <v>4.84</v>
      </c>
      <c r="P599">
        <v>71</v>
      </c>
      <c r="Q599">
        <v>4</v>
      </c>
      <c r="R599">
        <v>5</v>
      </c>
      <c r="S599">
        <v>14</v>
      </c>
      <c r="T599" t="s">
        <v>33</v>
      </c>
      <c r="U599" t="s">
        <v>34</v>
      </c>
      <c r="V599" t="s">
        <v>51</v>
      </c>
      <c r="W599" t="s">
        <v>33</v>
      </c>
      <c r="X599" t="s">
        <v>45</v>
      </c>
      <c r="Z599" t="str">
        <f>IF(Table1[[#This Row],[Age]]&lt;30,"20-29",IF(Table1[[#This Row],[Age]]&lt;40,"30-39",IF(Table1[[#This Row],[Age]]&lt;50,"40-49","50+")))</f>
        <v>40-49</v>
      </c>
      <c r="AA599" t="str">
        <f>IF(Table1[[#This Row],[Salary]]&lt;20000000,"low",IF(Table1[[#This Row],[Salary]]&lt;40000000,"medium","high"))</f>
        <v>high</v>
      </c>
      <c r="AB599">
        <f>YEAR(Table1[[#This Row],[Hire Date]])</f>
        <v>2017</v>
      </c>
      <c r="AC599" t="str">
        <f>TEXT(Table1[[#This Row],[Hire Date]],"mmmm")</f>
        <v>ژوئن</v>
      </c>
      <c r="AD599" t="str">
        <f>IF(Table1[[#This Row],[Resigned]]="yes","former","active")</f>
        <v>active</v>
      </c>
    </row>
    <row r="600" spans="1:30" x14ac:dyDescent="0.3">
      <c r="A600" t="s">
        <v>1265</v>
      </c>
      <c r="B600" t="s">
        <v>1266</v>
      </c>
      <c r="C600" t="s">
        <v>27</v>
      </c>
      <c r="D600">
        <v>35</v>
      </c>
      <c r="E600" t="s">
        <v>56</v>
      </c>
      <c r="F600" t="s">
        <v>84</v>
      </c>
      <c r="G600" t="s">
        <v>30</v>
      </c>
      <c r="H600" t="s">
        <v>31</v>
      </c>
      <c r="I600" t="s">
        <v>81</v>
      </c>
      <c r="J600" s="1">
        <v>44888</v>
      </c>
      <c r="K600">
        <v>4</v>
      </c>
      <c r="L600">
        <v>26661763</v>
      </c>
      <c r="M600">
        <v>702787</v>
      </c>
      <c r="N600" t="s">
        <v>33</v>
      </c>
      <c r="O600">
        <v>2.72</v>
      </c>
      <c r="P600">
        <v>35</v>
      </c>
      <c r="Q600">
        <v>3</v>
      </c>
      <c r="R600">
        <v>3</v>
      </c>
      <c r="S600">
        <v>9</v>
      </c>
      <c r="T600" t="s">
        <v>34</v>
      </c>
      <c r="U600" t="s">
        <v>34</v>
      </c>
      <c r="V600" t="s">
        <v>70</v>
      </c>
      <c r="W600" t="s">
        <v>34</v>
      </c>
      <c r="X600" t="s">
        <v>45</v>
      </c>
      <c r="Z600" t="str">
        <f>IF(Table1[[#This Row],[Age]]&lt;30,"20-29",IF(Table1[[#This Row],[Age]]&lt;40,"30-39",IF(Table1[[#This Row],[Age]]&lt;50,"40-49","50+")))</f>
        <v>30-39</v>
      </c>
      <c r="AA600" t="str">
        <f>IF(Table1[[#This Row],[Salary]]&lt;20000000,"low",IF(Table1[[#This Row],[Salary]]&lt;40000000,"medium","high"))</f>
        <v>medium</v>
      </c>
      <c r="AB600">
        <f>YEAR(Table1[[#This Row],[Hire Date]])</f>
        <v>2022</v>
      </c>
      <c r="AC600" t="str">
        <f>TEXT(Table1[[#This Row],[Hire Date]],"mmmm")</f>
        <v>نوامبر</v>
      </c>
      <c r="AD600" t="str">
        <f>IF(Table1[[#This Row],[Resigned]]="yes","former","active")</f>
        <v>active</v>
      </c>
    </row>
    <row r="601" spans="1:30" x14ac:dyDescent="0.3">
      <c r="A601" t="s">
        <v>1267</v>
      </c>
      <c r="B601" t="s">
        <v>1268</v>
      </c>
      <c r="C601" t="s">
        <v>27</v>
      </c>
      <c r="D601">
        <v>53</v>
      </c>
      <c r="E601" t="s">
        <v>40</v>
      </c>
      <c r="F601" t="s">
        <v>41</v>
      </c>
      <c r="G601" t="s">
        <v>58</v>
      </c>
      <c r="H601" t="s">
        <v>42</v>
      </c>
      <c r="I601" t="s">
        <v>65</v>
      </c>
      <c r="J601" s="1">
        <v>43273</v>
      </c>
      <c r="K601">
        <v>8</v>
      </c>
      <c r="L601">
        <v>12151709</v>
      </c>
      <c r="M601">
        <v>22859</v>
      </c>
      <c r="N601" t="s">
        <v>33</v>
      </c>
      <c r="O601">
        <v>4.16</v>
      </c>
      <c r="P601">
        <v>18</v>
      </c>
      <c r="Q601">
        <v>5</v>
      </c>
      <c r="R601">
        <v>1</v>
      </c>
      <c r="S601">
        <v>9</v>
      </c>
      <c r="T601" t="s">
        <v>34</v>
      </c>
      <c r="U601" t="s">
        <v>34</v>
      </c>
      <c r="V601" t="s">
        <v>51</v>
      </c>
      <c r="W601" t="s">
        <v>34</v>
      </c>
      <c r="X601" t="s">
        <v>45</v>
      </c>
      <c r="Z601" t="str">
        <f>IF(Table1[[#This Row],[Age]]&lt;30,"20-29",IF(Table1[[#This Row],[Age]]&lt;40,"30-39",IF(Table1[[#This Row],[Age]]&lt;50,"40-49","50+")))</f>
        <v>50+</v>
      </c>
      <c r="AA601" t="str">
        <f>IF(Table1[[#This Row],[Salary]]&lt;20000000,"low",IF(Table1[[#This Row],[Salary]]&lt;40000000,"medium","high"))</f>
        <v>low</v>
      </c>
      <c r="AB601">
        <f>YEAR(Table1[[#This Row],[Hire Date]])</f>
        <v>2018</v>
      </c>
      <c r="AC601" t="str">
        <f>TEXT(Table1[[#This Row],[Hire Date]],"mmmm")</f>
        <v>ژوئن</v>
      </c>
      <c r="AD601" t="str">
        <f>IF(Table1[[#This Row],[Resigned]]="yes","former","active")</f>
        <v>active</v>
      </c>
    </row>
    <row r="602" spans="1:30" x14ac:dyDescent="0.3">
      <c r="A602" t="s">
        <v>1269</v>
      </c>
      <c r="B602" t="s">
        <v>1270</v>
      </c>
      <c r="C602" t="s">
        <v>39</v>
      </c>
      <c r="D602">
        <v>54</v>
      </c>
      <c r="E602" t="s">
        <v>28</v>
      </c>
      <c r="F602" t="s">
        <v>80</v>
      </c>
      <c r="G602" t="s">
        <v>30</v>
      </c>
      <c r="H602" t="s">
        <v>31</v>
      </c>
      <c r="I602" t="s">
        <v>50</v>
      </c>
      <c r="J602" s="1">
        <v>42493</v>
      </c>
      <c r="K602">
        <v>10</v>
      </c>
      <c r="L602">
        <v>36525862</v>
      </c>
      <c r="M602">
        <v>5585740</v>
      </c>
      <c r="N602" t="s">
        <v>33</v>
      </c>
      <c r="O602">
        <v>3.25</v>
      </c>
      <c r="P602">
        <v>23</v>
      </c>
      <c r="Q602">
        <v>1</v>
      </c>
      <c r="R602">
        <v>2</v>
      </c>
      <c r="S602">
        <v>11</v>
      </c>
      <c r="T602" t="s">
        <v>33</v>
      </c>
      <c r="U602" t="s">
        <v>34</v>
      </c>
      <c r="V602" t="s">
        <v>35</v>
      </c>
      <c r="W602" t="s">
        <v>34</v>
      </c>
      <c r="X602" t="s">
        <v>45</v>
      </c>
      <c r="Z602" t="str">
        <f>IF(Table1[[#This Row],[Age]]&lt;30,"20-29",IF(Table1[[#This Row],[Age]]&lt;40,"30-39",IF(Table1[[#This Row],[Age]]&lt;50,"40-49","50+")))</f>
        <v>50+</v>
      </c>
      <c r="AA602" t="str">
        <f>IF(Table1[[#This Row],[Salary]]&lt;20000000,"low",IF(Table1[[#This Row],[Salary]]&lt;40000000,"medium","high"))</f>
        <v>medium</v>
      </c>
      <c r="AB602">
        <f>YEAR(Table1[[#This Row],[Hire Date]])</f>
        <v>2016</v>
      </c>
      <c r="AC602" t="str">
        <f>TEXT(Table1[[#This Row],[Hire Date]],"mmmm")</f>
        <v>مه</v>
      </c>
      <c r="AD602" t="str">
        <f>IF(Table1[[#This Row],[Resigned]]="yes","former","active")</f>
        <v>active</v>
      </c>
    </row>
    <row r="603" spans="1:30" x14ac:dyDescent="0.3">
      <c r="A603" t="s">
        <v>1271</v>
      </c>
      <c r="B603" t="s">
        <v>1272</v>
      </c>
      <c r="C603" t="s">
        <v>39</v>
      </c>
      <c r="D603">
        <v>49</v>
      </c>
      <c r="E603" t="s">
        <v>28</v>
      </c>
      <c r="F603" t="s">
        <v>80</v>
      </c>
      <c r="G603" t="s">
        <v>58</v>
      </c>
      <c r="H603" t="s">
        <v>42</v>
      </c>
      <c r="I603" t="s">
        <v>32</v>
      </c>
      <c r="J603" s="1">
        <v>43242</v>
      </c>
      <c r="K603">
        <v>8</v>
      </c>
      <c r="L603">
        <v>36019176</v>
      </c>
      <c r="M603">
        <v>7983724</v>
      </c>
      <c r="N603" t="s">
        <v>33</v>
      </c>
      <c r="O603">
        <v>3.02</v>
      </c>
      <c r="P603">
        <v>37</v>
      </c>
      <c r="Q603">
        <v>4</v>
      </c>
      <c r="R603">
        <v>4</v>
      </c>
      <c r="S603">
        <v>7</v>
      </c>
      <c r="T603" t="s">
        <v>34</v>
      </c>
      <c r="U603" t="s">
        <v>34</v>
      </c>
      <c r="V603" t="s">
        <v>44</v>
      </c>
      <c r="W603" t="s">
        <v>34</v>
      </c>
      <c r="X603" t="s">
        <v>45</v>
      </c>
      <c r="Z603" t="str">
        <f>IF(Table1[[#This Row],[Age]]&lt;30,"20-29",IF(Table1[[#This Row],[Age]]&lt;40,"30-39",IF(Table1[[#This Row],[Age]]&lt;50,"40-49","50+")))</f>
        <v>40-49</v>
      </c>
      <c r="AA603" t="str">
        <f>IF(Table1[[#This Row],[Salary]]&lt;20000000,"low",IF(Table1[[#This Row],[Salary]]&lt;40000000,"medium","high"))</f>
        <v>medium</v>
      </c>
      <c r="AB603">
        <f>YEAR(Table1[[#This Row],[Hire Date]])</f>
        <v>2018</v>
      </c>
      <c r="AC603" t="str">
        <f>TEXT(Table1[[#This Row],[Hire Date]],"mmmm")</f>
        <v>مه</v>
      </c>
      <c r="AD603" t="str">
        <f>IF(Table1[[#This Row],[Resigned]]="yes","former","active")</f>
        <v>active</v>
      </c>
    </row>
    <row r="604" spans="1:30" x14ac:dyDescent="0.3">
      <c r="A604" t="s">
        <v>1273</v>
      </c>
      <c r="B604" t="s">
        <v>1274</v>
      </c>
      <c r="C604" t="s">
        <v>27</v>
      </c>
      <c r="D604">
        <v>22</v>
      </c>
      <c r="E604" t="s">
        <v>56</v>
      </c>
      <c r="F604" t="s">
        <v>84</v>
      </c>
      <c r="G604" t="s">
        <v>30</v>
      </c>
      <c r="H604" t="s">
        <v>42</v>
      </c>
      <c r="I604" t="s">
        <v>50</v>
      </c>
      <c r="J604" s="1">
        <v>42654</v>
      </c>
      <c r="K604">
        <v>10</v>
      </c>
      <c r="L604">
        <v>40588695</v>
      </c>
      <c r="M604">
        <v>3604304</v>
      </c>
      <c r="N604" t="s">
        <v>34</v>
      </c>
      <c r="O604">
        <v>3.18</v>
      </c>
      <c r="P604">
        <v>27</v>
      </c>
      <c r="Q604">
        <v>1</v>
      </c>
      <c r="R604">
        <v>5</v>
      </c>
      <c r="S604">
        <v>17</v>
      </c>
      <c r="T604" t="s">
        <v>34</v>
      </c>
      <c r="U604" t="s">
        <v>34</v>
      </c>
      <c r="V604" t="s">
        <v>35</v>
      </c>
      <c r="W604" t="s">
        <v>34</v>
      </c>
      <c r="X604" t="s">
        <v>52</v>
      </c>
      <c r="Z604" t="str">
        <f>IF(Table1[[#This Row],[Age]]&lt;30,"20-29",IF(Table1[[#This Row],[Age]]&lt;40,"30-39",IF(Table1[[#This Row],[Age]]&lt;50,"40-49","50+")))</f>
        <v>20-29</v>
      </c>
      <c r="AA604" t="str">
        <f>IF(Table1[[#This Row],[Salary]]&lt;20000000,"low",IF(Table1[[#This Row],[Salary]]&lt;40000000,"medium","high"))</f>
        <v>high</v>
      </c>
      <c r="AB604">
        <f>YEAR(Table1[[#This Row],[Hire Date]])</f>
        <v>2016</v>
      </c>
      <c r="AC604" t="str">
        <f>TEXT(Table1[[#This Row],[Hire Date]],"mmmm")</f>
        <v>اُكتبر</v>
      </c>
      <c r="AD604" t="str">
        <f>IF(Table1[[#This Row],[Resigned]]="yes","former","active")</f>
        <v>active</v>
      </c>
    </row>
    <row r="605" spans="1:30" x14ac:dyDescent="0.3">
      <c r="A605" t="s">
        <v>1275</v>
      </c>
      <c r="B605" t="s">
        <v>1276</v>
      </c>
      <c r="C605" t="s">
        <v>27</v>
      </c>
      <c r="D605">
        <v>23</v>
      </c>
      <c r="E605" t="s">
        <v>28</v>
      </c>
      <c r="F605" t="s">
        <v>29</v>
      </c>
      <c r="G605" t="s">
        <v>58</v>
      </c>
      <c r="H605" t="s">
        <v>31</v>
      </c>
      <c r="I605" t="s">
        <v>43</v>
      </c>
      <c r="J605" s="1">
        <v>43134</v>
      </c>
      <c r="K605">
        <v>8</v>
      </c>
      <c r="L605">
        <v>20203028</v>
      </c>
      <c r="M605">
        <v>3454075</v>
      </c>
      <c r="N605" t="s">
        <v>33</v>
      </c>
      <c r="O605">
        <v>3.87</v>
      </c>
      <c r="P605">
        <v>78</v>
      </c>
      <c r="Q605">
        <v>1</v>
      </c>
      <c r="R605">
        <v>2</v>
      </c>
      <c r="S605">
        <v>1</v>
      </c>
      <c r="T605" t="s">
        <v>33</v>
      </c>
      <c r="U605" t="s">
        <v>34</v>
      </c>
      <c r="V605" t="s">
        <v>70</v>
      </c>
      <c r="W605" t="s">
        <v>33</v>
      </c>
      <c r="X605" t="s">
        <v>36</v>
      </c>
      <c r="Z605" t="str">
        <f>IF(Table1[[#This Row],[Age]]&lt;30,"20-29",IF(Table1[[#This Row],[Age]]&lt;40,"30-39",IF(Table1[[#This Row],[Age]]&lt;50,"40-49","50+")))</f>
        <v>20-29</v>
      </c>
      <c r="AA605" t="str">
        <f>IF(Table1[[#This Row],[Salary]]&lt;20000000,"low",IF(Table1[[#This Row],[Salary]]&lt;40000000,"medium","high"))</f>
        <v>medium</v>
      </c>
      <c r="AB605">
        <f>YEAR(Table1[[#This Row],[Hire Date]])</f>
        <v>2018</v>
      </c>
      <c r="AC605" t="str">
        <f>TEXT(Table1[[#This Row],[Hire Date]],"mmmm")</f>
        <v>فوريه</v>
      </c>
      <c r="AD605" t="str">
        <f>IF(Table1[[#This Row],[Resigned]]="yes","former","active")</f>
        <v>active</v>
      </c>
    </row>
    <row r="606" spans="1:30" x14ac:dyDescent="0.3">
      <c r="A606" t="s">
        <v>1277</v>
      </c>
      <c r="B606" t="s">
        <v>1278</v>
      </c>
      <c r="C606" t="s">
        <v>27</v>
      </c>
      <c r="D606">
        <v>30</v>
      </c>
      <c r="E606" t="s">
        <v>40</v>
      </c>
      <c r="F606" t="s">
        <v>48</v>
      </c>
      <c r="G606" t="s">
        <v>30</v>
      </c>
      <c r="H606" t="s">
        <v>31</v>
      </c>
      <c r="I606" t="s">
        <v>32</v>
      </c>
      <c r="J606" s="1">
        <v>45404</v>
      </c>
      <c r="K606">
        <v>2</v>
      </c>
      <c r="L606">
        <v>49577221</v>
      </c>
      <c r="M606">
        <v>2561681</v>
      </c>
      <c r="N606" t="s">
        <v>34</v>
      </c>
      <c r="O606">
        <v>3.22</v>
      </c>
      <c r="P606">
        <v>6</v>
      </c>
      <c r="Q606">
        <v>5</v>
      </c>
      <c r="R606">
        <v>1</v>
      </c>
      <c r="S606">
        <v>8</v>
      </c>
      <c r="T606" t="s">
        <v>34</v>
      </c>
      <c r="U606" t="s">
        <v>34</v>
      </c>
      <c r="V606" t="s">
        <v>59</v>
      </c>
      <c r="W606" t="s">
        <v>34</v>
      </c>
      <c r="X606" t="s">
        <v>36</v>
      </c>
      <c r="Z606" t="str">
        <f>IF(Table1[[#This Row],[Age]]&lt;30,"20-29",IF(Table1[[#This Row],[Age]]&lt;40,"30-39",IF(Table1[[#This Row],[Age]]&lt;50,"40-49","50+")))</f>
        <v>30-39</v>
      </c>
      <c r="AA606" t="str">
        <f>IF(Table1[[#This Row],[Salary]]&lt;20000000,"low",IF(Table1[[#This Row],[Salary]]&lt;40000000,"medium","high"))</f>
        <v>high</v>
      </c>
      <c r="AB606">
        <f>YEAR(Table1[[#This Row],[Hire Date]])</f>
        <v>2024</v>
      </c>
      <c r="AC606" t="str">
        <f>TEXT(Table1[[#This Row],[Hire Date]],"mmmm")</f>
        <v>آوريل</v>
      </c>
      <c r="AD606" t="str">
        <f>IF(Table1[[#This Row],[Resigned]]="yes","former","active")</f>
        <v>active</v>
      </c>
    </row>
    <row r="607" spans="1:30" x14ac:dyDescent="0.3">
      <c r="A607" t="s">
        <v>1279</v>
      </c>
      <c r="B607" t="s">
        <v>1280</v>
      </c>
      <c r="C607" t="s">
        <v>39</v>
      </c>
      <c r="D607">
        <v>46</v>
      </c>
      <c r="E607" t="s">
        <v>40</v>
      </c>
      <c r="F607" t="s">
        <v>48</v>
      </c>
      <c r="G607" t="s">
        <v>49</v>
      </c>
      <c r="H607" t="s">
        <v>42</v>
      </c>
      <c r="I607" t="s">
        <v>43</v>
      </c>
      <c r="J607" s="1">
        <v>43004</v>
      </c>
      <c r="K607">
        <v>9</v>
      </c>
      <c r="L607">
        <v>17179894</v>
      </c>
      <c r="M607">
        <v>1108827</v>
      </c>
      <c r="N607" t="s">
        <v>34</v>
      </c>
      <c r="O607">
        <v>4.1100000000000003</v>
      </c>
      <c r="P607">
        <v>15</v>
      </c>
      <c r="Q607">
        <v>2</v>
      </c>
      <c r="R607">
        <v>2</v>
      </c>
      <c r="S607">
        <v>8</v>
      </c>
      <c r="T607" t="s">
        <v>33</v>
      </c>
      <c r="U607" t="s">
        <v>34</v>
      </c>
      <c r="V607" t="s">
        <v>59</v>
      </c>
      <c r="W607" t="s">
        <v>33</v>
      </c>
      <c r="X607" t="s">
        <v>36</v>
      </c>
      <c r="Z607" t="str">
        <f>IF(Table1[[#This Row],[Age]]&lt;30,"20-29",IF(Table1[[#This Row],[Age]]&lt;40,"30-39",IF(Table1[[#This Row],[Age]]&lt;50,"40-49","50+")))</f>
        <v>40-49</v>
      </c>
      <c r="AA607" t="str">
        <f>IF(Table1[[#This Row],[Salary]]&lt;20000000,"low",IF(Table1[[#This Row],[Salary]]&lt;40000000,"medium","high"))</f>
        <v>low</v>
      </c>
      <c r="AB607">
        <f>YEAR(Table1[[#This Row],[Hire Date]])</f>
        <v>2017</v>
      </c>
      <c r="AC607" t="str">
        <f>TEXT(Table1[[#This Row],[Hire Date]],"mmmm")</f>
        <v>سپتامبر</v>
      </c>
      <c r="AD607" t="str">
        <f>IF(Table1[[#This Row],[Resigned]]="yes","former","active")</f>
        <v>active</v>
      </c>
    </row>
    <row r="608" spans="1:30" x14ac:dyDescent="0.3">
      <c r="A608" t="s">
        <v>1281</v>
      </c>
      <c r="B608" t="s">
        <v>1282</v>
      </c>
      <c r="C608" t="s">
        <v>39</v>
      </c>
      <c r="D608">
        <v>36</v>
      </c>
      <c r="E608" t="s">
        <v>28</v>
      </c>
      <c r="F608" t="s">
        <v>29</v>
      </c>
      <c r="G608" t="s">
        <v>49</v>
      </c>
      <c r="H608" t="s">
        <v>31</v>
      </c>
      <c r="I608" t="s">
        <v>65</v>
      </c>
      <c r="J608" s="1">
        <v>43214</v>
      </c>
      <c r="K608">
        <v>8</v>
      </c>
      <c r="L608">
        <v>31915571</v>
      </c>
      <c r="M608">
        <v>2405308</v>
      </c>
      <c r="N608" t="s">
        <v>34</v>
      </c>
      <c r="O608">
        <v>2.87</v>
      </c>
      <c r="P608">
        <v>25</v>
      </c>
      <c r="Q608">
        <v>3</v>
      </c>
      <c r="R608">
        <v>5</v>
      </c>
      <c r="S608">
        <v>6</v>
      </c>
      <c r="T608" t="s">
        <v>33</v>
      </c>
      <c r="U608" t="s">
        <v>34</v>
      </c>
      <c r="V608" t="s">
        <v>59</v>
      </c>
      <c r="W608" t="s">
        <v>33</v>
      </c>
      <c r="X608" t="s">
        <v>36</v>
      </c>
      <c r="Z608" t="str">
        <f>IF(Table1[[#This Row],[Age]]&lt;30,"20-29",IF(Table1[[#This Row],[Age]]&lt;40,"30-39",IF(Table1[[#This Row],[Age]]&lt;50,"40-49","50+")))</f>
        <v>30-39</v>
      </c>
      <c r="AA608" t="str">
        <f>IF(Table1[[#This Row],[Salary]]&lt;20000000,"low",IF(Table1[[#This Row],[Salary]]&lt;40000000,"medium","high"))</f>
        <v>medium</v>
      </c>
      <c r="AB608">
        <f>YEAR(Table1[[#This Row],[Hire Date]])</f>
        <v>2018</v>
      </c>
      <c r="AC608" t="str">
        <f>TEXT(Table1[[#This Row],[Hire Date]],"mmmm")</f>
        <v>آوريل</v>
      </c>
      <c r="AD608" t="str">
        <f>IF(Table1[[#This Row],[Resigned]]="yes","former","active")</f>
        <v>active</v>
      </c>
    </row>
    <row r="609" spans="1:30" x14ac:dyDescent="0.3">
      <c r="A609" t="s">
        <v>1283</v>
      </c>
      <c r="B609" t="s">
        <v>1284</v>
      </c>
      <c r="C609" t="s">
        <v>39</v>
      </c>
      <c r="D609">
        <v>47</v>
      </c>
      <c r="E609" t="s">
        <v>28</v>
      </c>
      <c r="F609" t="s">
        <v>29</v>
      </c>
      <c r="G609" t="s">
        <v>49</v>
      </c>
      <c r="H609" t="s">
        <v>31</v>
      </c>
      <c r="I609" t="s">
        <v>43</v>
      </c>
      <c r="J609" s="1">
        <v>44023</v>
      </c>
      <c r="K609">
        <v>6</v>
      </c>
      <c r="L609">
        <v>18672171</v>
      </c>
      <c r="M609">
        <v>6753682</v>
      </c>
      <c r="N609" t="s">
        <v>33</v>
      </c>
      <c r="O609">
        <v>4.6399999999999997</v>
      </c>
      <c r="P609">
        <v>24</v>
      </c>
      <c r="Q609">
        <v>1</v>
      </c>
      <c r="R609">
        <v>2</v>
      </c>
      <c r="S609">
        <v>12</v>
      </c>
      <c r="T609" t="s">
        <v>34</v>
      </c>
      <c r="U609" t="s">
        <v>34</v>
      </c>
      <c r="V609" t="s">
        <v>51</v>
      </c>
      <c r="W609" t="s">
        <v>34</v>
      </c>
      <c r="X609" t="s">
        <v>36</v>
      </c>
      <c r="Z609" t="str">
        <f>IF(Table1[[#This Row],[Age]]&lt;30,"20-29",IF(Table1[[#This Row],[Age]]&lt;40,"30-39",IF(Table1[[#This Row],[Age]]&lt;50,"40-49","50+")))</f>
        <v>40-49</v>
      </c>
      <c r="AA609" t="str">
        <f>IF(Table1[[#This Row],[Salary]]&lt;20000000,"low",IF(Table1[[#This Row],[Salary]]&lt;40000000,"medium","high"))</f>
        <v>low</v>
      </c>
      <c r="AB609">
        <f>YEAR(Table1[[#This Row],[Hire Date]])</f>
        <v>2020</v>
      </c>
      <c r="AC609" t="str">
        <f>TEXT(Table1[[#This Row],[Hire Date]],"mmmm")</f>
        <v>ژوئيه</v>
      </c>
      <c r="AD609" t="str">
        <f>IF(Table1[[#This Row],[Resigned]]="yes","former","active")</f>
        <v>active</v>
      </c>
    </row>
    <row r="610" spans="1:30" x14ac:dyDescent="0.3">
      <c r="A610" t="s">
        <v>1285</v>
      </c>
      <c r="B610" t="s">
        <v>1286</v>
      </c>
      <c r="C610" t="s">
        <v>39</v>
      </c>
      <c r="D610">
        <v>49</v>
      </c>
      <c r="E610" t="s">
        <v>63</v>
      </c>
      <c r="F610" t="s">
        <v>93</v>
      </c>
      <c r="G610" t="s">
        <v>58</v>
      </c>
      <c r="H610" t="s">
        <v>31</v>
      </c>
      <c r="I610" t="s">
        <v>43</v>
      </c>
      <c r="J610" s="1">
        <v>43674</v>
      </c>
      <c r="K610">
        <v>7</v>
      </c>
      <c r="L610">
        <v>46536443</v>
      </c>
      <c r="M610">
        <v>2239306</v>
      </c>
      <c r="N610" t="s">
        <v>33</v>
      </c>
      <c r="O610">
        <v>4.0199999999999996</v>
      </c>
      <c r="P610">
        <v>28</v>
      </c>
      <c r="Q610">
        <v>4</v>
      </c>
      <c r="R610">
        <v>3</v>
      </c>
      <c r="S610">
        <v>6</v>
      </c>
      <c r="T610" t="s">
        <v>33</v>
      </c>
      <c r="U610" t="s">
        <v>34</v>
      </c>
      <c r="V610" t="s">
        <v>70</v>
      </c>
      <c r="W610" t="s">
        <v>34</v>
      </c>
      <c r="X610" t="s">
        <v>45</v>
      </c>
      <c r="Z610" t="str">
        <f>IF(Table1[[#This Row],[Age]]&lt;30,"20-29",IF(Table1[[#This Row],[Age]]&lt;40,"30-39",IF(Table1[[#This Row],[Age]]&lt;50,"40-49","50+")))</f>
        <v>40-49</v>
      </c>
      <c r="AA610" t="str">
        <f>IF(Table1[[#This Row],[Salary]]&lt;20000000,"low",IF(Table1[[#This Row],[Salary]]&lt;40000000,"medium","high"))</f>
        <v>high</v>
      </c>
      <c r="AB610">
        <f>YEAR(Table1[[#This Row],[Hire Date]])</f>
        <v>2019</v>
      </c>
      <c r="AC610" t="str">
        <f>TEXT(Table1[[#This Row],[Hire Date]],"mmmm")</f>
        <v>ژوئيه</v>
      </c>
      <c r="AD610" t="str">
        <f>IF(Table1[[#This Row],[Resigned]]="yes","former","active")</f>
        <v>active</v>
      </c>
    </row>
    <row r="611" spans="1:30" x14ac:dyDescent="0.3">
      <c r="A611" t="s">
        <v>1287</v>
      </c>
      <c r="B611" t="s">
        <v>1288</v>
      </c>
      <c r="C611" t="s">
        <v>39</v>
      </c>
      <c r="D611">
        <v>55</v>
      </c>
      <c r="E611" t="s">
        <v>40</v>
      </c>
      <c r="F611" t="s">
        <v>41</v>
      </c>
      <c r="G611" t="s">
        <v>49</v>
      </c>
      <c r="H611" t="s">
        <v>42</v>
      </c>
      <c r="I611" t="s">
        <v>50</v>
      </c>
      <c r="J611" s="1">
        <v>43395</v>
      </c>
      <c r="K611">
        <v>8</v>
      </c>
      <c r="L611">
        <v>41450599</v>
      </c>
      <c r="M611">
        <v>4697989</v>
      </c>
      <c r="N611" t="s">
        <v>34</v>
      </c>
      <c r="O611">
        <v>2.54</v>
      </c>
      <c r="P611">
        <v>42</v>
      </c>
      <c r="Q611">
        <v>5</v>
      </c>
      <c r="R611">
        <v>4</v>
      </c>
      <c r="S611">
        <v>13</v>
      </c>
      <c r="T611" t="s">
        <v>34</v>
      </c>
      <c r="U611" t="s">
        <v>33</v>
      </c>
      <c r="V611" t="s">
        <v>59</v>
      </c>
      <c r="W611" t="s">
        <v>34</v>
      </c>
      <c r="X611" t="s">
        <v>45</v>
      </c>
      <c r="Y611" t="s">
        <v>75</v>
      </c>
      <c r="Z611" t="str">
        <f>IF(Table1[[#This Row],[Age]]&lt;30,"20-29",IF(Table1[[#This Row],[Age]]&lt;40,"30-39",IF(Table1[[#This Row],[Age]]&lt;50,"40-49","50+")))</f>
        <v>50+</v>
      </c>
      <c r="AA611" t="str">
        <f>IF(Table1[[#This Row],[Salary]]&lt;20000000,"low",IF(Table1[[#This Row],[Salary]]&lt;40000000,"medium","high"))</f>
        <v>high</v>
      </c>
      <c r="AB611">
        <f>YEAR(Table1[[#This Row],[Hire Date]])</f>
        <v>2018</v>
      </c>
      <c r="AC611" t="str">
        <f>TEXT(Table1[[#This Row],[Hire Date]],"mmmm")</f>
        <v>اُكتبر</v>
      </c>
      <c r="AD611" t="str">
        <f>IF(Table1[[#This Row],[Resigned]]="yes","former","active")</f>
        <v>former</v>
      </c>
    </row>
    <row r="612" spans="1:30" x14ac:dyDescent="0.3">
      <c r="A612" t="s">
        <v>1289</v>
      </c>
      <c r="B612" t="s">
        <v>1290</v>
      </c>
      <c r="C612" t="s">
        <v>39</v>
      </c>
      <c r="D612">
        <v>50</v>
      </c>
      <c r="E612" t="s">
        <v>40</v>
      </c>
      <c r="F612" t="s">
        <v>41</v>
      </c>
      <c r="G612" t="s">
        <v>58</v>
      </c>
      <c r="H612" t="s">
        <v>42</v>
      </c>
      <c r="I612" t="s">
        <v>32</v>
      </c>
      <c r="J612" s="1">
        <v>43538</v>
      </c>
      <c r="K612">
        <v>7</v>
      </c>
      <c r="L612">
        <v>21893335</v>
      </c>
      <c r="M612">
        <v>2246936</v>
      </c>
      <c r="N612" t="s">
        <v>33</v>
      </c>
      <c r="O612">
        <v>4.08</v>
      </c>
      <c r="P612">
        <v>58</v>
      </c>
      <c r="Q612">
        <v>3</v>
      </c>
      <c r="R612">
        <v>5</v>
      </c>
      <c r="S612">
        <v>10</v>
      </c>
      <c r="T612" t="s">
        <v>34</v>
      </c>
      <c r="U612" t="s">
        <v>34</v>
      </c>
      <c r="V612" t="s">
        <v>51</v>
      </c>
      <c r="W612" t="s">
        <v>34</v>
      </c>
      <c r="X612" t="s">
        <v>36</v>
      </c>
      <c r="Z612" t="str">
        <f>IF(Table1[[#This Row],[Age]]&lt;30,"20-29",IF(Table1[[#This Row],[Age]]&lt;40,"30-39",IF(Table1[[#This Row],[Age]]&lt;50,"40-49","50+")))</f>
        <v>50+</v>
      </c>
      <c r="AA612" t="str">
        <f>IF(Table1[[#This Row],[Salary]]&lt;20000000,"low",IF(Table1[[#This Row],[Salary]]&lt;40000000,"medium","high"))</f>
        <v>medium</v>
      </c>
      <c r="AB612">
        <f>YEAR(Table1[[#This Row],[Hire Date]])</f>
        <v>2019</v>
      </c>
      <c r="AC612" t="str">
        <f>TEXT(Table1[[#This Row],[Hire Date]],"mmmm")</f>
        <v>مارس</v>
      </c>
      <c r="AD612" t="str">
        <f>IF(Table1[[#This Row],[Resigned]]="yes","former","active")</f>
        <v>active</v>
      </c>
    </row>
    <row r="613" spans="1:30" x14ac:dyDescent="0.3">
      <c r="A613" t="s">
        <v>1291</v>
      </c>
      <c r="B613" t="s">
        <v>1292</v>
      </c>
      <c r="C613" t="s">
        <v>39</v>
      </c>
      <c r="D613">
        <v>53</v>
      </c>
      <c r="E613" t="s">
        <v>63</v>
      </c>
      <c r="F613" t="s">
        <v>93</v>
      </c>
      <c r="G613" t="s">
        <v>58</v>
      </c>
      <c r="H613" t="s">
        <v>31</v>
      </c>
      <c r="I613" t="s">
        <v>50</v>
      </c>
      <c r="J613" s="1">
        <v>45143</v>
      </c>
      <c r="K613">
        <v>3</v>
      </c>
      <c r="L613">
        <v>41474330</v>
      </c>
      <c r="M613">
        <v>9258858</v>
      </c>
      <c r="N613" t="s">
        <v>34</v>
      </c>
      <c r="O613">
        <v>2.89</v>
      </c>
      <c r="P613">
        <v>26</v>
      </c>
      <c r="Q613">
        <v>4</v>
      </c>
      <c r="R613">
        <v>4</v>
      </c>
      <c r="S613">
        <v>11</v>
      </c>
      <c r="T613" t="s">
        <v>33</v>
      </c>
      <c r="U613" t="s">
        <v>34</v>
      </c>
      <c r="V613" t="s">
        <v>70</v>
      </c>
      <c r="W613" t="s">
        <v>34</v>
      </c>
      <c r="X613" t="s">
        <v>45</v>
      </c>
      <c r="Z613" t="str">
        <f>IF(Table1[[#This Row],[Age]]&lt;30,"20-29",IF(Table1[[#This Row],[Age]]&lt;40,"30-39",IF(Table1[[#This Row],[Age]]&lt;50,"40-49","50+")))</f>
        <v>50+</v>
      </c>
      <c r="AA613" t="str">
        <f>IF(Table1[[#This Row],[Salary]]&lt;20000000,"low",IF(Table1[[#This Row],[Salary]]&lt;40000000,"medium","high"))</f>
        <v>high</v>
      </c>
      <c r="AB613">
        <f>YEAR(Table1[[#This Row],[Hire Date]])</f>
        <v>2023</v>
      </c>
      <c r="AC613" t="str">
        <f>TEXT(Table1[[#This Row],[Hire Date]],"mmmm")</f>
        <v>اوت</v>
      </c>
      <c r="AD613" t="str">
        <f>IF(Table1[[#This Row],[Resigned]]="yes","former","active")</f>
        <v>active</v>
      </c>
    </row>
    <row r="614" spans="1:30" x14ac:dyDescent="0.3">
      <c r="A614" t="s">
        <v>1293</v>
      </c>
      <c r="B614" t="s">
        <v>1294</v>
      </c>
      <c r="C614" t="s">
        <v>27</v>
      </c>
      <c r="D614">
        <v>36</v>
      </c>
      <c r="E614" t="s">
        <v>73</v>
      </c>
      <c r="F614" t="s">
        <v>127</v>
      </c>
      <c r="G614" t="s">
        <v>49</v>
      </c>
      <c r="H614" t="s">
        <v>31</v>
      </c>
      <c r="I614" t="s">
        <v>65</v>
      </c>
      <c r="J614" s="1">
        <v>43671</v>
      </c>
      <c r="K614">
        <v>7</v>
      </c>
      <c r="L614">
        <v>40875225</v>
      </c>
      <c r="M614">
        <v>8154938</v>
      </c>
      <c r="N614" t="s">
        <v>33</v>
      </c>
      <c r="O614">
        <v>4.8</v>
      </c>
      <c r="P614">
        <v>9</v>
      </c>
      <c r="Q614">
        <v>1</v>
      </c>
      <c r="R614">
        <v>5</v>
      </c>
      <c r="S614">
        <v>15</v>
      </c>
      <c r="T614" t="s">
        <v>34</v>
      </c>
      <c r="U614" t="s">
        <v>34</v>
      </c>
      <c r="V614" t="s">
        <v>35</v>
      </c>
      <c r="W614" t="s">
        <v>33</v>
      </c>
      <c r="X614" t="s">
        <v>45</v>
      </c>
      <c r="Z614" t="str">
        <f>IF(Table1[[#This Row],[Age]]&lt;30,"20-29",IF(Table1[[#This Row],[Age]]&lt;40,"30-39",IF(Table1[[#This Row],[Age]]&lt;50,"40-49","50+")))</f>
        <v>30-39</v>
      </c>
      <c r="AA614" t="str">
        <f>IF(Table1[[#This Row],[Salary]]&lt;20000000,"low",IF(Table1[[#This Row],[Salary]]&lt;40000000,"medium","high"))</f>
        <v>high</v>
      </c>
      <c r="AB614">
        <f>YEAR(Table1[[#This Row],[Hire Date]])</f>
        <v>2019</v>
      </c>
      <c r="AC614" t="str">
        <f>TEXT(Table1[[#This Row],[Hire Date]],"mmmm")</f>
        <v>ژوئيه</v>
      </c>
      <c r="AD614" t="str">
        <f>IF(Table1[[#This Row],[Resigned]]="yes","former","active")</f>
        <v>active</v>
      </c>
    </row>
    <row r="615" spans="1:30" x14ac:dyDescent="0.3">
      <c r="A615" t="s">
        <v>1295</v>
      </c>
      <c r="B615" t="s">
        <v>1296</v>
      </c>
      <c r="C615" t="s">
        <v>39</v>
      </c>
      <c r="D615">
        <v>47</v>
      </c>
      <c r="E615" t="s">
        <v>63</v>
      </c>
      <c r="F615" t="s">
        <v>64</v>
      </c>
      <c r="G615" t="s">
        <v>30</v>
      </c>
      <c r="H615" t="s">
        <v>31</v>
      </c>
      <c r="I615" t="s">
        <v>81</v>
      </c>
      <c r="J615" s="1">
        <v>44512</v>
      </c>
      <c r="K615">
        <v>5</v>
      </c>
      <c r="L615">
        <v>20010977</v>
      </c>
      <c r="M615">
        <v>157193</v>
      </c>
      <c r="N615" t="s">
        <v>34</v>
      </c>
      <c r="O615">
        <v>3.21</v>
      </c>
      <c r="P615">
        <v>18</v>
      </c>
      <c r="Q615">
        <v>3</v>
      </c>
      <c r="R615">
        <v>1</v>
      </c>
      <c r="S615">
        <v>5</v>
      </c>
      <c r="T615" t="s">
        <v>33</v>
      </c>
      <c r="U615" t="s">
        <v>34</v>
      </c>
      <c r="V615" t="s">
        <v>44</v>
      </c>
      <c r="W615" t="s">
        <v>33</v>
      </c>
      <c r="X615" t="s">
        <v>45</v>
      </c>
      <c r="Z615" t="str">
        <f>IF(Table1[[#This Row],[Age]]&lt;30,"20-29",IF(Table1[[#This Row],[Age]]&lt;40,"30-39",IF(Table1[[#This Row],[Age]]&lt;50,"40-49","50+")))</f>
        <v>40-49</v>
      </c>
      <c r="AA615" t="str">
        <f>IF(Table1[[#This Row],[Salary]]&lt;20000000,"low",IF(Table1[[#This Row],[Salary]]&lt;40000000,"medium","high"))</f>
        <v>medium</v>
      </c>
      <c r="AB615">
        <f>YEAR(Table1[[#This Row],[Hire Date]])</f>
        <v>2021</v>
      </c>
      <c r="AC615" t="str">
        <f>TEXT(Table1[[#This Row],[Hire Date]],"mmmm")</f>
        <v>نوامبر</v>
      </c>
      <c r="AD615" t="str">
        <f>IF(Table1[[#This Row],[Resigned]]="yes","former","active")</f>
        <v>active</v>
      </c>
    </row>
    <row r="616" spans="1:30" x14ac:dyDescent="0.3">
      <c r="A616" t="s">
        <v>1297</v>
      </c>
      <c r="B616" t="s">
        <v>1298</v>
      </c>
      <c r="C616" t="s">
        <v>39</v>
      </c>
      <c r="D616">
        <v>55</v>
      </c>
      <c r="E616" t="s">
        <v>40</v>
      </c>
      <c r="F616" t="s">
        <v>48</v>
      </c>
      <c r="G616" t="s">
        <v>58</v>
      </c>
      <c r="H616" t="s">
        <v>42</v>
      </c>
      <c r="I616" t="s">
        <v>50</v>
      </c>
      <c r="J616" s="1">
        <v>42891</v>
      </c>
      <c r="K616">
        <v>9</v>
      </c>
      <c r="L616">
        <v>48762501</v>
      </c>
      <c r="M616">
        <v>238250</v>
      </c>
      <c r="N616" t="s">
        <v>34</v>
      </c>
      <c r="O616">
        <v>2.84</v>
      </c>
      <c r="P616">
        <v>76</v>
      </c>
      <c r="Q616">
        <v>3</v>
      </c>
      <c r="R616">
        <v>3</v>
      </c>
      <c r="S616">
        <v>20</v>
      </c>
      <c r="T616" t="s">
        <v>33</v>
      </c>
      <c r="U616" t="s">
        <v>34</v>
      </c>
      <c r="V616" t="s">
        <v>35</v>
      </c>
      <c r="W616" t="s">
        <v>34</v>
      </c>
      <c r="X616" t="s">
        <v>45</v>
      </c>
      <c r="Z616" t="str">
        <f>IF(Table1[[#This Row],[Age]]&lt;30,"20-29",IF(Table1[[#This Row],[Age]]&lt;40,"30-39",IF(Table1[[#This Row],[Age]]&lt;50,"40-49","50+")))</f>
        <v>50+</v>
      </c>
      <c r="AA616" t="str">
        <f>IF(Table1[[#This Row],[Salary]]&lt;20000000,"low",IF(Table1[[#This Row],[Salary]]&lt;40000000,"medium","high"))</f>
        <v>high</v>
      </c>
      <c r="AB616">
        <f>YEAR(Table1[[#This Row],[Hire Date]])</f>
        <v>2017</v>
      </c>
      <c r="AC616" t="str">
        <f>TEXT(Table1[[#This Row],[Hire Date]],"mmmm")</f>
        <v>ژوئن</v>
      </c>
      <c r="AD616" t="str">
        <f>IF(Table1[[#This Row],[Resigned]]="yes","former","active")</f>
        <v>active</v>
      </c>
    </row>
    <row r="617" spans="1:30" x14ac:dyDescent="0.3">
      <c r="A617" t="s">
        <v>1299</v>
      </c>
      <c r="B617" t="s">
        <v>1300</v>
      </c>
      <c r="C617" t="s">
        <v>39</v>
      </c>
      <c r="D617">
        <v>36</v>
      </c>
      <c r="E617" t="s">
        <v>73</v>
      </c>
      <c r="F617" t="s">
        <v>74</v>
      </c>
      <c r="G617" t="s">
        <v>58</v>
      </c>
      <c r="H617" t="s">
        <v>42</v>
      </c>
      <c r="I617" t="s">
        <v>32</v>
      </c>
      <c r="J617" s="1">
        <v>45325</v>
      </c>
      <c r="K617">
        <v>2</v>
      </c>
      <c r="L617">
        <v>55880138</v>
      </c>
      <c r="M617">
        <v>4197291</v>
      </c>
      <c r="N617" t="s">
        <v>34</v>
      </c>
      <c r="O617">
        <v>3.15</v>
      </c>
      <c r="P617">
        <v>3</v>
      </c>
      <c r="Q617">
        <v>3</v>
      </c>
      <c r="R617">
        <v>5</v>
      </c>
      <c r="S617">
        <v>10</v>
      </c>
      <c r="T617" t="s">
        <v>34</v>
      </c>
      <c r="U617" t="s">
        <v>34</v>
      </c>
      <c r="V617" t="s">
        <v>59</v>
      </c>
      <c r="W617" t="s">
        <v>33</v>
      </c>
      <c r="X617" t="s">
        <v>52</v>
      </c>
      <c r="Z617" t="str">
        <f>IF(Table1[[#This Row],[Age]]&lt;30,"20-29",IF(Table1[[#This Row],[Age]]&lt;40,"30-39",IF(Table1[[#This Row],[Age]]&lt;50,"40-49","50+")))</f>
        <v>30-39</v>
      </c>
      <c r="AA617" t="str">
        <f>IF(Table1[[#This Row],[Salary]]&lt;20000000,"low",IF(Table1[[#This Row],[Salary]]&lt;40000000,"medium","high"))</f>
        <v>high</v>
      </c>
      <c r="AB617">
        <f>YEAR(Table1[[#This Row],[Hire Date]])</f>
        <v>2024</v>
      </c>
      <c r="AC617" t="str">
        <f>TEXT(Table1[[#This Row],[Hire Date]],"mmmm")</f>
        <v>فوريه</v>
      </c>
      <c r="AD617" t="str">
        <f>IF(Table1[[#This Row],[Resigned]]="yes","former","active")</f>
        <v>active</v>
      </c>
    </row>
    <row r="618" spans="1:30" x14ac:dyDescent="0.3">
      <c r="A618" t="s">
        <v>1301</v>
      </c>
      <c r="B618" t="s">
        <v>1302</v>
      </c>
      <c r="C618" t="s">
        <v>27</v>
      </c>
      <c r="D618">
        <v>30</v>
      </c>
      <c r="E618" t="s">
        <v>28</v>
      </c>
      <c r="F618" t="s">
        <v>80</v>
      </c>
      <c r="G618" t="s">
        <v>30</v>
      </c>
      <c r="H618" t="s">
        <v>31</v>
      </c>
      <c r="I618" t="s">
        <v>65</v>
      </c>
      <c r="J618" s="1">
        <v>45047</v>
      </c>
      <c r="K618">
        <v>3</v>
      </c>
      <c r="L618">
        <v>54367928</v>
      </c>
      <c r="M618">
        <v>7948420</v>
      </c>
      <c r="N618" t="s">
        <v>34</v>
      </c>
      <c r="O618">
        <v>2.61</v>
      </c>
      <c r="P618">
        <v>40</v>
      </c>
      <c r="Q618">
        <v>4</v>
      </c>
      <c r="R618">
        <v>1</v>
      </c>
      <c r="S618">
        <v>5</v>
      </c>
      <c r="T618" t="s">
        <v>33</v>
      </c>
      <c r="U618" t="s">
        <v>34</v>
      </c>
      <c r="V618" t="s">
        <v>51</v>
      </c>
      <c r="W618" t="s">
        <v>33</v>
      </c>
      <c r="X618" t="s">
        <v>52</v>
      </c>
      <c r="Z618" t="str">
        <f>IF(Table1[[#This Row],[Age]]&lt;30,"20-29",IF(Table1[[#This Row],[Age]]&lt;40,"30-39",IF(Table1[[#This Row],[Age]]&lt;50,"40-49","50+")))</f>
        <v>30-39</v>
      </c>
      <c r="AA618" t="str">
        <f>IF(Table1[[#This Row],[Salary]]&lt;20000000,"low",IF(Table1[[#This Row],[Salary]]&lt;40000000,"medium","high"))</f>
        <v>high</v>
      </c>
      <c r="AB618">
        <f>YEAR(Table1[[#This Row],[Hire Date]])</f>
        <v>2023</v>
      </c>
      <c r="AC618" t="str">
        <f>TEXT(Table1[[#This Row],[Hire Date]],"mmmm")</f>
        <v>مه</v>
      </c>
      <c r="AD618" t="str">
        <f>IF(Table1[[#This Row],[Resigned]]="yes","former","active")</f>
        <v>active</v>
      </c>
    </row>
    <row r="619" spans="1:30" x14ac:dyDescent="0.3">
      <c r="A619" t="s">
        <v>1303</v>
      </c>
      <c r="B619" t="s">
        <v>1304</v>
      </c>
      <c r="C619" t="s">
        <v>27</v>
      </c>
      <c r="D619">
        <v>57</v>
      </c>
      <c r="E619" t="s">
        <v>56</v>
      </c>
      <c r="F619" t="s">
        <v>84</v>
      </c>
      <c r="G619" t="s">
        <v>49</v>
      </c>
      <c r="H619" t="s">
        <v>31</v>
      </c>
      <c r="I619" t="s">
        <v>81</v>
      </c>
      <c r="J619" s="1">
        <v>43180</v>
      </c>
      <c r="K619">
        <v>8</v>
      </c>
      <c r="L619">
        <v>33737035</v>
      </c>
      <c r="M619">
        <v>8701469</v>
      </c>
      <c r="N619" t="s">
        <v>33</v>
      </c>
      <c r="O619">
        <v>3.8</v>
      </c>
      <c r="P619">
        <v>23</v>
      </c>
      <c r="Q619">
        <v>5</v>
      </c>
      <c r="R619">
        <v>4</v>
      </c>
      <c r="S619">
        <v>0</v>
      </c>
      <c r="T619" t="s">
        <v>34</v>
      </c>
      <c r="U619" t="s">
        <v>34</v>
      </c>
      <c r="V619" t="s">
        <v>44</v>
      </c>
      <c r="W619" t="s">
        <v>34</v>
      </c>
      <c r="X619" t="s">
        <v>52</v>
      </c>
      <c r="Z619" t="str">
        <f>IF(Table1[[#This Row],[Age]]&lt;30,"20-29",IF(Table1[[#This Row],[Age]]&lt;40,"30-39",IF(Table1[[#This Row],[Age]]&lt;50,"40-49","50+")))</f>
        <v>50+</v>
      </c>
      <c r="AA619" t="str">
        <f>IF(Table1[[#This Row],[Salary]]&lt;20000000,"low",IF(Table1[[#This Row],[Salary]]&lt;40000000,"medium","high"))</f>
        <v>medium</v>
      </c>
      <c r="AB619">
        <f>YEAR(Table1[[#This Row],[Hire Date]])</f>
        <v>2018</v>
      </c>
      <c r="AC619" t="str">
        <f>TEXT(Table1[[#This Row],[Hire Date]],"mmmm")</f>
        <v>مارس</v>
      </c>
      <c r="AD619" t="str">
        <f>IF(Table1[[#This Row],[Resigned]]="yes","former","active")</f>
        <v>active</v>
      </c>
    </row>
    <row r="620" spans="1:30" x14ac:dyDescent="0.3">
      <c r="A620" t="s">
        <v>1305</v>
      </c>
      <c r="B620" t="s">
        <v>1306</v>
      </c>
      <c r="C620" t="s">
        <v>27</v>
      </c>
      <c r="D620">
        <v>26</v>
      </c>
      <c r="E620" t="s">
        <v>73</v>
      </c>
      <c r="F620" t="s">
        <v>127</v>
      </c>
      <c r="G620" t="s">
        <v>58</v>
      </c>
      <c r="H620" t="s">
        <v>42</v>
      </c>
      <c r="I620" t="s">
        <v>65</v>
      </c>
      <c r="J620" s="1">
        <v>43863</v>
      </c>
      <c r="K620">
        <v>6</v>
      </c>
      <c r="L620">
        <v>18172642</v>
      </c>
      <c r="M620">
        <v>7051304</v>
      </c>
      <c r="N620" t="s">
        <v>33</v>
      </c>
      <c r="O620">
        <v>4.6399999999999997</v>
      </c>
      <c r="P620">
        <v>12</v>
      </c>
      <c r="Q620">
        <v>2</v>
      </c>
      <c r="R620">
        <v>1</v>
      </c>
      <c r="S620">
        <v>2</v>
      </c>
      <c r="T620" t="s">
        <v>33</v>
      </c>
      <c r="U620" t="s">
        <v>34</v>
      </c>
      <c r="V620" t="s">
        <v>59</v>
      </c>
      <c r="W620" t="s">
        <v>33</v>
      </c>
      <c r="X620" t="s">
        <v>45</v>
      </c>
      <c r="Z620" t="str">
        <f>IF(Table1[[#This Row],[Age]]&lt;30,"20-29",IF(Table1[[#This Row],[Age]]&lt;40,"30-39",IF(Table1[[#This Row],[Age]]&lt;50,"40-49","50+")))</f>
        <v>20-29</v>
      </c>
      <c r="AA620" t="str">
        <f>IF(Table1[[#This Row],[Salary]]&lt;20000000,"low",IF(Table1[[#This Row],[Salary]]&lt;40000000,"medium","high"))</f>
        <v>low</v>
      </c>
      <c r="AB620">
        <f>YEAR(Table1[[#This Row],[Hire Date]])</f>
        <v>2020</v>
      </c>
      <c r="AC620" t="str">
        <f>TEXT(Table1[[#This Row],[Hire Date]],"mmmm")</f>
        <v>فوريه</v>
      </c>
      <c r="AD620" t="str">
        <f>IF(Table1[[#This Row],[Resigned]]="yes","former","active")</f>
        <v>active</v>
      </c>
    </row>
    <row r="621" spans="1:30" x14ac:dyDescent="0.3">
      <c r="A621" t="s">
        <v>1307</v>
      </c>
      <c r="B621" t="s">
        <v>1308</v>
      </c>
      <c r="C621" t="s">
        <v>39</v>
      </c>
      <c r="D621">
        <v>48</v>
      </c>
      <c r="E621" t="s">
        <v>63</v>
      </c>
      <c r="F621" t="s">
        <v>93</v>
      </c>
      <c r="G621" t="s">
        <v>58</v>
      </c>
      <c r="H621" t="s">
        <v>42</v>
      </c>
      <c r="I621" t="s">
        <v>50</v>
      </c>
      <c r="J621" s="1">
        <v>45165</v>
      </c>
      <c r="K621">
        <v>3</v>
      </c>
      <c r="L621">
        <v>36012737</v>
      </c>
      <c r="M621">
        <v>7806922</v>
      </c>
      <c r="N621" t="s">
        <v>34</v>
      </c>
      <c r="O621">
        <v>4.3</v>
      </c>
      <c r="P621">
        <v>20</v>
      </c>
      <c r="Q621">
        <v>1</v>
      </c>
      <c r="R621">
        <v>2</v>
      </c>
      <c r="S621">
        <v>0</v>
      </c>
      <c r="T621" t="s">
        <v>33</v>
      </c>
      <c r="U621" t="s">
        <v>34</v>
      </c>
      <c r="V621" t="s">
        <v>51</v>
      </c>
      <c r="W621" t="s">
        <v>34</v>
      </c>
      <c r="X621" t="s">
        <v>52</v>
      </c>
      <c r="Z621" t="str">
        <f>IF(Table1[[#This Row],[Age]]&lt;30,"20-29",IF(Table1[[#This Row],[Age]]&lt;40,"30-39",IF(Table1[[#This Row],[Age]]&lt;50,"40-49","50+")))</f>
        <v>40-49</v>
      </c>
      <c r="AA621" t="str">
        <f>IF(Table1[[#This Row],[Salary]]&lt;20000000,"low",IF(Table1[[#This Row],[Salary]]&lt;40000000,"medium","high"))</f>
        <v>medium</v>
      </c>
      <c r="AB621">
        <f>YEAR(Table1[[#This Row],[Hire Date]])</f>
        <v>2023</v>
      </c>
      <c r="AC621" t="str">
        <f>TEXT(Table1[[#This Row],[Hire Date]],"mmmm")</f>
        <v>اوت</v>
      </c>
      <c r="AD621" t="str">
        <f>IF(Table1[[#This Row],[Resigned]]="yes","former","active")</f>
        <v>active</v>
      </c>
    </row>
    <row r="622" spans="1:30" x14ac:dyDescent="0.3">
      <c r="A622" t="s">
        <v>1309</v>
      </c>
      <c r="B622" t="s">
        <v>1310</v>
      </c>
      <c r="C622" t="s">
        <v>39</v>
      </c>
      <c r="D622">
        <v>50</v>
      </c>
      <c r="E622" t="s">
        <v>56</v>
      </c>
      <c r="F622" t="s">
        <v>84</v>
      </c>
      <c r="G622" t="s">
        <v>30</v>
      </c>
      <c r="H622" t="s">
        <v>42</v>
      </c>
      <c r="I622" t="s">
        <v>43</v>
      </c>
      <c r="J622" s="1">
        <v>44438</v>
      </c>
      <c r="K622">
        <v>5</v>
      </c>
      <c r="L622">
        <v>27211209</v>
      </c>
      <c r="M622">
        <v>174879</v>
      </c>
      <c r="N622" t="s">
        <v>34</v>
      </c>
      <c r="O622">
        <v>2.87</v>
      </c>
      <c r="P622">
        <v>72</v>
      </c>
      <c r="Q622">
        <v>3</v>
      </c>
      <c r="R622">
        <v>3</v>
      </c>
      <c r="S622">
        <v>12</v>
      </c>
      <c r="T622" t="s">
        <v>33</v>
      </c>
      <c r="U622" t="s">
        <v>34</v>
      </c>
      <c r="V622" t="s">
        <v>44</v>
      </c>
      <c r="W622" t="s">
        <v>33</v>
      </c>
      <c r="X622" t="s">
        <v>36</v>
      </c>
      <c r="Z622" t="str">
        <f>IF(Table1[[#This Row],[Age]]&lt;30,"20-29",IF(Table1[[#This Row],[Age]]&lt;40,"30-39",IF(Table1[[#This Row],[Age]]&lt;50,"40-49","50+")))</f>
        <v>50+</v>
      </c>
      <c r="AA622" t="str">
        <f>IF(Table1[[#This Row],[Salary]]&lt;20000000,"low",IF(Table1[[#This Row],[Salary]]&lt;40000000,"medium","high"))</f>
        <v>medium</v>
      </c>
      <c r="AB622">
        <f>YEAR(Table1[[#This Row],[Hire Date]])</f>
        <v>2021</v>
      </c>
      <c r="AC622" t="str">
        <f>TEXT(Table1[[#This Row],[Hire Date]],"mmmm")</f>
        <v>اوت</v>
      </c>
      <c r="AD622" t="str">
        <f>IF(Table1[[#This Row],[Resigned]]="yes","former","active")</f>
        <v>active</v>
      </c>
    </row>
    <row r="623" spans="1:30" x14ac:dyDescent="0.3">
      <c r="A623" t="s">
        <v>1311</v>
      </c>
      <c r="B623" t="s">
        <v>1312</v>
      </c>
      <c r="C623" t="s">
        <v>27</v>
      </c>
      <c r="D623">
        <v>55</v>
      </c>
      <c r="E623" t="s">
        <v>56</v>
      </c>
      <c r="F623" t="s">
        <v>84</v>
      </c>
      <c r="G623" t="s">
        <v>58</v>
      </c>
      <c r="H623" t="s">
        <v>31</v>
      </c>
      <c r="I623" t="s">
        <v>32</v>
      </c>
      <c r="J623" s="1">
        <v>43110</v>
      </c>
      <c r="K623">
        <v>8</v>
      </c>
      <c r="L623">
        <v>15450635</v>
      </c>
      <c r="M623">
        <v>853372</v>
      </c>
      <c r="N623" t="s">
        <v>34</v>
      </c>
      <c r="O623">
        <v>2.71</v>
      </c>
      <c r="P623">
        <v>21</v>
      </c>
      <c r="Q623">
        <v>3</v>
      </c>
      <c r="R623">
        <v>3</v>
      </c>
      <c r="S623">
        <v>4</v>
      </c>
      <c r="T623" t="s">
        <v>33</v>
      </c>
      <c r="U623" t="s">
        <v>33</v>
      </c>
      <c r="V623" t="s">
        <v>35</v>
      </c>
      <c r="W623" t="s">
        <v>33</v>
      </c>
      <c r="X623" t="s">
        <v>45</v>
      </c>
      <c r="Y623" t="s">
        <v>53</v>
      </c>
      <c r="Z623" t="str">
        <f>IF(Table1[[#This Row],[Age]]&lt;30,"20-29",IF(Table1[[#This Row],[Age]]&lt;40,"30-39",IF(Table1[[#This Row],[Age]]&lt;50,"40-49","50+")))</f>
        <v>50+</v>
      </c>
      <c r="AA623" t="str">
        <f>IF(Table1[[#This Row],[Salary]]&lt;20000000,"low",IF(Table1[[#This Row],[Salary]]&lt;40000000,"medium","high"))</f>
        <v>low</v>
      </c>
      <c r="AB623">
        <f>YEAR(Table1[[#This Row],[Hire Date]])</f>
        <v>2018</v>
      </c>
      <c r="AC623" t="str">
        <f>TEXT(Table1[[#This Row],[Hire Date]],"mmmm")</f>
        <v>ژانويه</v>
      </c>
      <c r="AD623" t="str">
        <f>IF(Table1[[#This Row],[Resigned]]="yes","former","active")</f>
        <v>former</v>
      </c>
    </row>
    <row r="624" spans="1:30" x14ac:dyDescent="0.3">
      <c r="A624" t="s">
        <v>1313</v>
      </c>
      <c r="B624" t="s">
        <v>1314</v>
      </c>
      <c r="C624" t="s">
        <v>27</v>
      </c>
      <c r="D624">
        <v>27</v>
      </c>
      <c r="E624" t="s">
        <v>63</v>
      </c>
      <c r="F624" t="s">
        <v>93</v>
      </c>
      <c r="G624" t="s">
        <v>49</v>
      </c>
      <c r="H624" t="s">
        <v>31</v>
      </c>
      <c r="I624" t="s">
        <v>65</v>
      </c>
      <c r="J624" s="1">
        <v>45444</v>
      </c>
      <c r="K624">
        <v>2</v>
      </c>
      <c r="L624">
        <v>49816487</v>
      </c>
      <c r="M624">
        <v>3397010</v>
      </c>
      <c r="N624" t="s">
        <v>33</v>
      </c>
      <c r="O624">
        <v>3.64</v>
      </c>
      <c r="P624">
        <v>60</v>
      </c>
      <c r="Q624">
        <v>3</v>
      </c>
      <c r="R624">
        <v>2</v>
      </c>
      <c r="S624">
        <v>5</v>
      </c>
      <c r="T624" t="s">
        <v>34</v>
      </c>
      <c r="U624" t="s">
        <v>34</v>
      </c>
      <c r="V624" t="s">
        <v>70</v>
      </c>
      <c r="W624" t="s">
        <v>33</v>
      </c>
      <c r="X624" t="s">
        <v>45</v>
      </c>
      <c r="Z624" t="str">
        <f>IF(Table1[[#This Row],[Age]]&lt;30,"20-29",IF(Table1[[#This Row],[Age]]&lt;40,"30-39",IF(Table1[[#This Row],[Age]]&lt;50,"40-49","50+")))</f>
        <v>20-29</v>
      </c>
      <c r="AA624" t="str">
        <f>IF(Table1[[#This Row],[Salary]]&lt;20000000,"low",IF(Table1[[#This Row],[Salary]]&lt;40000000,"medium","high"))</f>
        <v>high</v>
      </c>
      <c r="AB624">
        <f>YEAR(Table1[[#This Row],[Hire Date]])</f>
        <v>2024</v>
      </c>
      <c r="AC624" t="str">
        <f>TEXT(Table1[[#This Row],[Hire Date]],"mmmm")</f>
        <v>ژوئن</v>
      </c>
      <c r="AD624" t="str">
        <f>IF(Table1[[#This Row],[Resigned]]="yes","former","active")</f>
        <v>active</v>
      </c>
    </row>
    <row r="625" spans="1:30" x14ac:dyDescent="0.3">
      <c r="A625" t="s">
        <v>1315</v>
      </c>
      <c r="B625" t="s">
        <v>1316</v>
      </c>
      <c r="C625" t="s">
        <v>27</v>
      </c>
      <c r="D625">
        <v>30</v>
      </c>
      <c r="E625" t="s">
        <v>28</v>
      </c>
      <c r="F625" t="s">
        <v>29</v>
      </c>
      <c r="G625" t="s">
        <v>58</v>
      </c>
      <c r="H625" t="s">
        <v>31</v>
      </c>
      <c r="I625" t="s">
        <v>43</v>
      </c>
      <c r="J625" s="1">
        <v>44997</v>
      </c>
      <c r="K625">
        <v>3</v>
      </c>
      <c r="L625">
        <v>43830822</v>
      </c>
      <c r="M625">
        <v>8194007</v>
      </c>
      <c r="N625" t="s">
        <v>33</v>
      </c>
      <c r="O625">
        <v>3.26</v>
      </c>
      <c r="P625">
        <v>79</v>
      </c>
      <c r="Q625">
        <v>5</v>
      </c>
      <c r="R625">
        <v>2</v>
      </c>
      <c r="S625">
        <v>16</v>
      </c>
      <c r="T625" t="s">
        <v>33</v>
      </c>
      <c r="U625" t="s">
        <v>33</v>
      </c>
      <c r="V625" t="s">
        <v>51</v>
      </c>
      <c r="W625" t="s">
        <v>34</v>
      </c>
      <c r="X625" t="s">
        <v>52</v>
      </c>
      <c r="Y625" t="s">
        <v>162</v>
      </c>
      <c r="Z625" t="str">
        <f>IF(Table1[[#This Row],[Age]]&lt;30,"20-29",IF(Table1[[#This Row],[Age]]&lt;40,"30-39",IF(Table1[[#This Row],[Age]]&lt;50,"40-49","50+")))</f>
        <v>30-39</v>
      </c>
      <c r="AA625" t="str">
        <f>IF(Table1[[#This Row],[Salary]]&lt;20000000,"low",IF(Table1[[#This Row],[Salary]]&lt;40000000,"medium","high"))</f>
        <v>high</v>
      </c>
      <c r="AB625">
        <f>YEAR(Table1[[#This Row],[Hire Date]])</f>
        <v>2023</v>
      </c>
      <c r="AC625" t="str">
        <f>TEXT(Table1[[#This Row],[Hire Date]],"mmmm")</f>
        <v>مارس</v>
      </c>
      <c r="AD625" t="str">
        <f>IF(Table1[[#This Row],[Resigned]]="yes","former","active")</f>
        <v>former</v>
      </c>
    </row>
    <row r="626" spans="1:30" x14ac:dyDescent="0.3">
      <c r="A626" t="s">
        <v>1317</v>
      </c>
      <c r="B626" t="s">
        <v>1318</v>
      </c>
      <c r="C626" t="s">
        <v>39</v>
      </c>
      <c r="D626">
        <v>57</v>
      </c>
      <c r="E626" t="s">
        <v>56</v>
      </c>
      <c r="F626" t="s">
        <v>84</v>
      </c>
      <c r="G626" t="s">
        <v>30</v>
      </c>
      <c r="H626" t="s">
        <v>42</v>
      </c>
      <c r="I626" t="s">
        <v>32</v>
      </c>
      <c r="J626" s="1">
        <v>45638</v>
      </c>
      <c r="K626">
        <v>2</v>
      </c>
      <c r="L626">
        <v>51866714</v>
      </c>
      <c r="M626">
        <v>9046850</v>
      </c>
      <c r="N626" t="s">
        <v>34</v>
      </c>
      <c r="O626">
        <v>4.8600000000000003</v>
      </c>
      <c r="P626">
        <v>33</v>
      </c>
      <c r="Q626">
        <v>3</v>
      </c>
      <c r="R626">
        <v>2</v>
      </c>
      <c r="S626">
        <v>0</v>
      </c>
      <c r="T626" t="s">
        <v>33</v>
      </c>
      <c r="U626" t="s">
        <v>34</v>
      </c>
      <c r="V626" t="s">
        <v>51</v>
      </c>
      <c r="W626" t="s">
        <v>34</v>
      </c>
      <c r="X626" t="s">
        <v>52</v>
      </c>
      <c r="Z626" t="str">
        <f>IF(Table1[[#This Row],[Age]]&lt;30,"20-29",IF(Table1[[#This Row],[Age]]&lt;40,"30-39",IF(Table1[[#This Row],[Age]]&lt;50,"40-49","50+")))</f>
        <v>50+</v>
      </c>
      <c r="AA626" t="str">
        <f>IF(Table1[[#This Row],[Salary]]&lt;20000000,"low",IF(Table1[[#This Row],[Salary]]&lt;40000000,"medium","high"))</f>
        <v>high</v>
      </c>
      <c r="AB626">
        <f>YEAR(Table1[[#This Row],[Hire Date]])</f>
        <v>2024</v>
      </c>
      <c r="AC626" t="str">
        <f>TEXT(Table1[[#This Row],[Hire Date]],"mmmm")</f>
        <v>دسامبر</v>
      </c>
      <c r="AD626" t="str">
        <f>IF(Table1[[#This Row],[Resigned]]="yes","former","active")</f>
        <v>active</v>
      </c>
    </row>
    <row r="627" spans="1:30" x14ac:dyDescent="0.3">
      <c r="A627" t="s">
        <v>1319</v>
      </c>
      <c r="B627" t="s">
        <v>1320</v>
      </c>
      <c r="C627" t="s">
        <v>27</v>
      </c>
      <c r="D627">
        <v>32</v>
      </c>
      <c r="E627" t="s">
        <v>28</v>
      </c>
      <c r="F627" t="s">
        <v>29</v>
      </c>
      <c r="G627" t="s">
        <v>30</v>
      </c>
      <c r="H627" t="s">
        <v>42</v>
      </c>
      <c r="I627" t="s">
        <v>43</v>
      </c>
      <c r="J627" s="1">
        <v>44768</v>
      </c>
      <c r="K627">
        <v>4</v>
      </c>
      <c r="L627">
        <v>29915855</v>
      </c>
      <c r="M627">
        <v>7475531</v>
      </c>
      <c r="N627" t="s">
        <v>33</v>
      </c>
      <c r="O627">
        <v>4.93</v>
      </c>
      <c r="P627">
        <v>41</v>
      </c>
      <c r="Q627">
        <v>2</v>
      </c>
      <c r="R627">
        <v>1</v>
      </c>
      <c r="S627">
        <v>4</v>
      </c>
      <c r="T627" t="s">
        <v>34</v>
      </c>
      <c r="U627" t="s">
        <v>33</v>
      </c>
      <c r="V627" t="s">
        <v>44</v>
      </c>
      <c r="W627" t="s">
        <v>33</v>
      </c>
      <c r="X627" t="s">
        <v>36</v>
      </c>
      <c r="Y627" t="s">
        <v>162</v>
      </c>
      <c r="Z627" t="str">
        <f>IF(Table1[[#This Row],[Age]]&lt;30,"20-29",IF(Table1[[#This Row],[Age]]&lt;40,"30-39",IF(Table1[[#This Row],[Age]]&lt;50,"40-49","50+")))</f>
        <v>30-39</v>
      </c>
      <c r="AA627" t="str">
        <f>IF(Table1[[#This Row],[Salary]]&lt;20000000,"low",IF(Table1[[#This Row],[Salary]]&lt;40000000,"medium","high"))</f>
        <v>medium</v>
      </c>
      <c r="AB627">
        <f>YEAR(Table1[[#This Row],[Hire Date]])</f>
        <v>2022</v>
      </c>
      <c r="AC627" t="str">
        <f>TEXT(Table1[[#This Row],[Hire Date]],"mmmm")</f>
        <v>ژوئيه</v>
      </c>
      <c r="AD627" t="str">
        <f>IF(Table1[[#This Row],[Resigned]]="yes","former","active")</f>
        <v>former</v>
      </c>
    </row>
    <row r="628" spans="1:30" x14ac:dyDescent="0.3">
      <c r="A628" t="s">
        <v>1321</v>
      </c>
      <c r="B628" t="s">
        <v>1322</v>
      </c>
      <c r="C628" t="s">
        <v>27</v>
      </c>
      <c r="D628">
        <v>29</v>
      </c>
      <c r="E628" t="s">
        <v>73</v>
      </c>
      <c r="F628" t="s">
        <v>74</v>
      </c>
      <c r="G628" t="s">
        <v>58</v>
      </c>
      <c r="H628" t="s">
        <v>31</v>
      </c>
      <c r="I628" t="s">
        <v>32</v>
      </c>
      <c r="J628" s="1">
        <v>43651</v>
      </c>
      <c r="K628">
        <v>7</v>
      </c>
      <c r="L628">
        <v>25575409</v>
      </c>
      <c r="M628">
        <v>7933349</v>
      </c>
      <c r="N628" t="s">
        <v>34</v>
      </c>
      <c r="O628">
        <v>4.21</v>
      </c>
      <c r="P628">
        <v>66</v>
      </c>
      <c r="Q628">
        <v>1</v>
      </c>
      <c r="R628">
        <v>3</v>
      </c>
      <c r="S628">
        <v>7</v>
      </c>
      <c r="T628" t="s">
        <v>34</v>
      </c>
      <c r="U628" t="s">
        <v>34</v>
      </c>
      <c r="V628" t="s">
        <v>51</v>
      </c>
      <c r="W628" t="s">
        <v>33</v>
      </c>
      <c r="X628" t="s">
        <v>45</v>
      </c>
      <c r="Z628" t="str">
        <f>IF(Table1[[#This Row],[Age]]&lt;30,"20-29",IF(Table1[[#This Row],[Age]]&lt;40,"30-39",IF(Table1[[#This Row],[Age]]&lt;50,"40-49","50+")))</f>
        <v>20-29</v>
      </c>
      <c r="AA628" t="str">
        <f>IF(Table1[[#This Row],[Salary]]&lt;20000000,"low",IF(Table1[[#This Row],[Salary]]&lt;40000000,"medium","high"))</f>
        <v>medium</v>
      </c>
      <c r="AB628">
        <f>YEAR(Table1[[#This Row],[Hire Date]])</f>
        <v>2019</v>
      </c>
      <c r="AC628" t="str">
        <f>TEXT(Table1[[#This Row],[Hire Date]],"mmmm")</f>
        <v>ژوئيه</v>
      </c>
      <c r="AD628" t="str">
        <f>IF(Table1[[#This Row],[Resigned]]="yes","former","active")</f>
        <v>active</v>
      </c>
    </row>
    <row r="629" spans="1:30" x14ac:dyDescent="0.3">
      <c r="A629" t="s">
        <v>1323</v>
      </c>
      <c r="B629" t="s">
        <v>1324</v>
      </c>
      <c r="C629" t="s">
        <v>27</v>
      </c>
      <c r="D629">
        <v>46</v>
      </c>
      <c r="E629" t="s">
        <v>56</v>
      </c>
      <c r="F629" t="s">
        <v>84</v>
      </c>
      <c r="G629" t="s">
        <v>49</v>
      </c>
      <c r="H629" t="s">
        <v>42</v>
      </c>
      <c r="I629" t="s">
        <v>65</v>
      </c>
      <c r="J629" s="1">
        <v>43309</v>
      </c>
      <c r="K629">
        <v>8</v>
      </c>
      <c r="L629">
        <v>18022064</v>
      </c>
      <c r="M629">
        <v>8875503</v>
      </c>
      <c r="N629" t="s">
        <v>33</v>
      </c>
      <c r="O629">
        <v>4.55</v>
      </c>
      <c r="P629">
        <v>16</v>
      </c>
      <c r="Q629">
        <v>1</v>
      </c>
      <c r="R629">
        <v>1</v>
      </c>
      <c r="S629">
        <v>10</v>
      </c>
      <c r="T629" t="s">
        <v>33</v>
      </c>
      <c r="U629" t="s">
        <v>34</v>
      </c>
      <c r="V629" t="s">
        <v>59</v>
      </c>
      <c r="W629" t="s">
        <v>33</v>
      </c>
      <c r="X629" t="s">
        <v>52</v>
      </c>
      <c r="Z629" t="str">
        <f>IF(Table1[[#This Row],[Age]]&lt;30,"20-29",IF(Table1[[#This Row],[Age]]&lt;40,"30-39",IF(Table1[[#This Row],[Age]]&lt;50,"40-49","50+")))</f>
        <v>40-49</v>
      </c>
      <c r="AA629" t="str">
        <f>IF(Table1[[#This Row],[Salary]]&lt;20000000,"low",IF(Table1[[#This Row],[Salary]]&lt;40000000,"medium","high"))</f>
        <v>low</v>
      </c>
      <c r="AB629">
        <f>YEAR(Table1[[#This Row],[Hire Date]])</f>
        <v>2018</v>
      </c>
      <c r="AC629" t="str">
        <f>TEXT(Table1[[#This Row],[Hire Date]],"mmmm")</f>
        <v>ژوئيه</v>
      </c>
      <c r="AD629" t="str">
        <f>IF(Table1[[#This Row],[Resigned]]="yes","former","active")</f>
        <v>active</v>
      </c>
    </row>
    <row r="630" spans="1:30" x14ac:dyDescent="0.3">
      <c r="A630" t="s">
        <v>1325</v>
      </c>
      <c r="B630" t="s">
        <v>1326</v>
      </c>
      <c r="C630" t="s">
        <v>39</v>
      </c>
      <c r="D630">
        <v>23</v>
      </c>
      <c r="E630" t="s">
        <v>28</v>
      </c>
      <c r="F630" t="s">
        <v>29</v>
      </c>
      <c r="G630" t="s">
        <v>49</v>
      </c>
      <c r="H630" t="s">
        <v>42</v>
      </c>
      <c r="I630" t="s">
        <v>81</v>
      </c>
      <c r="J630" s="1">
        <v>42930</v>
      </c>
      <c r="K630">
        <v>9</v>
      </c>
      <c r="L630">
        <v>39664244</v>
      </c>
      <c r="M630">
        <v>4767392</v>
      </c>
      <c r="N630" t="s">
        <v>33</v>
      </c>
      <c r="O630">
        <v>4.5999999999999996</v>
      </c>
      <c r="P630">
        <v>20</v>
      </c>
      <c r="Q630">
        <v>3</v>
      </c>
      <c r="R630">
        <v>1</v>
      </c>
      <c r="S630">
        <v>3</v>
      </c>
      <c r="T630" t="s">
        <v>34</v>
      </c>
      <c r="U630" t="s">
        <v>34</v>
      </c>
      <c r="V630" t="s">
        <v>59</v>
      </c>
      <c r="W630" t="s">
        <v>33</v>
      </c>
      <c r="X630" t="s">
        <v>45</v>
      </c>
      <c r="Z630" t="str">
        <f>IF(Table1[[#This Row],[Age]]&lt;30,"20-29",IF(Table1[[#This Row],[Age]]&lt;40,"30-39",IF(Table1[[#This Row],[Age]]&lt;50,"40-49","50+")))</f>
        <v>20-29</v>
      </c>
      <c r="AA630" t="str">
        <f>IF(Table1[[#This Row],[Salary]]&lt;20000000,"low",IF(Table1[[#This Row],[Salary]]&lt;40000000,"medium","high"))</f>
        <v>medium</v>
      </c>
      <c r="AB630">
        <f>YEAR(Table1[[#This Row],[Hire Date]])</f>
        <v>2017</v>
      </c>
      <c r="AC630" t="str">
        <f>TEXT(Table1[[#This Row],[Hire Date]],"mmmm")</f>
        <v>ژوئيه</v>
      </c>
      <c r="AD630" t="str">
        <f>IF(Table1[[#This Row],[Resigned]]="yes","former","active")</f>
        <v>active</v>
      </c>
    </row>
    <row r="631" spans="1:30" x14ac:dyDescent="0.3">
      <c r="A631" t="s">
        <v>1327</v>
      </c>
      <c r="B631" t="s">
        <v>1328</v>
      </c>
      <c r="C631" t="s">
        <v>39</v>
      </c>
      <c r="D631">
        <v>55</v>
      </c>
      <c r="E631" t="s">
        <v>73</v>
      </c>
      <c r="F631" t="s">
        <v>74</v>
      </c>
      <c r="G631" t="s">
        <v>30</v>
      </c>
      <c r="H631" t="s">
        <v>42</v>
      </c>
      <c r="I631" t="s">
        <v>81</v>
      </c>
      <c r="J631" s="1">
        <v>43168</v>
      </c>
      <c r="K631">
        <v>8</v>
      </c>
      <c r="L631">
        <v>19841406</v>
      </c>
      <c r="M631">
        <v>4018128</v>
      </c>
      <c r="N631" t="s">
        <v>33</v>
      </c>
      <c r="O631">
        <v>5</v>
      </c>
      <c r="P631">
        <v>15</v>
      </c>
      <c r="Q631">
        <v>2</v>
      </c>
      <c r="R631">
        <v>3</v>
      </c>
      <c r="S631">
        <v>9</v>
      </c>
      <c r="T631" t="s">
        <v>34</v>
      </c>
      <c r="U631" t="s">
        <v>34</v>
      </c>
      <c r="V631" t="s">
        <v>51</v>
      </c>
      <c r="W631" t="s">
        <v>33</v>
      </c>
      <c r="X631" t="s">
        <v>36</v>
      </c>
      <c r="Z631" t="str">
        <f>IF(Table1[[#This Row],[Age]]&lt;30,"20-29",IF(Table1[[#This Row],[Age]]&lt;40,"30-39",IF(Table1[[#This Row],[Age]]&lt;50,"40-49","50+")))</f>
        <v>50+</v>
      </c>
      <c r="AA631" t="str">
        <f>IF(Table1[[#This Row],[Salary]]&lt;20000000,"low",IF(Table1[[#This Row],[Salary]]&lt;40000000,"medium","high"))</f>
        <v>low</v>
      </c>
      <c r="AB631">
        <f>YEAR(Table1[[#This Row],[Hire Date]])</f>
        <v>2018</v>
      </c>
      <c r="AC631" t="str">
        <f>TEXT(Table1[[#This Row],[Hire Date]],"mmmm")</f>
        <v>مارس</v>
      </c>
      <c r="AD631" t="str">
        <f>IF(Table1[[#This Row],[Resigned]]="yes","former","active")</f>
        <v>active</v>
      </c>
    </row>
    <row r="632" spans="1:30" x14ac:dyDescent="0.3">
      <c r="A632" t="s">
        <v>1329</v>
      </c>
      <c r="B632" t="s">
        <v>1330</v>
      </c>
      <c r="C632" t="s">
        <v>39</v>
      </c>
      <c r="D632">
        <v>39</v>
      </c>
      <c r="E632" t="s">
        <v>63</v>
      </c>
      <c r="F632" t="s">
        <v>64</v>
      </c>
      <c r="G632" t="s">
        <v>49</v>
      </c>
      <c r="H632" t="s">
        <v>42</v>
      </c>
      <c r="I632" t="s">
        <v>43</v>
      </c>
      <c r="J632" s="1">
        <v>43101</v>
      </c>
      <c r="K632">
        <v>8</v>
      </c>
      <c r="L632">
        <v>36589704</v>
      </c>
      <c r="M632">
        <v>2580585</v>
      </c>
      <c r="N632" t="s">
        <v>33</v>
      </c>
      <c r="O632">
        <v>4.0199999999999996</v>
      </c>
      <c r="P632">
        <v>76</v>
      </c>
      <c r="Q632">
        <v>4</v>
      </c>
      <c r="R632">
        <v>4</v>
      </c>
      <c r="S632">
        <v>9</v>
      </c>
      <c r="T632" t="s">
        <v>33</v>
      </c>
      <c r="U632" t="s">
        <v>33</v>
      </c>
      <c r="V632" t="s">
        <v>59</v>
      </c>
      <c r="W632" t="s">
        <v>33</v>
      </c>
      <c r="X632" t="s">
        <v>36</v>
      </c>
      <c r="Y632" t="s">
        <v>53</v>
      </c>
      <c r="Z632" t="str">
        <f>IF(Table1[[#This Row],[Age]]&lt;30,"20-29",IF(Table1[[#This Row],[Age]]&lt;40,"30-39",IF(Table1[[#This Row],[Age]]&lt;50,"40-49","50+")))</f>
        <v>30-39</v>
      </c>
      <c r="AA632" t="str">
        <f>IF(Table1[[#This Row],[Salary]]&lt;20000000,"low",IF(Table1[[#This Row],[Salary]]&lt;40000000,"medium","high"))</f>
        <v>medium</v>
      </c>
      <c r="AB632">
        <f>YEAR(Table1[[#This Row],[Hire Date]])</f>
        <v>2018</v>
      </c>
      <c r="AC632" t="str">
        <f>TEXT(Table1[[#This Row],[Hire Date]],"mmmm")</f>
        <v>ژانويه</v>
      </c>
      <c r="AD632" t="str">
        <f>IF(Table1[[#This Row],[Resigned]]="yes","former","active")</f>
        <v>former</v>
      </c>
    </row>
    <row r="633" spans="1:30" x14ac:dyDescent="0.3">
      <c r="A633" t="s">
        <v>1331</v>
      </c>
      <c r="B633" t="s">
        <v>1332</v>
      </c>
      <c r="C633" t="s">
        <v>27</v>
      </c>
      <c r="D633">
        <v>25</v>
      </c>
      <c r="E633" t="s">
        <v>28</v>
      </c>
      <c r="F633" t="s">
        <v>80</v>
      </c>
      <c r="G633" t="s">
        <v>49</v>
      </c>
      <c r="H633" t="s">
        <v>31</v>
      </c>
      <c r="I633" t="s">
        <v>81</v>
      </c>
      <c r="J633" s="1">
        <v>45175</v>
      </c>
      <c r="K633">
        <v>3</v>
      </c>
      <c r="L633">
        <v>50324654</v>
      </c>
      <c r="M633">
        <v>7163448</v>
      </c>
      <c r="N633" t="s">
        <v>33</v>
      </c>
      <c r="O633">
        <v>3.2</v>
      </c>
      <c r="P633">
        <v>53</v>
      </c>
      <c r="Q633">
        <v>2</v>
      </c>
      <c r="R633">
        <v>1</v>
      </c>
      <c r="S633">
        <v>18</v>
      </c>
      <c r="T633" t="s">
        <v>33</v>
      </c>
      <c r="U633" t="s">
        <v>33</v>
      </c>
      <c r="V633" t="s">
        <v>44</v>
      </c>
      <c r="W633" t="s">
        <v>33</v>
      </c>
      <c r="X633" t="s">
        <v>45</v>
      </c>
      <c r="Y633" t="s">
        <v>53</v>
      </c>
      <c r="Z633" t="str">
        <f>IF(Table1[[#This Row],[Age]]&lt;30,"20-29",IF(Table1[[#This Row],[Age]]&lt;40,"30-39",IF(Table1[[#This Row],[Age]]&lt;50,"40-49","50+")))</f>
        <v>20-29</v>
      </c>
      <c r="AA633" t="str">
        <f>IF(Table1[[#This Row],[Salary]]&lt;20000000,"low",IF(Table1[[#This Row],[Salary]]&lt;40000000,"medium","high"))</f>
        <v>high</v>
      </c>
      <c r="AB633">
        <f>YEAR(Table1[[#This Row],[Hire Date]])</f>
        <v>2023</v>
      </c>
      <c r="AC633" t="str">
        <f>TEXT(Table1[[#This Row],[Hire Date]],"mmmm")</f>
        <v>سپتامبر</v>
      </c>
      <c r="AD633" t="str">
        <f>IF(Table1[[#This Row],[Resigned]]="yes","former","active")</f>
        <v>former</v>
      </c>
    </row>
    <row r="634" spans="1:30" x14ac:dyDescent="0.3">
      <c r="A634" t="s">
        <v>1333</v>
      </c>
      <c r="B634" t="s">
        <v>1334</v>
      </c>
      <c r="C634" t="s">
        <v>39</v>
      </c>
      <c r="D634">
        <v>34</v>
      </c>
      <c r="E634" t="s">
        <v>56</v>
      </c>
      <c r="F634" t="s">
        <v>57</v>
      </c>
      <c r="G634" t="s">
        <v>30</v>
      </c>
      <c r="H634" t="s">
        <v>42</v>
      </c>
      <c r="I634" t="s">
        <v>50</v>
      </c>
      <c r="J634" s="1">
        <v>43432</v>
      </c>
      <c r="K634">
        <v>8</v>
      </c>
      <c r="L634">
        <v>29954164</v>
      </c>
      <c r="M634">
        <v>6814652</v>
      </c>
      <c r="N634" t="s">
        <v>34</v>
      </c>
      <c r="O634">
        <v>4.51</v>
      </c>
      <c r="P634">
        <v>16</v>
      </c>
      <c r="Q634">
        <v>4</v>
      </c>
      <c r="R634">
        <v>1</v>
      </c>
      <c r="S634">
        <v>8</v>
      </c>
      <c r="T634" t="s">
        <v>34</v>
      </c>
      <c r="U634" t="s">
        <v>34</v>
      </c>
      <c r="V634" t="s">
        <v>44</v>
      </c>
      <c r="W634" t="s">
        <v>33</v>
      </c>
      <c r="X634" t="s">
        <v>36</v>
      </c>
      <c r="Z634" t="str">
        <f>IF(Table1[[#This Row],[Age]]&lt;30,"20-29",IF(Table1[[#This Row],[Age]]&lt;40,"30-39",IF(Table1[[#This Row],[Age]]&lt;50,"40-49","50+")))</f>
        <v>30-39</v>
      </c>
      <c r="AA634" t="str">
        <f>IF(Table1[[#This Row],[Salary]]&lt;20000000,"low",IF(Table1[[#This Row],[Salary]]&lt;40000000,"medium","high"))</f>
        <v>medium</v>
      </c>
      <c r="AB634">
        <f>YEAR(Table1[[#This Row],[Hire Date]])</f>
        <v>2018</v>
      </c>
      <c r="AC634" t="str">
        <f>TEXT(Table1[[#This Row],[Hire Date]],"mmmm")</f>
        <v>نوامبر</v>
      </c>
      <c r="AD634" t="str">
        <f>IF(Table1[[#This Row],[Resigned]]="yes","former","active")</f>
        <v>active</v>
      </c>
    </row>
    <row r="635" spans="1:30" x14ac:dyDescent="0.3">
      <c r="A635" t="s">
        <v>1335</v>
      </c>
      <c r="B635" t="s">
        <v>1336</v>
      </c>
      <c r="C635" t="s">
        <v>27</v>
      </c>
      <c r="D635">
        <v>51</v>
      </c>
      <c r="E635" t="s">
        <v>63</v>
      </c>
      <c r="F635" t="s">
        <v>64</v>
      </c>
      <c r="G635" t="s">
        <v>30</v>
      </c>
      <c r="H635" t="s">
        <v>42</v>
      </c>
      <c r="I635" t="s">
        <v>81</v>
      </c>
      <c r="J635" s="1">
        <v>43762</v>
      </c>
      <c r="K635">
        <v>7</v>
      </c>
      <c r="L635">
        <v>43412635</v>
      </c>
      <c r="M635">
        <v>1672832</v>
      </c>
      <c r="N635" t="s">
        <v>34</v>
      </c>
      <c r="O635">
        <v>3.28</v>
      </c>
      <c r="P635">
        <v>19</v>
      </c>
      <c r="Q635">
        <v>4</v>
      </c>
      <c r="R635">
        <v>1</v>
      </c>
      <c r="S635">
        <v>9</v>
      </c>
      <c r="T635" t="s">
        <v>33</v>
      </c>
      <c r="U635" t="s">
        <v>34</v>
      </c>
      <c r="V635" t="s">
        <v>59</v>
      </c>
      <c r="W635" t="s">
        <v>34</v>
      </c>
      <c r="X635" t="s">
        <v>52</v>
      </c>
      <c r="Z635" t="str">
        <f>IF(Table1[[#This Row],[Age]]&lt;30,"20-29",IF(Table1[[#This Row],[Age]]&lt;40,"30-39",IF(Table1[[#This Row],[Age]]&lt;50,"40-49","50+")))</f>
        <v>50+</v>
      </c>
      <c r="AA635" t="str">
        <f>IF(Table1[[#This Row],[Salary]]&lt;20000000,"low",IF(Table1[[#This Row],[Salary]]&lt;40000000,"medium","high"))</f>
        <v>high</v>
      </c>
      <c r="AB635">
        <f>YEAR(Table1[[#This Row],[Hire Date]])</f>
        <v>2019</v>
      </c>
      <c r="AC635" t="str">
        <f>TEXT(Table1[[#This Row],[Hire Date]],"mmmm")</f>
        <v>اُكتبر</v>
      </c>
      <c r="AD635" t="str">
        <f>IF(Table1[[#This Row],[Resigned]]="yes","former","active")</f>
        <v>active</v>
      </c>
    </row>
    <row r="636" spans="1:30" x14ac:dyDescent="0.3">
      <c r="A636" t="s">
        <v>1337</v>
      </c>
      <c r="B636" t="s">
        <v>1338</v>
      </c>
      <c r="C636" t="s">
        <v>27</v>
      </c>
      <c r="D636">
        <v>42</v>
      </c>
      <c r="E636" t="s">
        <v>40</v>
      </c>
      <c r="F636" t="s">
        <v>41</v>
      </c>
      <c r="G636" t="s">
        <v>49</v>
      </c>
      <c r="H636" t="s">
        <v>42</v>
      </c>
      <c r="I636" t="s">
        <v>43</v>
      </c>
      <c r="J636" s="1">
        <v>43343</v>
      </c>
      <c r="K636">
        <v>8</v>
      </c>
      <c r="L636">
        <v>44267660</v>
      </c>
      <c r="M636">
        <v>3183164</v>
      </c>
      <c r="N636" t="s">
        <v>33</v>
      </c>
      <c r="O636">
        <v>4.4400000000000004</v>
      </c>
      <c r="P636">
        <v>0</v>
      </c>
      <c r="Q636">
        <v>2</v>
      </c>
      <c r="R636">
        <v>5</v>
      </c>
      <c r="S636">
        <v>0</v>
      </c>
      <c r="T636" t="s">
        <v>34</v>
      </c>
      <c r="U636" t="s">
        <v>33</v>
      </c>
      <c r="V636" t="s">
        <v>70</v>
      </c>
      <c r="W636" t="s">
        <v>34</v>
      </c>
      <c r="X636" t="s">
        <v>36</v>
      </c>
      <c r="Y636" t="s">
        <v>53</v>
      </c>
      <c r="Z636" t="str">
        <f>IF(Table1[[#This Row],[Age]]&lt;30,"20-29",IF(Table1[[#This Row],[Age]]&lt;40,"30-39",IF(Table1[[#This Row],[Age]]&lt;50,"40-49","50+")))</f>
        <v>40-49</v>
      </c>
      <c r="AA636" t="str">
        <f>IF(Table1[[#This Row],[Salary]]&lt;20000000,"low",IF(Table1[[#This Row],[Salary]]&lt;40000000,"medium","high"))</f>
        <v>high</v>
      </c>
      <c r="AB636">
        <f>YEAR(Table1[[#This Row],[Hire Date]])</f>
        <v>2018</v>
      </c>
      <c r="AC636" t="str">
        <f>TEXT(Table1[[#This Row],[Hire Date]],"mmmm")</f>
        <v>اوت</v>
      </c>
      <c r="AD636" t="str">
        <f>IF(Table1[[#This Row],[Resigned]]="yes","former","active")</f>
        <v>former</v>
      </c>
    </row>
    <row r="637" spans="1:30" x14ac:dyDescent="0.3">
      <c r="A637" t="s">
        <v>1339</v>
      </c>
      <c r="B637" t="s">
        <v>1340</v>
      </c>
      <c r="C637" t="s">
        <v>39</v>
      </c>
      <c r="D637">
        <v>44</v>
      </c>
      <c r="E637" t="s">
        <v>110</v>
      </c>
      <c r="F637" t="s">
        <v>120</v>
      </c>
      <c r="G637" t="s">
        <v>49</v>
      </c>
      <c r="H637" t="s">
        <v>42</v>
      </c>
      <c r="I637" t="s">
        <v>65</v>
      </c>
      <c r="J637" s="1">
        <v>45784</v>
      </c>
      <c r="K637">
        <v>1</v>
      </c>
      <c r="L637">
        <v>26232385</v>
      </c>
      <c r="M637">
        <v>4681497</v>
      </c>
      <c r="N637" t="s">
        <v>33</v>
      </c>
      <c r="O637">
        <v>3.1</v>
      </c>
      <c r="P637">
        <v>2</v>
      </c>
      <c r="Q637">
        <v>3</v>
      </c>
      <c r="R637">
        <v>2</v>
      </c>
      <c r="S637">
        <v>16</v>
      </c>
      <c r="T637" t="s">
        <v>33</v>
      </c>
      <c r="U637" t="s">
        <v>34</v>
      </c>
      <c r="V637" t="s">
        <v>35</v>
      </c>
      <c r="W637" t="s">
        <v>34</v>
      </c>
      <c r="X637" t="s">
        <v>36</v>
      </c>
      <c r="Z637" t="str">
        <f>IF(Table1[[#This Row],[Age]]&lt;30,"20-29",IF(Table1[[#This Row],[Age]]&lt;40,"30-39",IF(Table1[[#This Row],[Age]]&lt;50,"40-49","50+")))</f>
        <v>40-49</v>
      </c>
      <c r="AA637" t="str">
        <f>IF(Table1[[#This Row],[Salary]]&lt;20000000,"low",IF(Table1[[#This Row],[Salary]]&lt;40000000,"medium","high"))</f>
        <v>medium</v>
      </c>
      <c r="AB637">
        <f>YEAR(Table1[[#This Row],[Hire Date]])</f>
        <v>2025</v>
      </c>
      <c r="AC637" t="str">
        <f>TEXT(Table1[[#This Row],[Hire Date]],"mmmm")</f>
        <v>مه</v>
      </c>
      <c r="AD637" t="str">
        <f>IF(Table1[[#This Row],[Resigned]]="yes","former","active")</f>
        <v>active</v>
      </c>
    </row>
    <row r="638" spans="1:30" x14ac:dyDescent="0.3">
      <c r="A638" t="s">
        <v>1341</v>
      </c>
      <c r="B638" t="s">
        <v>1342</v>
      </c>
      <c r="C638" t="s">
        <v>39</v>
      </c>
      <c r="D638">
        <v>43</v>
      </c>
      <c r="E638" t="s">
        <v>63</v>
      </c>
      <c r="F638" t="s">
        <v>93</v>
      </c>
      <c r="G638" t="s">
        <v>49</v>
      </c>
      <c r="H638" t="s">
        <v>31</v>
      </c>
      <c r="I638" t="s">
        <v>65</v>
      </c>
      <c r="J638" s="1">
        <v>44856</v>
      </c>
      <c r="K638">
        <v>4</v>
      </c>
      <c r="L638">
        <v>51181551</v>
      </c>
      <c r="M638">
        <v>7350001</v>
      </c>
      <c r="N638" t="s">
        <v>33</v>
      </c>
      <c r="O638">
        <v>3.45</v>
      </c>
      <c r="P638">
        <v>38</v>
      </c>
      <c r="Q638">
        <v>3</v>
      </c>
      <c r="R638">
        <v>1</v>
      </c>
      <c r="S638">
        <v>2</v>
      </c>
      <c r="T638" t="s">
        <v>34</v>
      </c>
      <c r="U638" t="s">
        <v>34</v>
      </c>
      <c r="V638" t="s">
        <v>70</v>
      </c>
      <c r="W638" t="s">
        <v>34</v>
      </c>
      <c r="X638" t="s">
        <v>45</v>
      </c>
      <c r="Z638" t="str">
        <f>IF(Table1[[#This Row],[Age]]&lt;30,"20-29",IF(Table1[[#This Row],[Age]]&lt;40,"30-39",IF(Table1[[#This Row],[Age]]&lt;50,"40-49","50+")))</f>
        <v>40-49</v>
      </c>
      <c r="AA638" t="str">
        <f>IF(Table1[[#This Row],[Salary]]&lt;20000000,"low",IF(Table1[[#This Row],[Salary]]&lt;40000000,"medium","high"))</f>
        <v>high</v>
      </c>
      <c r="AB638">
        <f>YEAR(Table1[[#This Row],[Hire Date]])</f>
        <v>2022</v>
      </c>
      <c r="AC638" t="str">
        <f>TEXT(Table1[[#This Row],[Hire Date]],"mmmm")</f>
        <v>اُكتبر</v>
      </c>
      <c r="AD638" t="str">
        <f>IF(Table1[[#This Row],[Resigned]]="yes","former","active")</f>
        <v>active</v>
      </c>
    </row>
    <row r="639" spans="1:30" x14ac:dyDescent="0.3">
      <c r="A639" t="s">
        <v>1343</v>
      </c>
      <c r="B639" t="s">
        <v>1344</v>
      </c>
      <c r="C639" t="s">
        <v>27</v>
      </c>
      <c r="D639">
        <v>49</v>
      </c>
      <c r="E639" t="s">
        <v>73</v>
      </c>
      <c r="F639" t="s">
        <v>74</v>
      </c>
      <c r="G639" t="s">
        <v>58</v>
      </c>
      <c r="H639" t="s">
        <v>31</v>
      </c>
      <c r="I639" t="s">
        <v>43</v>
      </c>
      <c r="J639" s="1">
        <v>44618</v>
      </c>
      <c r="K639">
        <v>4</v>
      </c>
      <c r="L639">
        <v>48793386</v>
      </c>
      <c r="M639">
        <v>2086974</v>
      </c>
      <c r="N639" t="s">
        <v>34</v>
      </c>
      <c r="O639">
        <v>3.66</v>
      </c>
      <c r="P639">
        <v>44</v>
      </c>
      <c r="Q639">
        <v>2</v>
      </c>
      <c r="R639">
        <v>1</v>
      </c>
      <c r="S639">
        <v>15</v>
      </c>
      <c r="T639" t="s">
        <v>34</v>
      </c>
      <c r="U639" t="s">
        <v>33</v>
      </c>
      <c r="V639" t="s">
        <v>35</v>
      </c>
      <c r="W639" t="s">
        <v>33</v>
      </c>
      <c r="X639" t="s">
        <v>45</v>
      </c>
      <c r="Y639" t="s">
        <v>60</v>
      </c>
      <c r="Z639" t="str">
        <f>IF(Table1[[#This Row],[Age]]&lt;30,"20-29",IF(Table1[[#This Row],[Age]]&lt;40,"30-39",IF(Table1[[#This Row],[Age]]&lt;50,"40-49","50+")))</f>
        <v>40-49</v>
      </c>
      <c r="AA639" t="str">
        <f>IF(Table1[[#This Row],[Salary]]&lt;20000000,"low",IF(Table1[[#This Row],[Salary]]&lt;40000000,"medium","high"))</f>
        <v>high</v>
      </c>
      <c r="AB639">
        <f>YEAR(Table1[[#This Row],[Hire Date]])</f>
        <v>2022</v>
      </c>
      <c r="AC639" t="str">
        <f>TEXT(Table1[[#This Row],[Hire Date]],"mmmm")</f>
        <v>فوريه</v>
      </c>
      <c r="AD639" t="str">
        <f>IF(Table1[[#This Row],[Resigned]]="yes","former","active")</f>
        <v>former</v>
      </c>
    </row>
    <row r="640" spans="1:30" x14ac:dyDescent="0.3">
      <c r="A640" t="s">
        <v>1345</v>
      </c>
      <c r="B640" t="s">
        <v>1346</v>
      </c>
      <c r="C640" t="s">
        <v>39</v>
      </c>
      <c r="D640">
        <v>32</v>
      </c>
      <c r="E640" t="s">
        <v>110</v>
      </c>
      <c r="F640" t="s">
        <v>111</v>
      </c>
      <c r="G640" t="s">
        <v>30</v>
      </c>
      <c r="H640" t="s">
        <v>42</v>
      </c>
      <c r="I640" t="s">
        <v>81</v>
      </c>
      <c r="J640" s="1">
        <v>45388</v>
      </c>
      <c r="K640">
        <v>2</v>
      </c>
      <c r="L640">
        <v>57094172</v>
      </c>
      <c r="M640">
        <v>7933848</v>
      </c>
      <c r="N640" t="s">
        <v>33</v>
      </c>
      <c r="O640">
        <v>3.57</v>
      </c>
      <c r="P640">
        <v>6</v>
      </c>
      <c r="Q640">
        <v>4</v>
      </c>
      <c r="R640">
        <v>2</v>
      </c>
      <c r="S640">
        <v>9</v>
      </c>
      <c r="T640" t="s">
        <v>33</v>
      </c>
      <c r="U640" t="s">
        <v>34</v>
      </c>
      <c r="V640" t="s">
        <v>59</v>
      </c>
      <c r="W640" t="s">
        <v>33</v>
      </c>
      <c r="X640" t="s">
        <v>45</v>
      </c>
      <c r="Z640" t="str">
        <f>IF(Table1[[#This Row],[Age]]&lt;30,"20-29",IF(Table1[[#This Row],[Age]]&lt;40,"30-39",IF(Table1[[#This Row],[Age]]&lt;50,"40-49","50+")))</f>
        <v>30-39</v>
      </c>
      <c r="AA640" t="str">
        <f>IF(Table1[[#This Row],[Salary]]&lt;20000000,"low",IF(Table1[[#This Row],[Salary]]&lt;40000000,"medium","high"))</f>
        <v>high</v>
      </c>
      <c r="AB640">
        <f>YEAR(Table1[[#This Row],[Hire Date]])</f>
        <v>2024</v>
      </c>
      <c r="AC640" t="str">
        <f>TEXT(Table1[[#This Row],[Hire Date]],"mmmm")</f>
        <v>آوريل</v>
      </c>
      <c r="AD640" t="str">
        <f>IF(Table1[[#This Row],[Resigned]]="yes","former","active")</f>
        <v>active</v>
      </c>
    </row>
    <row r="641" spans="1:30" x14ac:dyDescent="0.3">
      <c r="A641" t="s">
        <v>1347</v>
      </c>
      <c r="B641" t="s">
        <v>1348</v>
      </c>
      <c r="C641" t="s">
        <v>27</v>
      </c>
      <c r="D641">
        <v>29</v>
      </c>
      <c r="E641" t="s">
        <v>110</v>
      </c>
      <c r="F641" t="s">
        <v>111</v>
      </c>
      <c r="G641" t="s">
        <v>49</v>
      </c>
      <c r="H641" t="s">
        <v>42</v>
      </c>
      <c r="I641" t="s">
        <v>50</v>
      </c>
      <c r="J641" s="1">
        <v>42723</v>
      </c>
      <c r="K641">
        <v>10</v>
      </c>
      <c r="L641">
        <v>13661336</v>
      </c>
      <c r="M641">
        <v>646443</v>
      </c>
      <c r="N641" t="s">
        <v>34</v>
      </c>
      <c r="O641">
        <v>2.83</v>
      </c>
      <c r="P641">
        <v>52</v>
      </c>
      <c r="Q641">
        <v>3</v>
      </c>
      <c r="R641">
        <v>1</v>
      </c>
      <c r="S641">
        <v>9</v>
      </c>
      <c r="T641" t="s">
        <v>33</v>
      </c>
      <c r="U641" t="s">
        <v>34</v>
      </c>
      <c r="V641" t="s">
        <v>70</v>
      </c>
      <c r="W641" t="s">
        <v>33</v>
      </c>
      <c r="X641" t="s">
        <v>45</v>
      </c>
      <c r="Z641" t="str">
        <f>IF(Table1[[#This Row],[Age]]&lt;30,"20-29",IF(Table1[[#This Row],[Age]]&lt;40,"30-39",IF(Table1[[#This Row],[Age]]&lt;50,"40-49","50+")))</f>
        <v>20-29</v>
      </c>
      <c r="AA641" t="str">
        <f>IF(Table1[[#This Row],[Salary]]&lt;20000000,"low",IF(Table1[[#This Row],[Salary]]&lt;40000000,"medium","high"))</f>
        <v>low</v>
      </c>
      <c r="AB641">
        <f>YEAR(Table1[[#This Row],[Hire Date]])</f>
        <v>2016</v>
      </c>
      <c r="AC641" t="str">
        <f>TEXT(Table1[[#This Row],[Hire Date]],"mmmm")</f>
        <v>دسامبر</v>
      </c>
      <c r="AD641" t="str">
        <f>IF(Table1[[#This Row],[Resigned]]="yes","former","active")</f>
        <v>active</v>
      </c>
    </row>
    <row r="642" spans="1:30" x14ac:dyDescent="0.3">
      <c r="A642" t="s">
        <v>1349</v>
      </c>
      <c r="B642" t="s">
        <v>1350</v>
      </c>
      <c r="C642" t="s">
        <v>27</v>
      </c>
      <c r="D642">
        <v>38</v>
      </c>
      <c r="E642" t="s">
        <v>40</v>
      </c>
      <c r="F642" t="s">
        <v>41</v>
      </c>
      <c r="G642" t="s">
        <v>58</v>
      </c>
      <c r="H642" t="s">
        <v>31</v>
      </c>
      <c r="I642" t="s">
        <v>50</v>
      </c>
      <c r="J642" s="1">
        <v>42941</v>
      </c>
      <c r="K642">
        <v>9</v>
      </c>
      <c r="L642">
        <v>33007885</v>
      </c>
      <c r="M642">
        <v>5234806</v>
      </c>
      <c r="N642" t="s">
        <v>33</v>
      </c>
      <c r="O642">
        <v>3.01</v>
      </c>
      <c r="P642">
        <v>71</v>
      </c>
      <c r="Q642">
        <v>2</v>
      </c>
      <c r="R642">
        <v>2</v>
      </c>
      <c r="S642">
        <v>8</v>
      </c>
      <c r="T642" t="s">
        <v>34</v>
      </c>
      <c r="U642" t="s">
        <v>33</v>
      </c>
      <c r="V642" t="s">
        <v>51</v>
      </c>
      <c r="W642" t="s">
        <v>33</v>
      </c>
      <c r="X642" t="s">
        <v>45</v>
      </c>
      <c r="Y642" t="s">
        <v>53</v>
      </c>
      <c r="Z642" t="str">
        <f>IF(Table1[[#This Row],[Age]]&lt;30,"20-29",IF(Table1[[#This Row],[Age]]&lt;40,"30-39",IF(Table1[[#This Row],[Age]]&lt;50,"40-49","50+")))</f>
        <v>30-39</v>
      </c>
      <c r="AA642" t="str">
        <f>IF(Table1[[#This Row],[Salary]]&lt;20000000,"low",IF(Table1[[#This Row],[Salary]]&lt;40000000,"medium","high"))</f>
        <v>medium</v>
      </c>
      <c r="AB642">
        <f>YEAR(Table1[[#This Row],[Hire Date]])</f>
        <v>2017</v>
      </c>
      <c r="AC642" t="str">
        <f>TEXT(Table1[[#This Row],[Hire Date]],"mmmm")</f>
        <v>ژوئيه</v>
      </c>
      <c r="AD642" t="str">
        <f>IF(Table1[[#This Row],[Resigned]]="yes","former","active")</f>
        <v>former</v>
      </c>
    </row>
    <row r="643" spans="1:30" x14ac:dyDescent="0.3">
      <c r="A643" t="s">
        <v>1351</v>
      </c>
      <c r="B643" t="s">
        <v>1352</v>
      </c>
      <c r="C643" t="s">
        <v>39</v>
      </c>
      <c r="D643">
        <v>47</v>
      </c>
      <c r="E643" t="s">
        <v>28</v>
      </c>
      <c r="F643" t="s">
        <v>29</v>
      </c>
      <c r="G643" t="s">
        <v>49</v>
      </c>
      <c r="H643" t="s">
        <v>42</v>
      </c>
      <c r="I643" t="s">
        <v>43</v>
      </c>
      <c r="J643" s="1">
        <v>43611</v>
      </c>
      <c r="K643">
        <v>7</v>
      </c>
      <c r="L643">
        <v>41374932</v>
      </c>
      <c r="M643">
        <v>5479215</v>
      </c>
      <c r="N643" t="s">
        <v>33</v>
      </c>
      <c r="O643">
        <v>2.98</v>
      </c>
      <c r="P643">
        <v>3</v>
      </c>
      <c r="Q643">
        <v>1</v>
      </c>
      <c r="R643">
        <v>1</v>
      </c>
      <c r="S643">
        <v>14</v>
      </c>
      <c r="T643" t="s">
        <v>34</v>
      </c>
      <c r="U643" t="s">
        <v>34</v>
      </c>
      <c r="V643" t="s">
        <v>70</v>
      </c>
      <c r="W643" t="s">
        <v>33</v>
      </c>
      <c r="X643" t="s">
        <v>45</v>
      </c>
      <c r="Z643" t="str">
        <f>IF(Table1[[#This Row],[Age]]&lt;30,"20-29",IF(Table1[[#This Row],[Age]]&lt;40,"30-39",IF(Table1[[#This Row],[Age]]&lt;50,"40-49","50+")))</f>
        <v>40-49</v>
      </c>
      <c r="AA643" t="str">
        <f>IF(Table1[[#This Row],[Salary]]&lt;20000000,"low",IF(Table1[[#This Row],[Salary]]&lt;40000000,"medium","high"))</f>
        <v>high</v>
      </c>
      <c r="AB643">
        <f>YEAR(Table1[[#This Row],[Hire Date]])</f>
        <v>2019</v>
      </c>
      <c r="AC643" t="str">
        <f>TEXT(Table1[[#This Row],[Hire Date]],"mmmm")</f>
        <v>مه</v>
      </c>
      <c r="AD643" t="str">
        <f>IF(Table1[[#This Row],[Resigned]]="yes","former","active")</f>
        <v>active</v>
      </c>
    </row>
    <row r="644" spans="1:30" x14ac:dyDescent="0.3">
      <c r="A644" t="s">
        <v>1353</v>
      </c>
      <c r="B644" t="s">
        <v>1354</v>
      </c>
      <c r="C644" t="s">
        <v>27</v>
      </c>
      <c r="D644">
        <v>32</v>
      </c>
      <c r="E644" t="s">
        <v>56</v>
      </c>
      <c r="F644" t="s">
        <v>57</v>
      </c>
      <c r="G644" t="s">
        <v>30</v>
      </c>
      <c r="H644" t="s">
        <v>31</v>
      </c>
      <c r="I644" t="s">
        <v>43</v>
      </c>
      <c r="J644" s="1">
        <v>45481</v>
      </c>
      <c r="K644">
        <v>2</v>
      </c>
      <c r="L644">
        <v>18429578</v>
      </c>
      <c r="M644">
        <v>5855536</v>
      </c>
      <c r="N644" t="s">
        <v>34</v>
      </c>
      <c r="O644">
        <v>4.5199999999999996</v>
      </c>
      <c r="P644">
        <v>13</v>
      </c>
      <c r="Q644">
        <v>5</v>
      </c>
      <c r="R644">
        <v>5</v>
      </c>
      <c r="S644">
        <v>11</v>
      </c>
      <c r="T644" t="s">
        <v>33</v>
      </c>
      <c r="U644" t="s">
        <v>34</v>
      </c>
      <c r="V644" t="s">
        <v>51</v>
      </c>
      <c r="W644" t="s">
        <v>34</v>
      </c>
      <c r="X644" t="s">
        <v>52</v>
      </c>
      <c r="Z644" t="str">
        <f>IF(Table1[[#This Row],[Age]]&lt;30,"20-29",IF(Table1[[#This Row],[Age]]&lt;40,"30-39",IF(Table1[[#This Row],[Age]]&lt;50,"40-49","50+")))</f>
        <v>30-39</v>
      </c>
      <c r="AA644" t="str">
        <f>IF(Table1[[#This Row],[Salary]]&lt;20000000,"low",IF(Table1[[#This Row],[Salary]]&lt;40000000,"medium","high"))</f>
        <v>low</v>
      </c>
      <c r="AB644">
        <f>YEAR(Table1[[#This Row],[Hire Date]])</f>
        <v>2024</v>
      </c>
      <c r="AC644" t="str">
        <f>TEXT(Table1[[#This Row],[Hire Date]],"mmmm")</f>
        <v>ژوئيه</v>
      </c>
      <c r="AD644" t="str">
        <f>IF(Table1[[#This Row],[Resigned]]="yes","former","active")</f>
        <v>active</v>
      </c>
    </row>
    <row r="645" spans="1:30" x14ac:dyDescent="0.3">
      <c r="A645" t="s">
        <v>1355</v>
      </c>
      <c r="B645" t="s">
        <v>1356</v>
      </c>
      <c r="C645" t="s">
        <v>39</v>
      </c>
      <c r="D645">
        <v>42</v>
      </c>
      <c r="E645" t="s">
        <v>110</v>
      </c>
      <c r="F645" t="s">
        <v>120</v>
      </c>
      <c r="G645" t="s">
        <v>30</v>
      </c>
      <c r="H645" t="s">
        <v>42</v>
      </c>
      <c r="I645" t="s">
        <v>32</v>
      </c>
      <c r="J645" s="1">
        <v>44239</v>
      </c>
      <c r="K645">
        <v>5</v>
      </c>
      <c r="L645">
        <v>49615997</v>
      </c>
      <c r="M645">
        <v>1268695</v>
      </c>
      <c r="N645" t="s">
        <v>34</v>
      </c>
      <c r="O645">
        <v>3.38</v>
      </c>
      <c r="P645">
        <v>56</v>
      </c>
      <c r="Q645">
        <v>4</v>
      </c>
      <c r="R645">
        <v>2</v>
      </c>
      <c r="S645">
        <v>8</v>
      </c>
      <c r="T645" t="s">
        <v>34</v>
      </c>
      <c r="U645" t="s">
        <v>34</v>
      </c>
      <c r="V645" t="s">
        <v>51</v>
      </c>
      <c r="W645" t="s">
        <v>33</v>
      </c>
      <c r="X645" t="s">
        <v>36</v>
      </c>
      <c r="Z645" t="str">
        <f>IF(Table1[[#This Row],[Age]]&lt;30,"20-29",IF(Table1[[#This Row],[Age]]&lt;40,"30-39",IF(Table1[[#This Row],[Age]]&lt;50,"40-49","50+")))</f>
        <v>40-49</v>
      </c>
      <c r="AA645" t="str">
        <f>IF(Table1[[#This Row],[Salary]]&lt;20000000,"low",IF(Table1[[#This Row],[Salary]]&lt;40000000,"medium","high"))</f>
        <v>high</v>
      </c>
      <c r="AB645">
        <f>YEAR(Table1[[#This Row],[Hire Date]])</f>
        <v>2021</v>
      </c>
      <c r="AC645" t="str">
        <f>TEXT(Table1[[#This Row],[Hire Date]],"mmmm")</f>
        <v>فوريه</v>
      </c>
      <c r="AD645" t="str">
        <f>IF(Table1[[#This Row],[Resigned]]="yes","former","active")</f>
        <v>active</v>
      </c>
    </row>
    <row r="646" spans="1:30" x14ac:dyDescent="0.3">
      <c r="A646" t="s">
        <v>1357</v>
      </c>
      <c r="B646" t="s">
        <v>1358</v>
      </c>
      <c r="C646" t="s">
        <v>39</v>
      </c>
      <c r="D646">
        <v>52</v>
      </c>
      <c r="E646" t="s">
        <v>73</v>
      </c>
      <c r="F646" t="s">
        <v>74</v>
      </c>
      <c r="G646" t="s">
        <v>49</v>
      </c>
      <c r="H646" t="s">
        <v>42</v>
      </c>
      <c r="I646" t="s">
        <v>81</v>
      </c>
      <c r="J646" s="1">
        <v>43219</v>
      </c>
      <c r="K646">
        <v>8</v>
      </c>
      <c r="L646">
        <v>58018803</v>
      </c>
      <c r="M646">
        <v>9869209</v>
      </c>
      <c r="N646" t="s">
        <v>34</v>
      </c>
      <c r="O646">
        <v>2.91</v>
      </c>
      <c r="P646">
        <v>59</v>
      </c>
      <c r="Q646">
        <v>3</v>
      </c>
      <c r="R646">
        <v>4</v>
      </c>
      <c r="S646">
        <v>4</v>
      </c>
      <c r="T646" t="s">
        <v>33</v>
      </c>
      <c r="U646" t="s">
        <v>34</v>
      </c>
      <c r="V646" t="s">
        <v>35</v>
      </c>
      <c r="W646" t="s">
        <v>33</v>
      </c>
      <c r="X646" t="s">
        <v>45</v>
      </c>
      <c r="Z646" t="str">
        <f>IF(Table1[[#This Row],[Age]]&lt;30,"20-29",IF(Table1[[#This Row],[Age]]&lt;40,"30-39",IF(Table1[[#This Row],[Age]]&lt;50,"40-49","50+")))</f>
        <v>50+</v>
      </c>
      <c r="AA646" t="str">
        <f>IF(Table1[[#This Row],[Salary]]&lt;20000000,"low",IF(Table1[[#This Row],[Salary]]&lt;40000000,"medium","high"))</f>
        <v>high</v>
      </c>
      <c r="AB646">
        <f>YEAR(Table1[[#This Row],[Hire Date]])</f>
        <v>2018</v>
      </c>
      <c r="AC646" t="str">
        <f>TEXT(Table1[[#This Row],[Hire Date]],"mmmm")</f>
        <v>آوريل</v>
      </c>
      <c r="AD646" t="str">
        <f>IF(Table1[[#This Row],[Resigned]]="yes","former","active")</f>
        <v>active</v>
      </c>
    </row>
    <row r="647" spans="1:30" x14ac:dyDescent="0.3">
      <c r="A647" t="s">
        <v>1359</v>
      </c>
      <c r="B647" t="s">
        <v>1360</v>
      </c>
      <c r="C647" t="s">
        <v>27</v>
      </c>
      <c r="D647">
        <v>44</v>
      </c>
      <c r="E647" t="s">
        <v>28</v>
      </c>
      <c r="F647" t="s">
        <v>29</v>
      </c>
      <c r="G647" t="s">
        <v>58</v>
      </c>
      <c r="H647" t="s">
        <v>31</v>
      </c>
      <c r="I647" t="s">
        <v>65</v>
      </c>
      <c r="J647" s="1">
        <v>43841</v>
      </c>
      <c r="K647">
        <v>6</v>
      </c>
      <c r="L647">
        <v>53300529</v>
      </c>
      <c r="M647">
        <v>3887036</v>
      </c>
      <c r="N647" t="s">
        <v>34</v>
      </c>
      <c r="O647">
        <v>4.68</v>
      </c>
      <c r="P647">
        <v>55</v>
      </c>
      <c r="Q647">
        <v>1</v>
      </c>
      <c r="R647">
        <v>3</v>
      </c>
      <c r="S647">
        <v>6</v>
      </c>
      <c r="T647" t="s">
        <v>33</v>
      </c>
      <c r="U647" t="s">
        <v>33</v>
      </c>
      <c r="V647" t="s">
        <v>35</v>
      </c>
      <c r="W647" t="s">
        <v>34</v>
      </c>
      <c r="X647" t="s">
        <v>45</v>
      </c>
      <c r="Y647" t="s">
        <v>53</v>
      </c>
      <c r="Z647" t="str">
        <f>IF(Table1[[#This Row],[Age]]&lt;30,"20-29",IF(Table1[[#This Row],[Age]]&lt;40,"30-39",IF(Table1[[#This Row],[Age]]&lt;50,"40-49","50+")))</f>
        <v>40-49</v>
      </c>
      <c r="AA647" t="str">
        <f>IF(Table1[[#This Row],[Salary]]&lt;20000000,"low",IF(Table1[[#This Row],[Salary]]&lt;40000000,"medium","high"))</f>
        <v>high</v>
      </c>
      <c r="AB647">
        <f>YEAR(Table1[[#This Row],[Hire Date]])</f>
        <v>2020</v>
      </c>
      <c r="AC647" t="str">
        <f>TEXT(Table1[[#This Row],[Hire Date]],"mmmm")</f>
        <v>ژانويه</v>
      </c>
      <c r="AD647" t="str">
        <f>IF(Table1[[#This Row],[Resigned]]="yes","former","active")</f>
        <v>former</v>
      </c>
    </row>
    <row r="648" spans="1:30" x14ac:dyDescent="0.3">
      <c r="A648" t="s">
        <v>1361</v>
      </c>
      <c r="B648" t="s">
        <v>1362</v>
      </c>
      <c r="C648" t="s">
        <v>27</v>
      </c>
      <c r="D648">
        <v>53</v>
      </c>
      <c r="E648" t="s">
        <v>28</v>
      </c>
      <c r="F648" t="s">
        <v>80</v>
      </c>
      <c r="G648" t="s">
        <v>49</v>
      </c>
      <c r="H648" t="s">
        <v>42</v>
      </c>
      <c r="I648" t="s">
        <v>50</v>
      </c>
      <c r="J648" s="1">
        <v>44893</v>
      </c>
      <c r="K648">
        <v>4</v>
      </c>
      <c r="L648">
        <v>32624770</v>
      </c>
      <c r="M648">
        <v>8681127</v>
      </c>
      <c r="N648" t="s">
        <v>33</v>
      </c>
      <c r="O648">
        <v>4.05</v>
      </c>
      <c r="P648">
        <v>0</v>
      </c>
      <c r="Q648">
        <v>2</v>
      </c>
      <c r="R648">
        <v>5</v>
      </c>
      <c r="S648">
        <v>3</v>
      </c>
      <c r="T648" t="s">
        <v>34</v>
      </c>
      <c r="U648" t="s">
        <v>33</v>
      </c>
      <c r="V648" t="s">
        <v>35</v>
      </c>
      <c r="W648" t="s">
        <v>34</v>
      </c>
      <c r="X648" t="s">
        <v>52</v>
      </c>
      <c r="Y648" t="s">
        <v>75</v>
      </c>
      <c r="Z648" t="str">
        <f>IF(Table1[[#This Row],[Age]]&lt;30,"20-29",IF(Table1[[#This Row],[Age]]&lt;40,"30-39",IF(Table1[[#This Row],[Age]]&lt;50,"40-49","50+")))</f>
        <v>50+</v>
      </c>
      <c r="AA648" t="str">
        <f>IF(Table1[[#This Row],[Salary]]&lt;20000000,"low",IF(Table1[[#This Row],[Salary]]&lt;40000000,"medium","high"))</f>
        <v>medium</v>
      </c>
      <c r="AB648">
        <f>YEAR(Table1[[#This Row],[Hire Date]])</f>
        <v>2022</v>
      </c>
      <c r="AC648" t="str">
        <f>TEXT(Table1[[#This Row],[Hire Date]],"mmmm")</f>
        <v>نوامبر</v>
      </c>
      <c r="AD648" t="str">
        <f>IF(Table1[[#This Row],[Resigned]]="yes","former","active")</f>
        <v>former</v>
      </c>
    </row>
    <row r="649" spans="1:30" x14ac:dyDescent="0.3">
      <c r="A649" t="s">
        <v>1363</v>
      </c>
      <c r="B649" t="s">
        <v>1364</v>
      </c>
      <c r="C649" t="s">
        <v>27</v>
      </c>
      <c r="D649">
        <v>25</v>
      </c>
      <c r="E649" t="s">
        <v>40</v>
      </c>
      <c r="F649" t="s">
        <v>48</v>
      </c>
      <c r="G649" t="s">
        <v>49</v>
      </c>
      <c r="H649" t="s">
        <v>42</v>
      </c>
      <c r="I649" t="s">
        <v>50</v>
      </c>
      <c r="J649" s="1">
        <v>42857</v>
      </c>
      <c r="K649">
        <v>9</v>
      </c>
      <c r="L649">
        <v>58325453</v>
      </c>
      <c r="M649">
        <v>4185724</v>
      </c>
      <c r="N649" t="s">
        <v>33</v>
      </c>
      <c r="O649">
        <v>2.5099999999999998</v>
      </c>
      <c r="P649">
        <v>49</v>
      </c>
      <c r="Q649">
        <v>4</v>
      </c>
      <c r="R649">
        <v>2</v>
      </c>
      <c r="S649">
        <v>4</v>
      </c>
      <c r="T649" t="s">
        <v>34</v>
      </c>
      <c r="U649" t="s">
        <v>33</v>
      </c>
      <c r="V649" t="s">
        <v>70</v>
      </c>
      <c r="W649" t="s">
        <v>34</v>
      </c>
      <c r="X649" t="s">
        <v>45</v>
      </c>
      <c r="Y649" t="s">
        <v>75</v>
      </c>
      <c r="Z649" t="str">
        <f>IF(Table1[[#This Row],[Age]]&lt;30,"20-29",IF(Table1[[#This Row],[Age]]&lt;40,"30-39",IF(Table1[[#This Row],[Age]]&lt;50,"40-49","50+")))</f>
        <v>20-29</v>
      </c>
      <c r="AA649" t="str">
        <f>IF(Table1[[#This Row],[Salary]]&lt;20000000,"low",IF(Table1[[#This Row],[Salary]]&lt;40000000,"medium","high"))</f>
        <v>high</v>
      </c>
      <c r="AB649">
        <f>YEAR(Table1[[#This Row],[Hire Date]])</f>
        <v>2017</v>
      </c>
      <c r="AC649" t="str">
        <f>TEXT(Table1[[#This Row],[Hire Date]],"mmmm")</f>
        <v>مه</v>
      </c>
      <c r="AD649" t="str">
        <f>IF(Table1[[#This Row],[Resigned]]="yes","former","active")</f>
        <v>former</v>
      </c>
    </row>
    <row r="650" spans="1:30" x14ac:dyDescent="0.3">
      <c r="A650" t="s">
        <v>1365</v>
      </c>
      <c r="B650" t="s">
        <v>1366</v>
      </c>
      <c r="C650" t="s">
        <v>27</v>
      </c>
      <c r="D650">
        <v>24</v>
      </c>
      <c r="E650" t="s">
        <v>56</v>
      </c>
      <c r="F650" t="s">
        <v>84</v>
      </c>
      <c r="G650" t="s">
        <v>58</v>
      </c>
      <c r="H650" t="s">
        <v>42</v>
      </c>
      <c r="I650" t="s">
        <v>81</v>
      </c>
      <c r="J650" s="1">
        <v>44360</v>
      </c>
      <c r="K650">
        <v>5</v>
      </c>
      <c r="L650">
        <v>42919694</v>
      </c>
      <c r="M650">
        <v>8955891</v>
      </c>
      <c r="N650" t="s">
        <v>33</v>
      </c>
      <c r="O650">
        <v>3.23</v>
      </c>
      <c r="P650">
        <v>61</v>
      </c>
      <c r="Q650">
        <v>5</v>
      </c>
      <c r="R650">
        <v>1</v>
      </c>
      <c r="S650">
        <v>5</v>
      </c>
      <c r="T650" t="s">
        <v>34</v>
      </c>
      <c r="U650" t="s">
        <v>34</v>
      </c>
      <c r="V650" t="s">
        <v>70</v>
      </c>
      <c r="W650" t="s">
        <v>33</v>
      </c>
      <c r="X650" t="s">
        <v>45</v>
      </c>
      <c r="Z650" t="str">
        <f>IF(Table1[[#This Row],[Age]]&lt;30,"20-29",IF(Table1[[#This Row],[Age]]&lt;40,"30-39",IF(Table1[[#This Row],[Age]]&lt;50,"40-49","50+")))</f>
        <v>20-29</v>
      </c>
      <c r="AA650" t="str">
        <f>IF(Table1[[#This Row],[Salary]]&lt;20000000,"low",IF(Table1[[#This Row],[Salary]]&lt;40000000,"medium","high"))</f>
        <v>high</v>
      </c>
      <c r="AB650">
        <f>YEAR(Table1[[#This Row],[Hire Date]])</f>
        <v>2021</v>
      </c>
      <c r="AC650" t="str">
        <f>TEXT(Table1[[#This Row],[Hire Date]],"mmmm")</f>
        <v>ژوئن</v>
      </c>
      <c r="AD650" t="str">
        <f>IF(Table1[[#This Row],[Resigned]]="yes","former","active")</f>
        <v>active</v>
      </c>
    </row>
    <row r="651" spans="1:30" x14ac:dyDescent="0.3">
      <c r="A651" t="s">
        <v>1367</v>
      </c>
      <c r="B651" t="s">
        <v>1368</v>
      </c>
      <c r="C651" t="s">
        <v>39</v>
      </c>
      <c r="D651">
        <v>24</v>
      </c>
      <c r="E651" t="s">
        <v>63</v>
      </c>
      <c r="F651" t="s">
        <v>93</v>
      </c>
      <c r="G651" t="s">
        <v>58</v>
      </c>
      <c r="H651" t="s">
        <v>31</v>
      </c>
      <c r="I651" t="s">
        <v>65</v>
      </c>
      <c r="J651" s="1">
        <v>43800</v>
      </c>
      <c r="K651">
        <v>7</v>
      </c>
      <c r="L651">
        <v>15422347</v>
      </c>
      <c r="M651">
        <v>7565053</v>
      </c>
      <c r="N651" t="s">
        <v>33</v>
      </c>
      <c r="O651">
        <v>3.11</v>
      </c>
      <c r="P651">
        <v>3</v>
      </c>
      <c r="Q651">
        <v>5</v>
      </c>
      <c r="R651">
        <v>1</v>
      </c>
      <c r="S651">
        <v>13</v>
      </c>
      <c r="T651" t="s">
        <v>34</v>
      </c>
      <c r="U651" t="s">
        <v>34</v>
      </c>
      <c r="V651" t="s">
        <v>59</v>
      </c>
      <c r="W651" t="s">
        <v>34</v>
      </c>
      <c r="X651" t="s">
        <v>52</v>
      </c>
      <c r="Z651" t="str">
        <f>IF(Table1[[#This Row],[Age]]&lt;30,"20-29",IF(Table1[[#This Row],[Age]]&lt;40,"30-39",IF(Table1[[#This Row],[Age]]&lt;50,"40-49","50+")))</f>
        <v>20-29</v>
      </c>
      <c r="AA651" t="str">
        <f>IF(Table1[[#This Row],[Salary]]&lt;20000000,"low",IF(Table1[[#This Row],[Salary]]&lt;40000000,"medium","high"))</f>
        <v>low</v>
      </c>
      <c r="AB651">
        <f>YEAR(Table1[[#This Row],[Hire Date]])</f>
        <v>2019</v>
      </c>
      <c r="AC651" t="str">
        <f>TEXT(Table1[[#This Row],[Hire Date]],"mmmm")</f>
        <v>دسامبر</v>
      </c>
      <c r="AD651" t="str">
        <f>IF(Table1[[#This Row],[Resigned]]="yes","former","active")</f>
        <v>active</v>
      </c>
    </row>
    <row r="652" spans="1:30" x14ac:dyDescent="0.3">
      <c r="A652" t="s">
        <v>1369</v>
      </c>
      <c r="B652" t="s">
        <v>1370</v>
      </c>
      <c r="C652" t="s">
        <v>27</v>
      </c>
      <c r="D652">
        <v>44</v>
      </c>
      <c r="E652" t="s">
        <v>63</v>
      </c>
      <c r="F652" t="s">
        <v>93</v>
      </c>
      <c r="G652" t="s">
        <v>58</v>
      </c>
      <c r="H652" t="s">
        <v>42</v>
      </c>
      <c r="I652" t="s">
        <v>81</v>
      </c>
      <c r="J652" s="1">
        <v>44387</v>
      </c>
      <c r="K652">
        <v>5</v>
      </c>
      <c r="L652">
        <v>50083336</v>
      </c>
      <c r="M652">
        <v>7578850</v>
      </c>
      <c r="N652" t="s">
        <v>33</v>
      </c>
      <c r="O652">
        <v>3.74</v>
      </c>
      <c r="P652">
        <v>47</v>
      </c>
      <c r="Q652">
        <v>5</v>
      </c>
      <c r="R652">
        <v>5</v>
      </c>
      <c r="S652">
        <v>20</v>
      </c>
      <c r="T652" t="s">
        <v>33</v>
      </c>
      <c r="U652" t="s">
        <v>34</v>
      </c>
      <c r="V652" t="s">
        <v>70</v>
      </c>
      <c r="W652" t="s">
        <v>34</v>
      </c>
      <c r="X652" t="s">
        <v>45</v>
      </c>
      <c r="Z652" t="str">
        <f>IF(Table1[[#This Row],[Age]]&lt;30,"20-29",IF(Table1[[#This Row],[Age]]&lt;40,"30-39",IF(Table1[[#This Row],[Age]]&lt;50,"40-49","50+")))</f>
        <v>40-49</v>
      </c>
      <c r="AA652" t="str">
        <f>IF(Table1[[#This Row],[Salary]]&lt;20000000,"low",IF(Table1[[#This Row],[Salary]]&lt;40000000,"medium","high"))</f>
        <v>high</v>
      </c>
      <c r="AB652">
        <f>YEAR(Table1[[#This Row],[Hire Date]])</f>
        <v>2021</v>
      </c>
      <c r="AC652" t="str">
        <f>TEXT(Table1[[#This Row],[Hire Date]],"mmmm")</f>
        <v>ژوئيه</v>
      </c>
      <c r="AD652" t="str">
        <f>IF(Table1[[#This Row],[Resigned]]="yes","former","active")</f>
        <v>active</v>
      </c>
    </row>
    <row r="653" spans="1:30" x14ac:dyDescent="0.3">
      <c r="A653" t="s">
        <v>1371</v>
      </c>
      <c r="B653" t="s">
        <v>1372</v>
      </c>
      <c r="C653" t="s">
        <v>27</v>
      </c>
      <c r="D653">
        <v>54</v>
      </c>
      <c r="E653" t="s">
        <v>40</v>
      </c>
      <c r="F653" t="s">
        <v>48</v>
      </c>
      <c r="G653" t="s">
        <v>49</v>
      </c>
      <c r="H653" t="s">
        <v>42</v>
      </c>
      <c r="I653" t="s">
        <v>43</v>
      </c>
      <c r="J653" s="1">
        <v>43714</v>
      </c>
      <c r="K653">
        <v>7</v>
      </c>
      <c r="L653">
        <v>19619132</v>
      </c>
      <c r="M653">
        <v>855733</v>
      </c>
      <c r="N653" t="s">
        <v>33</v>
      </c>
      <c r="O653">
        <v>3.57</v>
      </c>
      <c r="P653">
        <v>35</v>
      </c>
      <c r="Q653">
        <v>1</v>
      </c>
      <c r="R653">
        <v>1</v>
      </c>
      <c r="S653">
        <v>1</v>
      </c>
      <c r="T653" t="s">
        <v>34</v>
      </c>
      <c r="U653" t="s">
        <v>34</v>
      </c>
      <c r="V653" t="s">
        <v>44</v>
      </c>
      <c r="W653" t="s">
        <v>34</v>
      </c>
      <c r="X653" t="s">
        <v>36</v>
      </c>
      <c r="Z653" t="str">
        <f>IF(Table1[[#This Row],[Age]]&lt;30,"20-29",IF(Table1[[#This Row],[Age]]&lt;40,"30-39",IF(Table1[[#This Row],[Age]]&lt;50,"40-49","50+")))</f>
        <v>50+</v>
      </c>
      <c r="AA653" t="str">
        <f>IF(Table1[[#This Row],[Salary]]&lt;20000000,"low",IF(Table1[[#This Row],[Salary]]&lt;40000000,"medium","high"))</f>
        <v>low</v>
      </c>
      <c r="AB653">
        <f>YEAR(Table1[[#This Row],[Hire Date]])</f>
        <v>2019</v>
      </c>
      <c r="AC653" t="str">
        <f>TEXT(Table1[[#This Row],[Hire Date]],"mmmm")</f>
        <v>سپتامبر</v>
      </c>
      <c r="AD653" t="str">
        <f>IF(Table1[[#This Row],[Resigned]]="yes","former","active")</f>
        <v>active</v>
      </c>
    </row>
    <row r="654" spans="1:30" x14ac:dyDescent="0.3">
      <c r="A654" t="s">
        <v>1373</v>
      </c>
      <c r="B654" t="s">
        <v>1374</v>
      </c>
      <c r="C654" t="s">
        <v>39</v>
      </c>
      <c r="D654">
        <v>37</v>
      </c>
      <c r="E654" t="s">
        <v>73</v>
      </c>
      <c r="F654" t="s">
        <v>127</v>
      </c>
      <c r="G654" t="s">
        <v>49</v>
      </c>
      <c r="H654" t="s">
        <v>31</v>
      </c>
      <c r="I654" t="s">
        <v>65</v>
      </c>
      <c r="J654" s="1">
        <v>43095</v>
      </c>
      <c r="K654">
        <v>9</v>
      </c>
      <c r="L654">
        <v>22481317</v>
      </c>
      <c r="M654">
        <v>159622</v>
      </c>
      <c r="N654" t="s">
        <v>33</v>
      </c>
      <c r="O654">
        <v>3.71</v>
      </c>
      <c r="P654">
        <v>29</v>
      </c>
      <c r="Q654">
        <v>2</v>
      </c>
      <c r="R654">
        <v>5</v>
      </c>
      <c r="S654">
        <v>8</v>
      </c>
      <c r="T654" t="s">
        <v>33</v>
      </c>
      <c r="U654" t="s">
        <v>34</v>
      </c>
      <c r="V654" t="s">
        <v>44</v>
      </c>
      <c r="W654" t="s">
        <v>33</v>
      </c>
      <c r="X654" t="s">
        <v>36</v>
      </c>
      <c r="Z654" t="str">
        <f>IF(Table1[[#This Row],[Age]]&lt;30,"20-29",IF(Table1[[#This Row],[Age]]&lt;40,"30-39",IF(Table1[[#This Row],[Age]]&lt;50,"40-49","50+")))</f>
        <v>30-39</v>
      </c>
      <c r="AA654" t="str">
        <f>IF(Table1[[#This Row],[Salary]]&lt;20000000,"low",IF(Table1[[#This Row],[Salary]]&lt;40000000,"medium","high"))</f>
        <v>medium</v>
      </c>
      <c r="AB654">
        <f>YEAR(Table1[[#This Row],[Hire Date]])</f>
        <v>2017</v>
      </c>
      <c r="AC654" t="str">
        <f>TEXT(Table1[[#This Row],[Hire Date]],"mmmm")</f>
        <v>دسامبر</v>
      </c>
      <c r="AD654" t="str">
        <f>IF(Table1[[#This Row],[Resigned]]="yes","former","active")</f>
        <v>active</v>
      </c>
    </row>
    <row r="655" spans="1:30" x14ac:dyDescent="0.3">
      <c r="A655" t="s">
        <v>1375</v>
      </c>
      <c r="B655" t="s">
        <v>1376</v>
      </c>
      <c r="C655" t="s">
        <v>39</v>
      </c>
      <c r="D655">
        <v>29</v>
      </c>
      <c r="E655" t="s">
        <v>110</v>
      </c>
      <c r="F655" t="s">
        <v>120</v>
      </c>
      <c r="G655" t="s">
        <v>49</v>
      </c>
      <c r="H655" t="s">
        <v>31</v>
      </c>
      <c r="I655" t="s">
        <v>65</v>
      </c>
      <c r="J655" s="1">
        <v>43554</v>
      </c>
      <c r="K655">
        <v>7</v>
      </c>
      <c r="L655">
        <v>58334230</v>
      </c>
      <c r="M655">
        <v>429740</v>
      </c>
      <c r="N655" t="s">
        <v>33</v>
      </c>
      <c r="O655">
        <v>3.25</v>
      </c>
      <c r="P655">
        <v>4</v>
      </c>
      <c r="Q655">
        <v>4</v>
      </c>
      <c r="R655">
        <v>1</v>
      </c>
      <c r="S655">
        <v>1</v>
      </c>
      <c r="T655" t="s">
        <v>33</v>
      </c>
      <c r="U655" t="s">
        <v>34</v>
      </c>
      <c r="V655" t="s">
        <v>35</v>
      </c>
      <c r="W655" t="s">
        <v>34</v>
      </c>
      <c r="X655" t="s">
        <v>45</v>
      </c>
      <c r="Z655" t="str">
        <f>IF(Table1[[#This Row],[Age]]&lt;30,"20-29",IF(Table1[[#This Row],[Age]]&lt;40,"30-39",IF(Table1[[#This Row],[Age]]&lt;50,"40-49","50+")))</f>
        <v>20-29</v>
      </c>
      <c r="AA655" t="str">
        <f>IF(Table1[[#This Row],[Salary]]&lt;20000000,"low",IF(Table1[[#This Row],[Salary]]&lt;40000000,"medium","high"))</f>
        <v>high</v>
      </c>
      <c r="AB655">
        <f>YEAR(Table1[[#This Row],[Hire Date]])</f>
        <v>2019</v>
      </c>
      <c r="AC655" t="str">
        <f>TEXT(Table1[[#This Row],[Hire Date]],"mmmm")</f>
        <v>مارس</v>
      </c>
      <c r="AD655" t="str">
        <f>IF(Table1[[#This Row],[Resigned]]="yes","former","active")</f>
        <v>active</v>
      </c>
    </row>
    <row r="656" spans="1:30" x14ac:dyDescent="0.3">
      <c r="A656" t="s">
        <v>1377</v>
      </c>
      <c r="B656" t="s">
        <v>1378</v>
      </c>
      <c r="C656" t="s">
        <v>27</v>
      </c>
      <c r="D656">
        <v>30</v>
      </c>
      <c r="E656" t="s">
        <v>56</v>
      </c>
      <c r="F656" t="s">
        <v>84</v>
      </c>
      <c r="G656" t="s">
        <v>58</v>
      </c>
      <c r="H656" t="s">
        <v>42</v>
      </c>
      <c r="I656" t="s">
        <v>32</v>
      </c>
      <c r="J656" s="1">
        <v>44743</v>
      </c>
      <c r="K656">
        <v>4</v>
      </c>
      <c r="L656">
        <v>38989728</v>
      </c>
      <c r="M656">
        <v>9378619</v>
      </c>
      <c r="N656" t="s">
        <v>34</v>
      </c>
      <c r="O656">
        <v>4.82</v>
      </c>
      <c r="P656">
        <v>0</v>
      </c>
      <c r="Q656">
        <v>3</v>
      </c>
      <c r="R656">
        <v>5</v>
      </c>
      <c r="S656">
        <v>16</v>
      </c>
      <c r="T656" t="s">
        <v>34</v>
      </c>
      <c r="U656" t="s">
        <v>33</v>
      </c>
      <c r="V656" t="s">
        <v>44</v>
      </c>
      <c r="W656" t="s">
        <v>34</v>
      </c>
      <c r="X656" t="s">
        <v>36</v>
      </c>
      <c r="Y656" t="s">
        <v>162</v>
      </c>
      <c r="Z656" t="str">
        <f>IF(Table1[[#This Row],[Age]]&lt;30,"20-29",IF(Table1[[#This Row],[Age]]&lt;40,"30-39",IF(Table1[[#This Row],[Age]]&lt;50,"40-49","50+")))</f>
        <v>30-39</v>
      </c>
      <c r="AA656" t="str">
        <f>IF(Table1[[#This Row],[Salary]]&lt;20000000,"low",IF(Table1[[#This Row],[Salary]]&lt;40000000,"medium","high"))</f>
        <v>medium</v>
      </c>
      <c r="AB656">
        <f>YEAR(Table1[[#This Row],[Hire Date]])</f>
        <v>2022</v>
      </c>
      <c r="AC656" t="str">
        <f>TEXT(Table1[[#This Row],[Hire Date]],"mmmm")</f>
        <v>ژوئيه</v>
      </c>
      <c r="AD656" t="str">
        <f>IF(Table1[[#This Row],[Resigned]]="yes","former","active")</f>
        <v>former</v>
      </c>
    </row>
    <row r="657" spans="1:30" x14ac:dyDescent="0.3">
      <c r="A657" t="s">
        <v>1379</v>
      </c>
      <c r="B657" t="s">
        <v>1380</v>
      </c>
      <c r="C657" t="s">
        <v>27</v>
      </c>
      <c r="D657">
        <v>41</v>
      </c>
      <c r="E657" t="s">
        <v>73</v>
      </c>
      <c r="F657" t="s">
        <v>74</v>
      </c>
      <c r="G657" t="s">
        <v>30</v>
      </c>
      <c r="H657" t="s">
        <v>31</v>
      </c>
      <c r="I657" t="s">
        <v>65</v>
      </c>
      <c r="J657" s="1">
        <v>43809</v>
      </c>
      <c r="K657">
        <v>7</v>
      </c>
      <c r="L657">
        <v>38871115</v>
      </c>
      <c r="M657">
        <v>1396907</v>
      </c>
      <c r="N657" t="s">
        <v>34</v>
      </c>
      <c r="O657">
        <v>3.92</v>
      </c>
      <c r="P657">
        <v>72</v>
      </c>
      <c r="Q657">
        <v>4</v>
      </c>
      <c r="R657">
        <v>5</v>
      </c>
      <c r="S657">
        <v>16</v>
      </c>
      <c r="T657" t="s">
        <v>34</v>
      </c>
      <c r="U657" t="s">
        <v>34</v>
      </c>
      <c r="V657" t="s">
        <v>35</v>
      </c>
      <c r="W657" t="s">
        <v>33</v>
      </c>
      <c r="X657" t="s">
        <v>52</v>
      </c>
      <c r="Z657" t="str">
        <f>IF(Table1[[#This Row],[Age]]&lt;30,"20-29",IF(Table1[[#This Row],[Age]]&lt;40,"30-39",IF(Table1[[#This Row],[Age]]&lt;50,"40-49","50+")))</f>
        <v>40-49</v>
      </c>
      <c r="AA657" t="str">
        <f>IF(Table1[[#This Row],[Salary]]&lt;20000000,"low",IF(Table1[[#This Row],[Salary]]&lt;40000000,"medium","high"))</f>
        <v>medium</v>
      </c>
      <c r="AB657">
        <f>YEAR(Table1[[#This Row],[Hire Date]])</f>
        <v>2019</v>
      </c>
      <c r="AC657" t="str">
        <f>TEXT(Table1[[#This Row],[Hire Date]],"mmmm")</f>
        <v>دسامبر</v>
      </c>
      <c r="AD657" t="str">
        <f>IF(Table1[[#This Row],[Resigned]]="yes","former","active")</f>
        <v>active</v>
      </c>
    </row>
    <row r="658" spans="1:30" x14ac:dyDescent="0.3">
      <c r="A658" t="s">
        <v>1381</v>
      </c>
      <c r="B658" t="s">
        <v>1382</v>
      </c>
      <c r="C658" t="s">
        <v>27</v>
      </c>
      <c r="D658">
        <v>32</v>
      </c>
      <c r="E658" t="s">
        <v>56</v>
      </c>
      <c r="F658" t="s">
        <v>57</v>
      </c>
      <c r="G658" t="s">
        <v>30</v>
      </c>
      <c r="H658" t="s">
        <v>31</v>
      </c>
      <c r="I658" t="s">
        <v>81</v>
      </c>
      <c r="J658" s="1">
        <v>43130</v>
      </c>
      <c r="K658">
        <v>8</v>
      </c>
      <c r="L658">
        <v>43186152</v>
      </c>
      <c r="M658">
        <v>5254105</v>
      </c>
      <c r="N658" t="s">
        <v>33</v>
      </c>
      <c r="O658">
        <v>4.82</v>
      </c>
      <c r="P658">
        <v>64</v>
      </c>
      <c r="Q658">
        <v>2</v>
      </c>
      <c r="R658">
        <v>5</v>
      </c>
      <c r="S658">
        <v>9</v>
      </c>
      <c r="T658" t="s">
        <v>33</v>
      </c>
      <c r="U658" t="s">
        <v>33</v>
      </c>
      <c r="V658" t="s">
        <v>70</v>
      </c>
      <c r="W658" t="s">
        <v>33</v>
      </c>
      <c r="X658" t="s">
        <v>52</v>
      </c>
      <c r="Y658" t="s">
        <v>60</v>
      </c>
      <c r="Z658" t="str">
        <f>IF(Table1[[#This Row],[Age]]&lt;30,"20-29",IF(Table1[[#This Row],[Age]]&lt;40,"30-39",IF(Table1[[#This Row],[Age]]&lt;50,"40-49","50+")))</f>
        <v>30-39</v>
      </c>
      <c r="AA658" t="str">
        <f>IF(Table1[[#This Row],[Salary]]&lt;20000000,"low",IF(Table1[[#This Row],[Salary]]&lt;40000000,"medium","high"))</f>
        <v>high</v>
      </c>
      <c r="AB658">
        <f>YEAR(Table1[[#This Row],[Hire Date]])</f>
        <v>2018</v>
      </c>
      <c r="AC658" t="str">
        <f>TEXT(Table1[[#This Row],[Hire Date]],"mmmm")</f>
        <v>ژانويه</v>
      </c>
      <c r="AD658" t="str">
        <f>IF(Table1[[#This Row],[Resigned]]="yes","former","active")</f>
        <v>former</v>
      </c>
    </row>
    <row r="659" spans="1:30" x14ac:dyDescent="0.3">
      <c r="A659" t="s">
        <v>1383</v>
      </c>
      <c r="B659" t="s">
        <v>1384</v>
      </c>
      <c r="C659" t="s">
        <v>27</v>
      </c>
      <c r="D659">
        <v>37</v>
      </c>
      <c r="E659" t="s">
        <v>110</v>
      </c>
      <c r="F659" t="s">
        <v>120</v>
      </c>
      <c r="G659" t="s">
        <v>58</v>
      </c>
      <c r="H659" t="s">
        <v>42</v>
      </c>
      <c r="I659" t="s">
        <v>81</v>
      </c>
      <c r="J659" s="1">
        <v>44041</v>
      </c>
      <c r="K659">
        <v>6</v>
      </c>
      <c r="L659">
        <v>46572912</v>
      </c>
      <c r="M659">
        <v>7824718</v>
      </c>
      <c r="N659" t="s">
        <v>33</v>
      </c>
      <c r="O659">
        <v>3.88</v>
      </c>
      <c r="P659">
        <v>10</v>
      </c>
      <c r="Q659">
        <v>5</v>
      </c>
      <c r="R659">
        <v>4</v>
      </c>
      <c r="S659">
        <v>0</v>
      </c>
      <c r="T659" t="s">
        <v>33</v>
      </c>
      <c r="U659" t="s">
        <v>34</v>
      </c>
      <c r="V659" t="s">
        <v>44</v>
      </c>
      <c r="W659" t="s">
        <v>34</v>
      </c>
      <c r="X659" t="s">
        <v>52</v>
      </c>
      <c r="Z659" t="str">
        <f>IF(Table1[[#This Row],[Age]]&lt;30,"20-29",IF(Table1[[#This Row],[Age]]&lt;40,"30-39",IF(Table1[[#This Row],[Age]]&lt;50,"40-49","50+")))</f>
        <v>30-39</v>
      </c>
      <c r="AA659" t="str">
        <f>IF(Table1[[#This Row],[Salary]]&lt;20000000,"low",IF(Table1[[#This Row],[Salary]]&lt;40000000,"medium","high"))</f>
        <v>high</v>
      </c>
      <c r="AB659">
        <f>YEAR(Table1[[#This Row],[Hire Date]])</f>
        <v>2020</v>
      </c>
      <c r="AC659" t="str">
        <f>TEXT(Table1[[#This Row],[Hire Date]],"mmmm")</f>
        <v>ژوئيه</v>
      </c>
      <c r="AD659" t="str">
        <f>IF(Table1[[#This Row],[Resigned]]="yes","former","active")</f>
        <v>active</v>
      </c>
    </row>
    <row r="660" spans="1:30" x14ac:dyDescent="0.3">
      <c r="A660" t="s">
        <v>1385</v>
      </c>
      <c r="B660" t="s">
        <v>1386</v>
      </c>
      <c r="C660" t="s">
        <v>27</v>
      </c>
      <c r="D660">
        <v>47</v>
      </c>
      <c r="E660" t="s">
        <v>73</v>
      </c>
      <c r="F660" t="s">
        <v>127</v>
      </c>
      <c r="G660" t="s">
        <v>58</v>
      </c>
      <c r="H660" t="s">
        <v>31</v>
      </c>
      <c r="I660" t="s">
        <v>81</v>
      </c>
      <c r="J660" s="1">
        <v>42884</v>
      </c>
      <c r="K660">
        <v>9</v>
      </c>
      <c r="L660">
        <v>33452569</v>
      </c>
      <c r="M660">
        <v>662965</v>
      </c>
      <c r="N660" t="s">
        <v>34</v>
      </c>
      <c r="O660">
        <v>2.94</v>
      </c>
      <c r="P660">
        <v>8</v>
      </c>
      <c r="Q660">
        <v>2</v>
      </c>
      <c r="R660">
        <v>4</v>
      </c>
      <c r="S660">
        <v>0</v>
      </c>
      <c r="T660" t="s">
        <v>33</v>
      </c>
      <c r="U660" t="s">
        <v>34</v>
      </c>
      <c r="V660" t="s">
        <v>35</v>
      </c>
      <c r="W660" t="s">
        <v>34</v>
      </c>
      <c r="X660" t="s">
        <v>52</v>
      </c>
      <c r="Z660" t="str">
        <f>IF(Table1[[#This Row],[Age]]&lt;30,"20-29",IF(Table1[[#This Row],[Age]]&lt;40,"30-39",IF(Table1[[#This Row],[Age]]&lt;50,"40-49","50+")))</f>
        <v>40-49</v>
      </c>
      <c r="AA660" t="str">
        <f>IF(Table1[[#This Row],[Salary]]&lt;20000000,"low",IF(Table1[[#This Row],[Salary]]&lt;40000000,"medium","high"))</f>
        <v>medium</v>
      </c>
      <c r="AB660">
        <f>YEAR(Table1[[#This Row],[Hire Date]])</f>
        <v>2017</v>
      </c>
      <c r="AC660" t="str">
        <f>TEXT(Table1[[#This Row],[Hire Date]],"mmmm")</f>
        <v>مه</v>
      </c>
      <c r="AD660" t="str">
        <f>IF(Table1[[#This Row],[Resigned]]="yes","former","active")</f>
        <v>active</v>
      </c>
    </row>
    <row r="661" spans="1:30" x14ac:dyDescent="0.3">
      <c r="A661" t="s">
        <v>1387</v>
      </c>
      <c r="B661" t="s">
        <v>1388</v>
      </c>
      <c r="C661" t="s">
        <v>39</v>
      </c>
      <c r="D661">
        <v>47</v>
      </c>
      <c r="E661" t="s">
        <v>40</v>
      </c>
      <c r="F661" t="s">
        <v>41</v>
      </c>
      <c r="G661" t="s">
        <v>30</v>
      </c>
      <c r="H661" t="s">
        <v>42</v>
      </c>
      <c r="I661" t="s">
        <v>43</v>
      </c>
      <c r="J661" s="1">
        <v>42498</v>
      </c>
      <c r="K661">
        <v>10</v>
      </c>
      <c r="L661">
        <v>32573404</v>
      </c>
      <c r="M661">
        <v>4545050</v>
      </c>
      <c r="N661" t="s">
        <v>33</v>
      </c>
      <c r="O661">
        <v>2.73</v>
      </c>
      <c r="P661">
        <v>45</v>
      </c>
      <c r="Q661">
        <v>4</v>
      </c>
      <c r="R661">
        <v>1</v>
      </c>
      <c r="S661">
        <v>10</v>
      </c>
      <c r="T661" t="s">
        <v>34</v>
      </c>
      <c r="U661" t="s">
        <v>34</v>
      </c>
      <c r="V661" t="s">
        <v>44</v>
      </c>
      <c r="W661" t="s">
        <v>33</v>
      </c>
      <c r="X661" t="s">
        <v>45</v>
      </c>
      <c r="Z661" t="str">
        <f>IF(Table1[[#This Row],[Age]]&lt;30,"20-29",IF(Table1[[#This Row],[Age]]&lt;40,"30-39",IF(Table1[[#This Row],[Age]]&lt;50,"40-49","50+")))</f>
        <v>40-49</v>
      </c>
      <c r="AA661" t="str">
        <f>IF(Table1[[#This Row],[Salary]]&lt;20000000,"low",IF(Table1[[#This Row],[Salary]]&lt;40000000,"medium","high"))</f>
        <v>medium</v>
      </c>
      <c r="AB661">
        <f>YEAR(Table1[[#This Row],[Hire Date]])</f>
        <v>2016</v>
      </c>
      <c r="AC661" t="str">
        <f>TEXT(Table1[[#This Row],[Hire Date]],"mmmm")</f>
        <v>مه</v>
      </c>
      <c r="AD661" t="str">
        <f>IF(Table1[[#This Row],[Resigned]]="yes","former","active")</f>
        <v>active</v>
      </c>
    </row>
    <row r="662" spans="1:30" x14ac:dyDescent="0.3">
      <c r="A662" t="s">
        <v>1389</v>
      </c>
      <c r="B662" t="s">
        <v>1390</v>
      </c>
      <c r="C662" t="s">
        <v>27</v>
      </c>
      <c r="D662">
        <v>26</v>
      </c>
      <c r="E662" t="s">
        <v>63</v>
      </c>
      <c r="F662" t="s">
        <v>93</v>
      </c>
      <c r="G662" t="s">
        <v>49</v>
      </c>
      <c r="H662" t="s">
        <v>31</v>
      </c>
      <c r="I662" t="s">
        <v>65</v>
      </c>
      <c r="J662" s="1">
        <v>43353</v>
      </c>
      <c r="K662">
        <v>8</v>
      </c>
      <c r="L662">
        <v>55789162</v>
      </c>
      <c r="M662">
        <v>2365813</v>
      </c>
      <c r="N662" t="s">
        <v>33</v>
      </c>
      <c r="O662">
        <v>3.34</v>
      </c>
      <c r="P662">
        <v>11</v>
      </c>
      <c r="Q662">
        <v>3</v>
      </c>
      <c r="R662">
        <v>3</v>
      </c>
      <c r="S662">
        <v>1</v>
      </c>
      <c r="T662" t="s">
        <v>33</v>
      </c>
      <c r="U662" t="s">
        <v>34</v>
      </c>
      <c r="V662" t="s">
        <v>35</v>
      </c>
      <c r="W662" t="s">
        <v>34</v>
      </c>
      <c r="X662" t="s">
        <v>52</v>
      </c>
      <c r="Z662" t="str">
        <f>IF(Table1[[#This Row],[Age]]&lt;30,"20-29",IF(Table1[[#This Row],[Age]]&lt;40,"30-39",IF(Table1[[#This Row],[Age]]&lt;50,"40-49","50+")))</f>
        <v>20-29</v>
      </c>
      <c r="AA662" t="str">
        <f>IF(Table1[[#This Row],[Salary]]&lt;20000000,"low",IF(Table1[[#This Row],[Salary]]&lt;40000000,"medium","high"))</f>
        <v>high</v>
      </c>
      <c r="AB662">
        <f>YEAR(Table1[[#This Row],[Hire Date]])</f>
        <v>2018</v>
      </c>
      <c r="AC662" t="str">
        <f>TEXT(Table1[[#This Row],[Hire Date]],"mmmm")</f>
        <v>سپتامبر</v>
      </c>
      <c r="AD662" t="str">
        <f>IF(Table1[[#This Row],[Resigned]]="yes","former","active")</f>
        <v>active</v>
      </c>
    </row>
    <row r="663" spans="1:30" x14ac:dyDescent="0.3">
      <c r="A663" t="s">
        <v>1391</v>
      </c>
      <c r="B663" t="s">
        <v>1392</v>
      </c>
      <c r="C663" t="s">
        <v>27</v>
      </c>
      <c r="D663">
        <v>22</v>
      </c>
      <c r="E663" t="s">
        <v>40</v>
      </c>
      <c r="F663" t="s">
        <v>41</v>
      </c>
      <c r="G663" t="s">
        <v>49</v>
      </c>
      <c r="H663" t="s">
        <v>42</v>
      </c>
      <c r="I663" t="s">
        <v>65</v>
      </c>
      <c r="J663" s="1">
        <v>44404</v>
      </c>
      <c r="K663">
        <v>5</v>
      </c>
      <c r="L663">
        <v>48918770</v>
      </c>
      <c r="M663">
        <v>7812481</v>
      </c>
      <c r="N663" t="s">
        <v>33</v>
      </c>
      <c r="O663">
        <v>4.99</v>
      </c>
      <c r="P663">
        <v>55</v>
      </c>
      <c r="Q663">
        <v>2</v>
      </c>
      <c r="R663">
        <v>5</v>
      </c>
      <c r="S663">
        <v>11</v>
      </c>
      <c r="T663" t="s">
        <v>34</v>
      </c>
      <c r="U663" t="s">
        <v>34</v>
      </c>
      <c r="V663" t="s">
        <v>51</v>
      </c>
      <c r="W663" t="s">
        <v>34</v>
      </c>
      <c r="X663" t="s">
        <v>52</v>
      </c>
      <c r="Z663" t="str">
        <f>IF(Table1[[#This Row],[Age]]&lt;30,"20-29",IF(Table1[[#This Row],[Age]]&lt;40,"30-39",IF(Table1[[#This Row],[Age]]&lt;50,"40-49","50+")))</f>
        <v>20-29</v>
      </c>
      <c r="AA663" t="str">
        <f>IF(Table1[[#This Row],[Salary]]&lt;20000000,"low",IF(Table1[[#This Row],[Salary]]&lt;40000000,"medium","high"))</f>
        <v>high</v>
      </c>
      <c r="AB663">
        <f>YEAR(Table1[[#This Row],[Hire Date]])</f>
        <v>2021</v>
      </c>
      <c r="AC663" t="str">
        <f>TEXT(Table1[[#This Row],[Hire Date]],"mmmm")</f>
        <v>ژوئيه</v>
      </c>
      <c r="AD663" t="str">
        <f>IF(Table1[[#This Row],[Resigned]]="yes","former","active")</f>
        <v>active</v>
      </c>
    </row>
    <row r="664" spans="1:30" x14ac:dyDescent="0.3">
      <c r="A664" t="s">
        <v>1393</v>
      </c>
      <c r="B664" t="s">
        <v>1394</v>
      </c>
      <c r="C664" t="s">
        <v>39</v>
      </c>
      <c r="D664">
        <v>31</v>
      </c>
      <c r="E664" t="s">
        <v>56</v>
      </c>
      <c r="F664" t="s">
        <v>57</v>
      </c>
      <c r="G664" t="s">
        <v>58</v>
      </c>
      <c r="H664" t="s">
        <v>31</v>
      </c>
      <c r="I664" t="s">
        <v>81</v>
      </c>
      <c r="J664" s="1">
        <v>44805</v>
      </c>
      <c r="K664">
        <v>4</v>
      </c>
      <c r="L664">
        <v>27651814</v>
      </c>
      <c r="M664">
        <v>9795997</v>
      </c>
      <c r="N664" t="s">
        <v>33</v>
      </c>
      <c r="O664">
        <v>4.1500000000000004</v>
      </c>
      <c r="P664">
        <v>8</v>
      </c>
      <c r="Q664">
        <v>3</v>
      </c>
      <c r="R664">
        <v>1</v>
      </c>
      <c r="S664">
        <v>18</v>
      </c>
      <c r="T664" t="s">
        <v>33</v>
      </c>
      <c r="U664" t="s">
        <v>34</v>
      </c>
      <c r="V664" t="s">
        <v>35</v>
      </c>
      <c r="W664" t="s">
        <v>33</v>
      </c>
      <c r="X664" t="s">
        <v>45</v>
      </c>
      <c r="Z664" t="str">
        <f>IF(Table1[[#This Row],[Age]]&lt;30,"20-29",IF(Table1[[#This Row],[Age]]&lt;40,"30-39",IF(Table1[[#This Row],[Age]]&lt;50,"40-49","50+")))</f>
        <v>30-39</v>
      </c>
      <c r="AA664" t="str">
        <f>IF(Table1[[#This Row],[Salary]]&lt;20000000,"low",IF(Table1[[#This Row],[Salary]]&lt;40000000,"medium","high"))</f>
        <v>medium</v>
      </c>
      <c r="AB664">
        <f>YEAR(Table1[[#This Row],[Hire Date]])</f>
        <v>2022</v>
      </c>
      <c r="AC664" t="str">
        <f>TEXT(Table1[[#This Row],[Hire Date]],"mmmm")</f>
        <v>سپتامبر</v>
      </c>
      <c r="AD664" t="str">
        <f>IF(Table1[[#This Row],[Resigned]]="yes","former","active")</f>
        <v>active</v>
      </c>
    </row>
    <row r="665" spans="1:30" x14ac:dyDescent="0.3">
      <c r="A665" t="s">
        <v>1395</v>
      </c>
      <c r="B665" t="s">
        <v>1396</v>
      </c>
      <c r="C665" t="s">
        <v>27</v>
      </c>
      <c r="D665">
        <v>52</v>
      </c>
      <c r="E665" t="s">
        <v>63</v>
      </c>
      <c r="F665" t="s">
        <v>64</v>
      </c>
      <c r="G665" t="s">
        <v>58</v>
      </c>
      <c r="H665" t="s">
        <v>31</v>
      </c>
      <c r="I665" t="s">
        <v>32</v>
      </c>
      <c r="J665" s="1">
        <v>43749</v>
      </c>
      <c r="K665">
        <v>7</v>
      </c>
      <c r="L665">
        <v>36538857</v>
      </c>
      <c r="M665">
        <v>6303935</v>
      </c>
      <c r="N665" t="s">
        <v>34</v>
      </c>
      <c r="O665">
        <v>3.04</v>
      </c>
      <c r="P665">
        <v>45</v>
      </c>
      <c r="Q665">
        <v>3</v>
      </c>
      <c r="R665">
        <v>2</v>
      </c>
      <c r="S665">
        <v>2</v>
      </c>
      <c r="T665" t="s">
        <v>34</v>
      </c>
      <c r="U665" t="s">
        <v>34</v>
      </c>
      <c r="V665" t="s">
        <v>70</v>
      </c>
      <c r="W665" t="s">
        <v>33</v>
      </c>
      <c r="X665" t="s">
        <v>36</v>
      </c>
      <c r="Z665" t="str">
        <f>IF(Table1[[#This Row],[Age]]&lt;30,"20-29",IF(Table1[[#This Row],[Age]]&lt;40,"30-39",IF(Table1[[#This Row],[Age]]&lt;50,"40-49","50+")))</f>
        <v>50+</v>
      </c>
      <c r="AA665" t="str">
        <f>IF(Table1[[#This Row],[Salary]]&lt;20000000,"low",IF(Table1[[#This Row],[Salary]]&lt;40000000,"medium","high"))</f>
        <v>medium</v>
      </c>
      <c r="AB665">
        <f>YEAR(Table1[[#This Row],[Hire Date]])</f>
        <v>2019</v>
      </c>
      <c r="AC665" t="str">
        <f>TEXT(Table1[[#This Row],[Hire Date]],"mmmm")</f>
        <v>اُكتبر</v>
      </c>
      <c r="AD665" t="str">
        <f>IF(Table1[[#This Row],[Resigned]]="yes","former","active")</f>
        <v>active</v>
      </c>
    </row>
    <row r="666" spans="1:30" x14ac:dyDescent="0.3">
      <c r="A666" t="s">
        <v>1397</v>
      </c>
      <c r="B666" t="s">
        <v>1398</v>
      </c>
      <c r="C666" t="s">
        <v>39</v>
      </c>
      <c r="D666">
        <v>48</v>
      </c>
      <c r="E666" t="s">
        <v>63</v>
      </c>
      <c r="F666" t="s">
        <v>64</v>
      </c>
      <c r="G666" t="s">
        <v>58</v>
      </c>
      <c r="H666" t="s">
        <v>42</v>
      </c>
      <c r="I666" t="s">
        <v>43</v>
      </c>
      <c r="J666" s="1">
        <v>42822</v>
      </c>
      <c r="K666">
        <v>9</v>
      </c>
      <c r="L666">
        <v>52753854</v>
      </c>
      <c r="M666">
        <v>8667891</v>
      </c>
      <c r="N666" t="s">
        <v>34</v>
      </c>
      <c r="O666">
        <v>3.34</v>
      </c>
      <c r="P666">
        <v>43</v>
      </c>
      <c r="Q666">
        <v>4</v>
      </c>
      <c r="R666">
        <v>5</v>
      </c>
      <c r="S666">
        <v>17</v>
      </c>
      <c r="T666" t="s">
        <v>34</v>
      </c>
      <c r="U666" t="s">
        <v>34</v>
      </c>
      <c r="V666" t="s">
        <v>51</v>
      </c>
      <c r="W666" t="s">
        <v>33</v>
      </c>
      <c r="X666" t="s">
        <v>36</v>
      </c>
      <c r="Z666" t="str">
        <f>IF(Table1[[#This Row],[Age]]&lt;30,"20-29",IF(Table1[[#This Row],[Age]]&lt;40,"30-39",IF(Table1[[#This Row],[Age]]&lt;50,"40-49","50+")))</f>
        <v>40-49</v>
      </c>
      <c r="AA666" t="str">
        <f>IF(Table1[[#This Row],[Salary]]&lt;20000000,"low",IF(Table1[[#This Row],[Salary]]&lt;40000000,"medium","high"))</f>
        <v>high</v>
      </c>
      <c r="AB666">
        <f>YEAR(Table1[[#This Row],[Hire Date]])</f>
        <v>2017</v>
      </c>
      <c r="AC666" t="str">
        <f>TEXT(Table1[[#This Row],[Hire Date]],"mmmm")</f>
        <v>مارس</v>
      </c>
      <c r="AD666" t="str">
        <f>IF(Table1[[#This Row],[Resigned]]="yes","former","active")</f>
        <v>active</v>
      </c>
    </row>
    <row r="667" spans="1:30" x14ac:dyDescent="0.3">
      <c r="A667" t="s">
        <v>1399</v>
      </c>
      <c r="B667" t="s">
        <v>1400</v>
      </c>
      <c r="C667" t="s">
        <v>39</v>
      </c>
      <c r="D667">
        <v>56</v>
      </c>
      <c r="E667" t="s">
        <v>110</v>
      </c>
      <c r="F667" t="s">
        <v>120</v>
      </c>
      <c r="G667" t="s">
        <v>49</v>
      </c>
      <c r="H667" t="s">
        <v>42</v>
      </c>
      <c r="I667" t="s">
        <v>50</v>
      </c>
      <c r="J667" s="1">
        <v>42478</v>
      </c>
      <c r="K667">
        <v>10</v>
      </c>
      <c r="L667">
        <v>41224727</v>
      </c>
      <c r="M667">
        <v>5635249</v>
      </c>
      <c r="N667" t="s">
        <v>34</v>
      </c>
      <c r="O667">
        <v>3.35</v>
      </c>
      <c r="P667">
        <v>18</v>
      </c>
      <c r="Q667">
        <v>5</v>
      </c>
      <c r="R667">
        <v>4</v>
      </c>
      <c r="S667">
        <v>2</v>
      </c>
      <c r="T667" t="s">
        <v>33</v>
      </c>
      <c r="U667" t="s">
        <v>33</v>
      </c>
      <c r="V667" t="s">
        <v>59</v>
      </c>
      <c r="W667" t="s">
        <v>34</v>
      </c>
      <c r="X667" t="s">
        <v>45</v>
      </c>
      <c r="Y667" t="s">
        <v>60</v>
      </c>
      <c r="Z667" t="str">
        <f>IF(Table1[[#This Row],[Age]]&lt;30,"20-29",IF(Table1[[#This Row],[Age]]&lt;40,"30-39",IF(Table1[[#This Row],[Age]]&lt;50,"40-49","50+")))</f>
        <v>50+</v>
      </c>
      <c r="AA667" t="str">
        <f>IF(Table1[[#This Row],[Salary]]&lt;20000000,"low",IF(Table1[[#This Row],[Salary]]&lt;40000000,"medium","high"))</f>
        <v>high</v>
      </c>
      <c r="AB667">
        <f>YEAR(Table1[[#This Row],[Hire Date]])</f>
        <v>2016</v>
      </c>
      <c r="AC667" t="str">
        <f>TEXT(Table1[[#This Row],[Hire Date]],"mmmm")</f>
        <v>آوريل</v>
      </c>
      <c r="AD667" t="str">
        <f>IF(Table1[[#This Row],[Resigned]]="yes","former","active")</f>
        <v>former</v>
      </c>
    </row>
    <row r="668" spans="1:30" x14ac:dyDescent="0.3">
      <c r="A668" t="s">
        <v>1401</v>
      </c>
      <c r="B668" t="s">
        <v>1402</v>
      </c>
      <c r="C668" t="s">
        <v>39</v>
      </c>
      <c r="D668">
        <v>49</v>
      </c>
      <c r="E668" t="s">
        <v>73</v>
      </c>
      <c r="F668" t="s">
        <v>127</v>
      </c>
      <c r="G668" t="s">
        <v>30</v>
      </c>
      <c r="H668" t="s">
        <v>42</v>
      </c>
      <c r="I668" t="s">
        <v>81</v>
      </c>
      <c r="J668" s="1">
        <v>43293</v>
      </c>
      <c r="K668">
        <v>8</v>
      </c>
      <c r="L668">
        <v>13296760</v>
      </c>
      <c r="M668">
        <v>9365219</v>
      </c>
      <c r="N668" t="s">
        <v>33</v>
      </c>
      <c r="O668">
        <v>3.77</v>
      </c>
      <c r="P668">
        <v>48</v>
      </c>
      <c r="Q668">
        <v>1</v>
      </c>
      <c r="R668">
        <v>4</v>
      </c>
      <c r="S668">
        <v>3</v>
      </c>
      <c r="T668" t="s">
        <v>34</v>
      </c>
      <c r="U668" t="s">
        <v>33</v>
      </c>
      <c r="V668" t="s">
        <v>59</v>
      </c>
      <c r="W668" t="s">
        <v>33</v>
      </c>
      <c r="X668" t="s">
        <v>52</v>
      </c>
      <c r="Y668" t="s">
        <v>162</v>
      </c>
      <c r="Z668" t="str">
        <f>IF(Table1[[#This Row],[Age]]&lt;30,"20-29",IF(Table1[[#This Row],[Age]]&lt;40,"30-39",IF(Table1[[#This Row],[Age]]&lt;50,"40-49","50+")))</f>
        <v>40-49</v>
      </c>
      <c r="AA668" t="str">
        <f>IF(Table1[[#This Row],[Salary]]&lt;20000000,"low",IF(Table1[[#This Row],[Salary]]&lt;40000000,"medium","high"))</f>
        <v>low</v>
      </c>
      <c r="AB668">
        <f>YEAR(Table1[[#This Row],[Hire Date]])</f>
        <v>2018</v>
      </c>
      <c r="AC668" t="str">
        <f>TEXT(Table1[[#This Row],[Hire Date]],"mmmm")</f>
        <v>ژوئيه</v>
      </c>
      <c r="AD668" t="str">
        <f>IF(Table1[[#This Row],[Resigned]]="yes","former","active")</f>
        <v>former</v>
      </c>
    </row>
    <row r="669" spans="1:30" x14ac:dyDescent="0.3">
      <c r="A669" t="s">
        <v>1403</v>
      </c>
      <c r="B669" t="s">
        <v>1404</v>
      </c>
      <c r="C669" t="s">
        <v>27</v>
      </c>
      <c r="D669">
        <v>24</v>
      </c>
      <c r="E669" t="s">
        <v>73</v>
      </c>
      <c r="F669" t="s">
        <v>127</v>
      </c>
      <c r="G669" t="s">
        <v>58</v>
      </c>
      <c r="H669" t="s">
        <v>42</v>
      </c>
      <c r="I669" t="s">
        <v>65</v>
      </c>
      <c r="J669" s="1">
        <v>45420</v>
      </c>
      <c r="K669">
        <v>2</v>
      </c>
      <c r="L669">
        <v>56810721</v>
      </c>
      <c r="M669">
        <v>8245173</v>
      </c>
      <c r="N669" t="s">
        <v>33</v>
      </c>
      <c r="O669">
        <v>2.99</v>
      </c>
      <c r="P669">
        <v>75</v>
      </c>
      <c r="Q669">
        <v>3</v>
      </c>
      <c r="R669">
        <v>5</v>
      </c>
      <c r="S669">
        <v>12</v>
      </c>
      <c r="T669" t="s">
        <v>33</v>
      </c>
      <c r="U669" t="s">
        <v>34</v>
      </c>
      <c r="V669" t="s">
        <v>70</v>
      </c>
      <c r="W669" t="s">
        <v>34</v>
      </c>
      <c r="X669" t="s">
        <v>52</v>
      </c>
      <c r="Z669" t="str">
        <f>IF(Table1[[#This Row],[Age]]&lt;30,"20-29",IF(Table1[[#This Row],[Age]]&lt;40,"30-39",IF(Table1[[#This Row],[Age]]&lt;50,"40-49","50+")))</f>
        <v>20-29</v>
      </c>
      <c r="AA669" t="str">
        <f>IF(Table1[[#This Row],[Salary]]&lt;20000000,"low",IF(Table1[[#This Row],[Salary]]&lt;40000000,"medium","high"))</f>
        <v>high</v>
      </c>
      <c r="AB669">
        <f>YEAR(Table1[[#This Row],[Hire Date]])</f>
        <v>2024</v>
      </c>
      <c r="AC669" t="str">
        <f>TEXT(Table1[[#This Row],[Hire Date]],"mmmm")</f>
        <v>مه</v>
      </c>
      <c r="AD669" t="str">
        <f>IF(Table1[[#This Row],[Resigned]]="yes","former","active")</f>
        <v>active</v>
      </c>
    </row>
    <row r="670" spans="1:30" x14ac:dyDescent="0.3">
      <c r="A670" t="s">
        <v>1405</v>
      </c>
      <c r="B670" t="s">
        <v>1406</v>
      </c>
      <c r="C670" t="s">
        <v>27</v>
      </c>
      <c r="D670">
        <v>31</v>
      </c>
      <c r="E670" t="s">
        <v>40</v>
      </c>
      <c r="F670" t="s">
        <v>41</v>
      </c>
      <c r="G670" t="s">
        <v>49</v>
      </c>
      <c r="H670" t="s">
        <v>31</v>
      </c>
      <c r="I670" t="s">
        <v>32</v>
      </c>
      <c r="J670" s="1">
        <v>43793</v>
      </c>
      <c r="K670">
        <v>7</v>
      </c>
      <c r="L670">
        <v>16984313</v>
      </c>
      <c r="M670">
        <v>2734050</v>
      </c>
      <c r="N670" t="s">
        <v>34</v>
      </c>
      <c r="O670">
        <v>4.46</v>
      </c>
      <c r="P670">
        <v>19</v>
      </c>
      <c r="Q670">
        <v>4</v>
      </c>
      <c r="R670">
        <v>3</v>
      </c>
      <c r="S670">
        <v>12</v>
      </c>
      <c r="T670" t="s">
        <v>33</v>
      </c>
      <c r="U670" t="s">
        <v>34</v>
      </c>
      <c r="V670" t="s">
        <v>51</v>
      </c>
      <c r="W670" t="s">
        <v>34</v>
      </c>
      <c r="X670" t="s">
        <v>45</v>
      </c>
      <c r="Z670" t="str">
        <f>IF(Table1[[#This Row],[Age]]&lt;30,"20-29",IF(Table1[[#This Row],[Age]]&lt;40,"30-39",IF(Table1[[#This Row],[Age]]&lt;50,"40-49","50+")))</f>
        <v>30-39</v>
      </c>
      <c r="AA670" t="str">
        <f>IF(Table1[[#This Row],[Salary]]&lt;20000000,"low",IF(Table1[[#This Row],[Salary]]&lt;40000000,"medium","high"))</f>
        <v>low</v>
      </c>
      <c r="AB670">
        <f>YEAR(Table1[[#This Row],[Hire Date]])</f>
        <v>2019</v>
      </c>
      <c r="AC670" t="str">
        <f>TEXT(Table1[[#This Row],[Hire Date]],"mmmm")</f>
        <v>نوامبر</v>
      </c>
      <c r="AD670" t="str">
        <f>IF(Table1[[#This Row],[Resigned]]="yes","former","active")</f>
        <v>active</v>
      </c>
    </row>
    <row r="671" spans="1:30" x14ac:dyDescent="0.3">
      <c r="A671" t="s">
        <v>1407</v>
      </c>
      <c r="B671" t="s">
        <v>1408</v>
      </c>
      <c r="C671" t="s">
        <v>27</v>
      </c>
      <c r="D671">
        <v>46</v>
      </c>
      <c r="E671" t="s">
        <v>63</v>
      </c>
      <c r="F671" t="s">
        <v>93</v>
      </c>
      <c r="G671" t="s">
        <v>49</v>
      </c>
      <c r="H671" t="s">
        <v>42</v>
      </c>
      <c r="I671" t="s">
        <v>65</v>
      </c>
      <c r="J671" s="1">
        <v>42699</v>
      </c>
      <c r="K671">
        <v>10</v>
      </c>
      <c r="L671">
        <v>22693737</v>
      </c>
      <c r="M671">
        <v>9613872</v>
      </c>
      <c r="N671" t="s">
        <v>34</v>
      </c>
      <c r="O671">
        <v>3.91</v>
      </c>
      <c r="P671">
        <v>9</v>
      </c>
      <c r="Q671">
        <v>1</v>
      </c>
      <c r="R671">
        <v>1</v>
      </c>
      <c r="S671">
        <v>20</v>
      </c>
      <c r="T671" t="s">
        <v>34</v>
      </c>
      <c r="U671" t="s">
        <v>34</v>
      </c>
      <c r="V671" t="s">
        <v>44</v>
      </c>
      <c r="W671" t="s">
        <v>33</v>
      </c>
      <c r="X671" t="s">
        <v>36</v>
      </c>
      <c r="Z671" t="str">
        <f>IF(Table1[[#This Row],[Age]]&lt;30,"20-29",IF(Table1[[#This Row],[Age]]&lt;40,"30-39",IF(Table1[[#This Row],[Age]]&lt;50,"40-49","50+")))</f>
        <v>40-49</v>
      </c>
      <c r="AA671" t="str">
        <f>IF(Table1[[#This Row],[Salary]]&lt;20000000,"low",IF(Table1[[#This Row],[Salary]]&lt;40000000,"medium","high"))</f>
        <v>medium</v>
      </c>
      <c r="AB671">
        <f>YEAR(Table1[[#This Row],[Hire Date]])</f>
        <v>2016</v>
      </c>
      <c r="AC671" t="str">
        <f>TEXT(Table1[[#This Row],[Hire Date]],"mmmm")</f>
        <v>نوامبر</v>
      </c>
      <c r="AD671" t="str">
        <f>IF(Table1[[#This Row],[Resigned]]="yes","former","active")</f>
        <v>active</v>
      </c>
    </row>
    <row r="672" spans="1:30" x14ac:dyDescent="0.3">
      <c r="A672" t="s">
        <v>1409</v>
      </c>
      <c r="B672" t="s">
        <v>1410</v>
      </c>
      <c r="C672" t="s">
        <v>39</v>
      </c>
      <c r="D672">
        <v>38</v>
      </c>
      <c r="E672" t="s">
        <v>73</v>
      </c>
      <c r="F672" t="s">
        <v>127</v>
      </c>
      <c r="G672" t="s">
        <v>49</v>
      </c>
      <c r="H672" t="s">
        <v>31</v>
      </c>
      <c r="I672" t="s">
        <v>43</v>
      </c>
      <c r="J672" s="1">
        <v>43655</v>
      </c>
      <c r="K672">
        <v>7</v>
      </c>
      <c r="L672">
        <v>48662566</v>
      </c>
      <c r="M672">
        <v>5997446</v>
      </c>
      <c r="N672" t="s">
        <v>33</v>
      </c>
      <c r="O672">
        <v>4.03</v>
      </c>
      <c r="P672">
        <v>11</v>
      </c>
      <c r="Q672">
        <v>5</v>
      </c>
      <c r="R672">
        <v>4</v>
      </c>
      <c r="S672">
        <v>14</v>
      </c>
      <c r="T672" t="s">
        <v>34</v>
      </c>
      <c r="U672" t="s">
        <v>34</v>
      </c>
      <c r="V672" t="s">
        <v>59</v>
      </c>
      <c r="W672" t="s">
        <v>34</v>
      </c>
      <c r="X672" t="s">
        <v>52</v>
      </c>
      <c r="Z672" t="str">
        <f>IF(Table1[[#This Row],[Age]]&lt;30,"20-29",IF(Table1[[#This Row],[Age]]&lt;40,"30-39",IF(Table1[[#This Row],[Age]]&lt;50,"40-49","50+")))</f>
        <v>30-39</v>
      </c>
      <c r="AA672" t="str">
        <f>IF(Table1[[#This Row],[Salary]]&lt;20000000,"low",IF(Table1[[#This Row],[Salary]]&lt;40000000,"medium","high"))</f>
        <v>high</v>
      </c>
      <c r="AB672">
        <f>YEAR(Table1[[#This Row],[Hire Date]])</f>
        <v>2019</v>
      </c>
      <c r="AC672" t="str">
        <f>TEXT(Table1[[#This Row],[Hire Date]],"mmmm")</f>
        <v>ژوئيه</v>
      </c>
      <c r="AD672" t="str">
        <f>IF(Table1[[#This Row],[Resigned]]="yes","former","active")</f>
        <v>active</v>
      </c>
    </row>
    <row r="673" spans="1:30" x14ac:dyDescent="0.3">
      <c r="A673" t="s">
        <v>1411</v>
      </c>
      <c r="B673" t="s">
        <v>1412</v>
      </c>
      <c r="C673" t="s">
        <v>39</v>
      </c>
      <c r="D673">
        <v>44</v>
      </c>
      <c r="E673" t="s">
        <v>63</v>
      </c>
      <c r="F673" t="s">
        <v>64</v>
      </c>
      <c r="G673" t="s">
        <v>49</v>
      </c>
      <c r="H673" t="s">
        <v>31</v>
      </c>
      <c r="I673" t="s">
        <v>50</v>
      </c>
      <c r="J673" s="1">
        <v>42677</v>
      </c>
      <c r="K673">
        <v>10</v>
      </c>
      <c r="L673">
        <v>21051971</v>
      </c>
      <c r="M673">
        <v>2442120</v>
      </c>
      <c r="N673" t="s">
        <v>33</v>
      </c>
      <c r="O673">
        <v>4.8099999999999996</v>
      </c>
      <c r="P673">
        <v>43</v>
      </c>
      <c r="Q673">
        <v>5</v>
      </c>
      <c r="R673">
        <v>4</v>
      </c>
      <c r="S673">
        <v>14</v>
      </c>
      <c r="T673" t="s">
        <v>33</v>
      </c>
      <c r="U673" t="s">
        <v>34</v>
      </c>
      <c r="V673" t="s">
        <v>70</v>
      </c>
      <c r="W673" t="s">
        <v>33</v>
      </c>
      <c r="X673" t="s">
        <v>52</v>
      </c>
      <c r="Z673" t="str">
        <f>IF(Table1[[#This Row],[Age]]&lt;30,"20-29",IF(Table1[[#This Row],[Age]]&lt;40,"30-39",IF(Table1[[#This Row],[Age]]&lt;50,"40-49","50+")))</f>
        <v>40-49</v>
      </c>
      <c r="AA673" t="str">
        <f>IF(Table1[[#This Row],[Salary]]&lt;20000000,"low",IF(Table1[[#This Row],[Salary]]&lt;40000000,"medium","high"))</f>
        <v>medium</v>
      </c>
      <c r="AB673">
        <f>YEAR(Table1[[#This Row],[Hire Date]])</f>
        <v>2016</v>
      </c>
      <c r="AC673" t="str">
        <f>TEXT(Table1[[#This Row],[Hire Date]],"mmmm")</f>
        <v>نوامبر</v>
      </c>
      <c r="AD673" t="str">
        <f>IF(Table1[[#This Row],[Resigned]]="yes","former","active")</f>
        <v>active</v>
      </c>
    </row>
    <row r="674" spans="1:30" x14ac:dyDescent="0.3">
      <c r="A674" t="s">
        <v>1413</v>
      </c>
      <c r="B674" t="s">
        <v>1414</v>
      </c>
      <c r="C674" t="s">
        <v>27</v>
      </c>
      <c r="D674">
        <v>29</v>
      </c>
      <c r="E674" t="s">
        <v>73</v>
      </c>
      <c r="F674" t="s">
        <v>127</v>
      </c>
      <c r="G674" t="s">
        <v>58</v>
      </c>
      <c r="H674" t="s">
        <v>42</v>
      </c>
      <c r="I674" t="s">
        <v>50</v>
      </c>
      <c r="J674" s="1">
        <v>45160</v>
      </c>
      <c r="K674">
        <v>3</v>
      </c>
      <c r="L674">
        <v>12568019</v>
      </c>
      <c r="M674">
        <v>2324158</v>
      </c>
      <c r="N674" t="s">
        <v>34</v>
      </c>
      <c r="O674">
        <v>3.45</v>
      </c>
      <c r="P674">
        <v>69</v>
      </c>
      <c r="Q674">
        <v>1</v>
      </c>
      <c r="R674">
        <v>4</v>
      </c>
      <c r="S674">
        <v>19</v>
      </c>
      <c r="T674" t="s">
        <v>33</v>
      </c>
      <c r="U674" t="s">
        <v>34</v>
      </c>
      <c r="V674" t="s">
        <v>35</v>
      </c>
      <c r="W674" t="s">
        <v>33</v>
      </c>
      <c r="X674" t="s">
        <v>36</v>
      </c>
      <c r="Z674" t="str">
        <f>IF(Table1[[#This Row],[Age]]&lt;30,"20-29",IF(Table1[[#This Row],[Age]]&lt;40,"30-39",IF(Table1[[#This Row],[Age]]&lt;50,"40-49","50+")))</f>
        <v>20-29</v>
      </c>
      <c r="AA674" t="str">
        <f>IF(Table1[[#This Row],[Salary]]&lt;20000000,"low",IF(Table1[[#This Row],[Salary]]&lt;40000000,"medium","high"))</f>
        <v>low</v>
      </c>
      <c r="AB674">
        <f>YEAR(Table1[[#This Row],[Hire Date]])</f>
        <v>2023</v>
      </c>
      <c r="AC674" t="str">
        <f>TEXT(Table1[[#This Row],[Hire Date]],"mmmm")</f>
        <v>اوت</v>
      </c>
      <c r="AD674" t="str">
        <f>IF(Table1[[#This Row],[Resigned]]="yes","former","active")</f>
        <v>active</v>
      </c>
    </row>
    <row r="675" spans="1:30" x14ac:dyDescent="0.3">
      <c r="A675" t="s">
        <v>1415</v>
      </c>
      <c r="B675" t="s">
        <v>1416</v>
      </c>
      <c r="C675" t="s">
        <v>27</v>
      </c>
      <c r="D675">
        <v>23</v>
      </c>
      <c r="E675" t="s">
        <v>63</v>
      </c>
      <c r="F675" t="s">
        <v>64</v>
      </c>
      <c r="G675" t="s">
        <v>49</v>
      </c>
      <c r="H675" t="s">
        <v>42</v>
      </c>
      <c r="I675" t="s">
        <v>32</v>
      </c>
      <c r="J675" s="1">
        <v>45740</v>
      </c>
      <c r="K675">
        <v>1</v>
      </c>
      <c r="L675">
        <v>27100230</v>
      </c>
      <c r="M675">
        <v>7056825</v>
      </c>
      <c r="N675" t="s">
        <v>34</v>
      </c>
      <c r="O675">
        <v>4.2699999999999996</v>
      </c>
      <c r="P675">
        <v>67</v>
      </c>
      <c r="Q675">
        <v>5</v>
      </c>
      <c r="R675">
        <v>3</v>
      </c>
      <c r="S675">
        <v>9</v>
      </c>
      <c r="T675" t="s">
        <v>33</v>
      </c>
      <c r="U675" t="s">
        <v>34</v>
      </c>
      <c r="V675" t="s">
        <v>51</v>
      </c>
      <c r="W675" t="s">
        <v>34</v>
      </c>
      <c r="X675" t="s">
        <v>36</v>
      </c>
      <c r="Z675" t="str">
        <f>IF(Table1[[#This Row],[Age]]&lt;30,"20-29",IF(Table1[[#This Row],[Age]]&lt;40,"30-39",IF(Table1[[#This Row],[Age]]&lt;50,"40-49","50+")))</f>
        <v>20-29</v>
      </c>
      <c r="AA675" t="str">
        <f>IF(Table1[[#This Row],[Salary]]&lt;20000000,"low",IF(Table1[[#This Row],[Salary]]&lt;40000000,"medium","high"))</f>
        <v>medium</v>
      </c>
      <c r="AB675">
        <f>YEAR(Table1[[#This Row],[Hire Date]])</f>
        <v>2025</v>
      </c>
      <c r="AC675" t="str">
        <f>TEXT(Table1[[#This Row],[Hire Date]],"mmmm")</f>
        <v>مارس</v>
      </c>
      <c r="AD675" t="str">
        <f>IF(Table1[[#This Row],[Resigned]]="yes","former","active")</f>
        <v>active</v>
      </c>
    </row>
    <row r="676" spans="1:30" x14ac:dyDescent="0.3">
      <c r="A676" t="s">
        <v>1417</v>
      </c>
      <c r="B676" t="s">
        <v>1418</v>
      </c>
      <c r="C676" t="s">
        <v>27</v>
      </c>
      <c r="D676">
        <v>26</v>
      </c>
      <c r="E676" t="s">
        <v>28</v>
      </c>
      <c r="F676" t="s">
        <v>80</v>
      </c>
      <c r="G676" t="s">
        <v>49</v>
      </c>
      <c r="H676" t="s">
        <v>42</v>
      </c>
      <c r="I676" t="s">
        <v>32</v>
      </c>
      <c r="J676" s="1">
        <v>43116</v>
      </c>
      <c r="K676">
        <v>8</v>
      </c>
      <c r="L676">
        <v>47479310</v>
      </c>
      <c r="M676">
        <v>3253487</v>
      </c>
      <c r="N676" t="s">
        <v>33</v>
      </c>
      <c r="O676">
        <v>3.89</v>
      </c>
      <c r="P676">
        <v>18</v>
      </c>
      <c r="Q676">
        <v>3</v>
      </c>
      <c r="R676">
        <v>2</v>
      </c>
      <c r="S676">
        <v>9</v>
      </c>
      <c r="T676" t="s">
        <v>34</v>
      </c>
      <c r="U676" t="s">
        <v>34</v>
      </c>
      <c r="V676" t="s">
        <v>35</v>
      </c>
      <c r="W676" t="s">
        <v>34</v>
      </c>
      <c r="X676" t="s">
        <v>45</v>
      </c>
      <c r="Z676" t="str">
        <f>IF(Table1[[#This Row],[Age]]&lt;30,"20-29",IF(Table1[[#This Row],[Age]]&lt;40,"30-39",IF(Table1[[#This Row],[Age]]&lt;50,"40-49","50+")))</f>
        <v>20-29</v>
      </c>
      <c r="AA676" t="str">
        <f>IF(Table1[[#This Row],[Salary]]&lt;20000000,"low",IF(Table1[[#This Row],[Salary]]&lt;40000000,"medium","high"))</f>
        <v>high</v>
      </c>
      <c r="AB676">
        <f>YEAR(Table1[[#This Row],[Hire Date]])</f>
        <v>2018</v>
      </c>
      <c r="AC676" t="str">
        <f>TEXT(Table1[[#This Row],[Hire Date]],"mmmm")</f>
        <v>ژانويه</v>
      </c>
      <c r="AD676" t="str">
        <f>IF(Table1[[#This Row],[Resigned]]="yes","former","active")</f>
        <v>active</v>
      </c>
    </row>
    <row r="677" spans="1:30" x14ac:dyDescent="0.3">
      <c r="A677" t="s">
        <v>1419</v>
      </c>
      <c r="B677" t="s">
        <v>1420</v>
      </c>
      <c r="C677" t="s">
        <v>27</v>
      </c>
      <c r="D677">
        <v>43</v>
      </c>
      <c r="E677" t="s">
        <v>63</v>
      </c>
      <c r="F677" t="s">
        <v>93</v>
      </c>
      <c r="G677" t="s">
        <v>30</v>
      </c>
      <c r="H677" t="s">
        <v>31</v>
      </c>
      <c r="I677" t="s">
        <v>81</v>
      </c>
      <c r="J677" s="1">
        <v>42852</v>
      </c>
      <c r="K677">
        <v>9</v>
      </c>
      <c r="L677">
        <v>53498072</v>
      </c>
      <c r="M677">
        <v>946007</v>
      </c>
      <c r="N677" t="s">
        <v>34</v>
      </c>
      <c r="O677">
        <v>2.68</v>
      </c>
      <c r="P677">
        <v>25</v>
      </c>
      <c r="Q677">
        <v>4</v>
      </c>
      <c r="R677">
        <v>1</v>
      </c>
      <c r="S677">
        <v>20</v>
      </c>
      <c r="T677" t="s">
        <v>34</v>
      </c>
      <c r="U677" t="s">
        <v>34</v>
      </c>
      <c r="V677" t="s">
        <v>44</v>
      </c>
      <c r="W677" t="s">
        <v>33</v>
      </c>
      <c r="X677" t="s">
        <v>36</v>
      </c>
      <c r="Z677" t="str">
        <f>IF(Table1[[#This Row],[Age]]&lt;30,"20-29",IF(Table1[[#This Row],[Age]]&lt;40,"30-39",IF(Table1[[#This Row],[Age]]&lt;50,"40-49","50+")))</f>
        <v>40-49</v>
      </c>
      <c r="AA677" t="str">
        <f>IF(Table1[[#This Row],[Salary]]&lt;20000000,"low",IF(Table1[[#This Row],[Salary]]&lt;40000000,"medium","high"))</f>
        <v>high</v>
      </c>
      <c r="AB677">
        <f>YEAR(Table1[[#This Row],[Hire Date]])</f>
        <v>2017</v>
      </c>
      <c r="AC677" t="str">
        <f>TEXT(Table1[[#This Row],[Hire Date]],"mmmm")</f>
        <v>آوريل</v>
      </c>
      <c r="AD677" t="str">
        <f>IF(Table1[[#This Row],[Resigned]]="yes","former","active")</f>
        <v>active</v>
      </c>
    </row>
    <row r="678" spans="1:30" x14ac:dyDescent="0.3">
      <c r="A678" t="s">
        <v>1421</v>
      </c>
      <c r="B678" t="s">
        <v>1422</v>
      </c>
      <c r="C678" t="s">
        <v>39</v>
      </c>
      <c r="D678">
        <v>40</v>
      </c>
      <c r="E678" t="s">
        <v>63</v>
      </c>
      <c r="F678" t="s">
        <v>93</v>
      </c>
      <c r="G678" t="s">
        <v>49</v>
      </c>
      <c r="H678" t="s">
        <v>31</v>
      </c>
      <c r="I678" t="s">
        <v>43</v>
      </c>
      <c r="J678" s="1">
        <v>45259</v>
      </c>
      <c r="K678">
        <v>3</v>
      </c>
      <c r="L678">
        <v>23320814</v>
      </c>
      <c r="M678">
        <v>6528362</v>
      </c>
      <c r="N678" t="s">
        <v>33</v>
      </c>
      <c r="O678">
        <v>2.89</v>
      </c>
      <c r="P678">
        <v>73</v>
      </c>
      <c r="Q678">
        <v>1</v>
      </c>
      <c r="R678">
        <v>4</v>
      </c>
      <c r="S678">
        <v>12</v>
      </c>
      <c r="T678" t="s">
        <v>33</v>
      </c>
      <c r="U678" t="s">
        <v>34</v>
      </c>
      <c r="V678" t="s">
        <v>35</v>
      </c>
      <c r="W678" t="s">
        <v>34</v>
      </c>
      <c r="X678" t="s">
        <v>36</v>
      </c>
      <c r="Z678" t="str">
        <f>IF(Table1[[#This Row],[Age]]&lt;30,"20-29",IF(Table1[[#This Row],[Age]]&lt;40,"30-39",IF(Table1[[#This Row],[Age]]&lt;50,"40-49","50+")))</f>
        <v>40-49</v>
      </c>
      <c r="AA678" t="str">
        <f>IF(Table1[[#This Row],[Salary]]&lt;20000000,"low",IF(Table1[[#This Row],[Salary]]&lt;40000000,"medium","high"))</f>
        <v>medium</v>
      </c>
      <c r="AB678">
        <f>YEAR(Table1[[#This Row],[Hire Date]])</f>
        <v>2023</v>
      </c>
      <c r="AC678" t="str">
        <f>TEXT(Table1[[#This Row],[Hire Date]],"mmmm")</f>
        <v>نوامبر</v>
      </c>
      <c r="AD678" t="str">
        <f>IF(Table1[[#This Row],[Resigned]]="yes","former","active")</f>
        <v>active</v>
      </c>
    </row>
    <row r="679" spans="1:30" x14ac:dyDescent="0.3">
      <c r="A679" t="s">
        <v>1423</v>
      </c>
      <c r="B679" t="s">
        <v>1424</v>
      </c>
      <c r="C679" t="s">
        <v>39</v>
      </c>
      <c r="D679">
        <v>26</v>
      </c>
      <c r="E679" t="s">
        <v>63</v>
      </c>
      <c r="F679" t="s">
        <v>64</v>
      </c>
      <c r="G679" t="s">
        <v>58</v>
      </c>
      <c r="H679" t="s">
        <v>42</v>
      </c>
      <c r="I679" t="s">
        <v>65</v>
      </c>
      <c r="J679" s="1">
        <v>43140</v>
      </c>
      <c r="K679">
        <v>8</v>
      </c>
      <c r="L679">
        <v>20685147</v>
      </c>
      <c r="M679">
        <v>7240444</v>
      </c>
      <c r="N679" t="s">
        <v>33</v>
      </c>
      <c r="O679">
        <v>4.82</v>
      </c>
      <c r="P679">
        <v>72</v>
      </c>
      <c r="Q679">
        <v>4</v>
      </c>
      <c r="R679">
        <v>2</v>
      </c>
      <c r="S679">
        <v>9</v>
      </c>
      <c r="T679" t="s">
        <v>34</v>
      </c>
      <c r="U679" t="s">
        <v>34</v>
      </c>
      <c r="V679" t="s">
        <v>35</v>
      </c>
      <c r="W679" t="s">
        <v>33</v>
      </c>
      <c r="X679" t="s">
        <v>45</v>
      </c>
      <c r="Z679" t="str">
        <f>IF(Table1[[#This Row],[Age]]&lt;30,"20-29",IF(Table1[[#This Row],[Age]]&lt;40,"30-39",IF(Table1[[#This Row],[Age]]&lt;50,"40-49","50+")))</f>
        <v>20-29</v>
      </c>
      <c r="AA679" t="str">
        <f>IF(Table1[[#This Row],[Salary]]&lt;20000000,"low",IF(Table1[[#This Row],[Salary]]&lt;40000000,"medium","high"))</f>
        <v>medium</v>
      </c>
      <c r="AB679">
        <f>YEAR(Table1[[#This Row],[Hire Date]])</f>
        <v>2018</v>
      </c>
      <c r="AC679" t="str">
        <f>TEXT(Table1[[#This Row],[Hire Date]],"mmmm")</f>
        <v>فوريه</v>
      </c>
      <c r="AD679" t="str">
        <f>IF(Table1[[#This Row],[Resigned]]="yes","former","active")</f>
        <v>active</v>
      </c>
    </row>
    <row r="680" spans="1:30" x14ac:dyDescent="0.3">
      <c r="A680" t="s">
        <v>1425</v>
      </c>
      <c r="B680" t="s">
        <v>1426</v>
      </c>
      <c r="C680" t="s">
        <v>27</v>
      </c>
      <c r="D680">
        <v>26</v>
      </c>
      <c r="E680" t="s">
        <v>110</v>
      </c>
      <c r="F680" t="s">
        <v>111</v>
      </c>
      <c r="G680" t="s">
        <v>58</v>
      </c>
      <c r="H680" t="s">
        <v>42</v>
      </c>
      <c r="I680" t="s">
        <v>32</v>
      </c>
      <c r="J680" s="1">
        <v>42735</v>
      </c>
      <c r="K680">
        <v>10</v>
      </c>
      <c r="L680">
        <v>52447165</v>
      </c>
      <c r="M680">
        <v>9405029</v>
      </c>
      <c r="N680" t="s">
        <v>33</v>
      </c>
      <c r="O680">
        <v>4.63</v>
      </c>
      <c r="P680">
        <v>30</v>
      </c>
      <c r="Q680">
        <v>5</v>
      </c>
      <c r="R680">
        <v>5</v>
      </c>
      <c r="S680">
        <v>17</v>
      </c>
      <c r="T680" t="s">
        <v>34</v>
      </c>
      <c r="U680" t="s">
        <v>33</v>
      </c>
      <c r="V680" t="s">
        <v>44</v>
      </c>
      <c r="W680" t="s">
        <v>33</v>
      </c>
      <c r="X680" t="s">
        <v>36</v>
      </c>
      <c r="Y680" t="s">
        <v>162</v>
      </c>
      <c r="Z680" t="str">
        <f>IF(Table1[[#This Row],[Age]]&lt;30,"20-29",IF(Table1[[#This Row],[Age]]&lt;40,"30-39",IF(Table1[[#This Row],[Age]]&lt;50,"40-49","50+")))</f>
        <v>20-29</v>
      </c>
      <c r="AA680" t="str">
        <f>IF(Table1[[#This Row],[Salary]]&lt;20000000,"low",IF(Table1[[#This Row],[Salary]]&lt;40000000,"medium","high"))</f>
        <v>high</v>
      </c>
      <c r="AB680">
        <f>YEAR(Table1[[#This Row],[Hire Date]])</f>
        <v>2016</v>
      </c>
      <c r="AC680" t="str">
        <f>TEXT(Table1[[#This Row],[Hire Date]],"mmmm")</f>
        <v>دسامبر</v>
      </c>
      <c r="AD680" t="str">
        <f>IF(Table1[[#This Row],[Resigned]]="yes","former","active")</f>
        <v>former</v>
      </c>
    </row>
    <row r="681" spans="1:30" x14ac:dyDescent="0.3">
      <c r="A681" t="s">
        <v>1427</v>
      </c>
      <c r="B681" t="s">
        <v>1428</v>
      </c>
      <c r="C681" t="s">
        <v>39</v>
      </c>
      <c r="D681">
        <v>32</v>
      </c>
      <c r="E681" t="s">
        <v>56</v>
      </c>
      <c r="F681" t="s">
        <v>57</v>
      </c>
      <c r="G681" t="s">
        <v>58</v>
      </c>
      <c r="H681" t="s">
        <v>31</v>
      </c>
      <c r="I681" t="s">
        <v>50</v>
      </c>
      <c r="J681" s="1">
        <v>44656</v>
      </c>
      <c r="K681">
        <v>4</v>
      </c>
      <c r="L681">
        <v>44620404</v>
      </c>
      <c r="M681">
        <v>1944428</v>
      </c>
      <c r="N681" t="s">
        <v>33</v>
      </c>
      <c r="O681">
        <v>4.38</v>
      </c>
      <c r="P681">
        <v>68</v>
      </c>
      <c r="Q681">
        <v>3</v>
      </c>
      <c r="R681">
        <v>3</v>
      </c>
      <c r="S681">
        <v>3</v>
      </c>
      <c r="T681" t="s">
        <v>33</v>
      </c>
      <c r="U681" t="s">
        <v>34</v>
      </c>
      <c r="V681" t="s">
        <v>35</v>
      </c>
      <c r="W681" t="s">
        <v>33</v>
      </c>
      <c r="X681" t="s">
        <v>45</v>
      </c>
      <c r="Z681" t="str">
        <f>IF(Table1[[#This Row],[Age]]&lt;30,"20-29",IF(Table1[[#This Row],[Age]]&lt;40,"30-39",IF(Table1[[#This Row],[Age]]&lt;50,"40-49","50+")))</f>
        <v>30-39</v>
      </c>
      <c r="AA681" t="str">
        <f>IF(Table1[[#This Row],[Salary]]&lt;20000000,"low",IF(Table1[[#This Row],[Salary]]&lt;40000000,"medium","high"))</f>
        <v>high</v>
      </c>
      <c r="AB681">
        <f>YEAR(Table1[[#This Row],[Hire Date]])</f>
        <v>2022</v>
      </c>
      <c r="AC681" t="str">
        <f>TEXT(Table1[[#This Row],[Hire Date]],"mmmm")</f>
        <v>آوريل</v>
      </c>
      <c r="AD681" t="str">
        <f>IF(Table1[[#This Row],[Resigned]]="yes","former","active")</f>
        <v>active</v>
      </c>
    </row>
    <row r="682" spans="1:30" x14ac:dyDescent="0.3">
      <c r="A682" t="s">
        <v>1429</v>
      </c>
      <c r="B682" t="s">
        <v>1430</v>
      </c>
      <c r="C682" t="s">
        <v>27</v>
      </c>
      <c r="D682">
        <v>43</v>
      </c>
      <c r="E682" t="s">
        <v>63</v>
      </c>
      <c r="F682" t="s">
        <v>64</v>
      </c>
      <c r="G682" t="s">
        <v>58</v>
      </c>
      <c r="H682" t="s">
        <v>42</v>
      </c>
      <c r="I682" t="s">
        <v>81</v>
      </c>
      <c r="J682" s="1">
        <v>44940</v>
      </c>
      <c r="K682">
        <v>3</v>
      </c>
      <c r="L682">
        <v>18306042</v>
      </c>
      <c r="M682">
        <v>8159548</v>
      </c>
      <c r="N682" t="s">
        <v>34</v>
      </c>
      <c r="O682">
        <v>4.53</v>
      </c>
      <c r="P682">
        <v>66</v>
      </c>
      <c r="Q682">
        <v>1</v>
      </c>
      <c r="R682">
        <v>3</v>
      </c>
      <c r="S682">
        <v>5</v>
      </c>
      <c r="T682" t="s">
        <v>33</v>
      </c>
      <c r="U682" t="s">
        <v>34</v>
      </c>
      <c r="V682" t="s">
        <v>59</v>
      </c>
      <c r="W682" t="s">
        <v>34</v>
      </c>
      <c r="X682" t="s">
        <v>45</v>
      </c>
      <c r="Z682" t="str">
        <f>IF(Table1[[#This Row],[Age]]&lt;30,"20-29",IF(Table1[[#This Row],[Age]]&lt;40,"30-39",IF(Table1[[#This Row],[Age]]&lt;50,"40-49","50+")))</f>
        <v>40-49</v>
      </c>
      <c r="AA682" t="str">
        <f>IF(Table1[[#This Row],[Salary]]&lt;20000000,"low",IF(Table1[[#This Row],[Salary]]&lt;40000000,"medium","high"))</f>
        <v>low</v>
      </c>
      <c r="AB682">
        <f>YEAR(Table1[[#This Row],[Hire Date]])</f>
        <v>2023</v>
      </c>
      <c r="AC682" t="str">
        <f>TEXT(Table1[[#This Row],[Hire Date]],"mmmm")</f>
        <v>ژانويه</v>
      </c>
      <c r="AD682" t="str">
        <f>IF(Table1[[#This Row],[Resigned]]="yes","former","active")</f>
        <v>active</v>
      </c>
    </row>
    <row r="683" spans="1:30" x14ac:dyDescent="0.3">
      <c r="A683" t="s">
        <v>1431</v>
      </c>
      <c r="B683" t="s">
        <v>1432</v>
      </c>
      <c r="C683" t="s">
        <v>27</v>
      </c>
      <c r="D683">
        <v>23</v>
      </c>
      <c r="E683" t="s">
        <v>73</v>
      </c>
      <c r="F683" t="s">
        <v>127</v>
      </c>
      <c r="G683" t="s">
        <v>58</v>
      </c>
      <c r="H683" t="s">
        <v>42</v>
      </c>
      <c r="I683" t="s">
        <v>50</v>
      </c>
      <c r="J683" s="1">
        <v>43964</v>
      </c>
      <c r="K683">
        <v>6</v>
      </c>
      <c r="L683">
        <v>25276560</v>
      </c>
      <c r="M683">
        <v>1716770</v>
      </c>
      <c r="N683" t="s">
        <v>33</v>
      </c>
      <c r="O683">
        <v>4.2699999999999996</v>
      </c>
      <c r="P683">
        <v>74</v>
      </c>
      <c r="Q683">
        <v>1</v>
      </c>
      <c r="R683">
        <v>5</v>
      </c>
      <c r="S683">
        <v>14</v>
      </c>
      <c r="T683" t="s">
        <v>34</v>
      </c>
      <c r="U683" t="s">
        <v>33</v>
      </c>
      <c r="V683" t="s">
        <v>35</v>
      </c>
      <c r="W683" t="s">
        <v>33</v>
      </c>
      <c r="X683" t="s">
        <v>52</v>
      </c>
      <c r="Y683" t="s">
        <v>60</v>
      </c>
      <c r="Z683" t="str">
        <f>IF(Table1[[#This Row],[Age]]&lt;30,"20-29",IF(Table1[[#This Row],[Age]]&lt;40,"30-39",IF(Table1[[#This Row],[Age]]&lt;50,"40-49","50+")))</f>
        <v>20-29</v>
      </c>
      <c r="AA683" t="str">
        <f>IF(Table1[[#This Row],[Salary]]&lt;20000000,"low",IF(Table1[[#This Row],[Salary]]&lt;40000000,"medium","high"))</f>
        <v>medium</v>
      </c>
      <c r="AB683">
        <f>YEAR(Table1[[#This Row],[Hire Date]])</f>
        <v>2020</v>
      </c>
      <c r="AC683" t="str">
        <f>TEXT(Table1[[#This Row],[Hire Date]],"mmmm")</f>
        <v>مه</v>
      </c>
      <c r="AD683" t="str">
        <f>IF(Table1[[#This Row],[Resigned]]="yes","former","active")</f>
        <v>former</v>
      </c>
    </row>
    <row r="684" spans="1:30" x14ac:dyDescent="0.3">
      <c r="A684" t="s">
        <v>1433</v>
      </c>
      <c r="B684" t="s">
        <v>1434</v>
      </c>
      <c r="C684" t="s">
        <v>39</v>
      </c>
      <c r="D684">
        <v>39</v>
      </c>
      <c r="E684" t="s">
        <v>28</v>
      </c>
      <c r="F684" t="s">
        <v>80</v>
      </c>
      <c r="G684" t="s">
        <v>58</v>
      </c>
      <c r="H684" t="s">
        <v>42</v>
      </c>
      <c r="I684" t="s">
        <v>81</v>
      </c>
      <c r="J684" s="1">
        <v>45008</v>
      </c>
      <c r="K684">
        <v>3</v>
      </c>
      <c r="L684">
        <v>55784320</v>
      </c>
      <c r="M684">
        <v>7830387</v>
      </c>
      <c r="N684" t="s">
        <v>33</v>
      </c>
      <c r="O684">
        <v>3.89</v>
      </c>
      <c r="P684">
        <v>73</v>
      </c>
      <c r="Q684">
        <v>4</v>
      </c>
      <c r="R684">
        <v>5</v>
      </c>
      <c r="S684">
        <v>0</v>
      </c>
      <c r="T684" t="s">
        <v>34</v>
      </c>
      <c r="U684" t="s">
        <v>33</v>
      </c>
      <c r="V684" t="s">
        <v>44</v>
      </c>
      <c r="W684" t="s">
        <v>34</v>
      </c>
      <c r="X684" t="s">
        <v>45</v>
      </c>
      <c r="Y684" t="s">
        <v>162</v>
      </c>
      <c r="Z684" t="str">
        <f>IF(Table1[[#This Row],[Age]]&lt;30,"20-29",IF(Table1[[#This Row],[Age]]&lt;40,"30-39",IF(Table1[[#This Row],[Age]]&lt;50,"40-49","50+")))</f>
        <v>30-39</v>
      </c>
      <c r="AA684" t="str">
        <f>IF(Table1[[#This Row],[Salary]]&lt;20000000,"low",IF(Table1[[#This Row],[Salary]]&lt;40000000,"medium","high"))</f>
        <v>high</v>
      </c>
      <c r="AB684">
        <f>YEAR(Table1[[#This Row],[Hire Date]])</f>
        <v>2023</v>
      </c>
      <c r="AC684" t="str">
        <f>TEXT(Table1[[#This Row],[Hire Date]],"mmmm")</f>
        <v>مارس</v>
      </c>
      <c r="AD684" t="str">
        <f>IF(Table1[[#This Row],[Resigned]]="yes","former","active")</f>
        <v>former</v>
      </c>
    </row>
    <row r="685" spans="1:30" x14ac:dyDescent="0.3">
      <c r="A685" t="s">
        <v>1435</v>
      </c>
      <c r="B685" t="s">
        <v>1436</v>
      </c>
      <c r="C685" t="s">
        <v>27</v>
      </c>
      <c r="D685">
        <v>25</v>
      </c>
      <c r="E685" t="s">
        <v>110</v>
      </c>
      <c r="F685" t="s">
        <v>120</v>
      </c>
      <c r="G685" t="s">
        <v>49</v>
      </c>
      <c r="H685" t="s">
        <v>31</v>
      </c>
      <c r="I685" t="s">
        <v>50</v>
      </c>
      <c r="J685" s="1">
        <v>43348</v>
      </c>
      <c r="K685">
        <v>8</v>
      </c>
      <c r="L685">
        <v>17765628</v>
      </c>
      <c r="M685">
        <v>8748215</v>
      </c>
      <c r="N685" t="s">
        <v>34</v>
      </c>
      <c r="O685">
        <v>3.93</v>
      </c>
      <c r="P685">
        <v>75</v>
      </c>
      <c r="Q685">
        <v>3</v>
      </c>
      <c r="R685">
        <v>2</v>
      </c>
      <c r="S685">
        <v>0</v>
      </c>
      <c r="T685" t="s">
        <v>33</v>
      </c>
      <c r="U685" t="s">
        <v>34</v>
      </c>
      <c r="V685" t="s">
        <v>70</v>
      </c>
      <c r="W685" t="s">
        <v>34</v>
      </c>
      <c r="X685" t="s">
        <v>52</v>
      </c>
      <c r="Z685" t="str">
        <f>IF(Table1[[#This Row],[Age]]&lt;30,"20-29",IF(Table1[[#This Row],[Age]]&lt;40,"30-39",IF(Table1[[#This Row],[Age]]&lt;50,"40-49","50+")))</f>
        <v>20-29</v>
      </c>
      <c r="AA685" t="str">
        <f>IF(Table1[[#This Row],[Salary]]&lt;20000000,"low",IF(Table1[[#This Row],[Salary]]&lt;40000000,"medium","high"))</f>
        <v>low</v>
      </c>
      <c r="AB685">
        <f>YEAR(Table1[[#This Row],[Hire Date]])</f>
        <v>2018</v>
      </c>
      <c r="AC685" t="str">
        <f>TEXT(Table1[[#This Row],[Hire Date]],"mmmm")</f>
        <v>سپتامبر</v>
      </c>
      <c r="AD685" t="str">
        <f>IF(Table1[[#This Row],[Resigned]]="yes","former","active")</f>
        <v>active</v>
      </c>
    </row>
    <row r="686" spans="1:30" x14ac:dyDescent="0.3">
      <c r="A686" t="s">
        <v>1437</v>
      </c>
      <c r="B686" t="s">
        <v>1438</v>
      </c>
      <c r="C686" t="s">
        <v>39</v>
      </c>
      <c r="D686">
        <v>42</v>
      </c>
      <c r="E686" t="s">
        <v>56</v>
      </c>
      <c r="F686" t="s">
        <v>57</v>
      </c>
      <c r="G686" t="s">
        <v>30</v>
      </c>
      <c r="H686" t="s">
        <v>31</v>
      </c>
      <c r="I686" t="s">
        <v>81</v>
      </c>
      <c r="J686" s="1">
        <v>43451</v>
      </c>
      <c r="K686">
        <v>8</v>
      </c>
      <c r="L686">
        <v>31199409</v>
      </c>
      <c r="M686">
        <v>9268165</v>
      </c>
      <c r="N686" t="s">
        <v>34</v>
      </c>
      <c r="O686">
        <v>3.58</v>
      </c>
      <c r="P686">
        <v>53</v>
      </c>
      <c r="Q686">
        <v>4</v>
      </c>
      <c r="R686">
        <v>3</v>
      </c>
      <c r="S686">
        <v>19</v>
      </c>
      <c r="T686" t="s">
        <v>33</v>
      </c>
      <c r="U686" t="s">
        <v>34</v>
      </c>
      <c r="V686" t="s">
        <v>44</v>
      </c>
      <c r="W686" t="s">
        <v>34</v>
      </c>
      <c r="X686" t="s">
        <v>52</v>
      </c>
      <c r="Z686" t="str">
        <f>IF(Table1[[#This Row],[Age]]&lt;30,"20-29",IF(Table1[[#This Row],[Age]]&lt;40,"30-39",IF(Table1[[#This Row],[Age]]&lt;50,"40-49","50+")))</f>
        <v>40-49</v>
      </c>
      <c r="AA686" t="str">
        <f>IF(Table1[[#This Row],[Salary]]&lt;20000000,"low",IF(Table1[[#This Row],[Salary]]&lt;40000000,"medium","high"))</f>
        <v>medium</v>
      </c>
      <c r="AB686">
        <f>YEAR(Table1[[#This Row],[Hire Date]])</f>
        <v>2018</v>
      </c>
      <c r="AC686" t="str">
        <f>TEXT(Table1[[#This Row],[Hire Date]],"mmmm")</f>
        <v>دسامبر</v>
      </c>
      <c r="AD686" t="str">
        <f>IF(Table1[[#This Row],[Resigned]]="yes","former","active")</f>
        <v>active</v>
      </c>
    </row>
    <row r="687" spans="1:30" x14ac:dyDescent="0.3">
      <c r="A687" t="s">
        <v>1439</v>
      </c>
      <c r="B687" t="s">
        <v>1440</v>
      </c>
      <c r="C687" t="s">
        <v>39</v>
      </c>
      <c r="D687">
        <v>25</v>
      </c>
      <c r="E687" t="s">
        <v>56</v>
      </c>
      <c r="F687" t="s">
        <v>84</v>
      </c>
      <c r="G687" t="s">
        <v>58</v>
      </c>
      <c r="H687" t="s">
        <v>42</v>
      </c>
      <c r="I687" t="s">
        <v>43</v>
      </c>
      <c r="J687" s="1">
        <v>43418</v>
      </c>
      <c r="K687">
        <v>8</v>
      </c>
      <c r="L687">
        <v>58673103</v>
      </c>
      <c r="M687">
        <v>2372092</v>
      </c>
      <c r="N687" t="s">
        <v>33</v>
      </c>
      <c r="O687">
        <v>3.16</v>
      </c>
      <c r="P687">
        <v>73</v>
      </c>
      <c r="Q687">
        <v>3</v>
      </c>
      <c r="R687">
        <v>1</v>
      </c>
      <c r="S687">
        <v>9</v>
      </c>
      <c r="T687" t="s">
        <v>33</v>
      </c>
      <c r="U687" t="s">
        <v>33</v>
      </c>
      <c r="V687" t="s">
        <v>51</v>
      </c>
      <c r="W687" t="s">
        <v>34</v>
      </c>
      <c r="X687" t="s">
        <v>36</v>
      </c>
      <c r="Y687" t="s">
        <v>162</v>
      </c>
      <c r="Z687" t="str">
        <f>IF(Table1[[#This Row],[Age]]&lt;30,"20-29",IF(Table1[[#This Row],[Age]]&lt;40,"30-39",IF(Table1[[#This Row],[Age]]&lt;50,"40-49","50+")))</f>
        <v>20-29</v>
      </c>
      <c r="AA687" t="str">
        <f>IF(Table1[[#This Row],[Salary]]&lt;20000000,"low",IF(Table1[[#This Row],[Salary]]&lt;40000000,"medium","high"))</f>
        <v>high</v>
      </c>
      <c r="AB687">
        <f>YEAR(Table1[[#This Row],[Hire Date]])</f>
        <v>2018</v>
      </c>
      <c r="AC687" t="str">
        <f>TEXT(Table1[[#This Row],[Hire Date]],"mmmm")</f>
        <v>نوامبر</v>
      </c>
      <c r="AD687" t="str">
        <f>IF(Table1[[#This Row],[Resigned]]="yes","former","active")</f>
        <v>former</v>
      </c>
    </row>
    <row r="688" spans="1:30" x14ac:dyDescent="0.3">
      <c r="A688" t="s">
        <v>1441</v>
      </c>
      <c r="B688" t="s">
        <v>1442</v>
      </c>
      <c r="C688" t="s">
        <v>27</v>
      </c>
      <c r="D688">
        <v>22</v>
      </c>
      <c r="E688" t="s">
        <v>73</v>
      </c>
      <c r="F688" t="s">
        <v>127</v>
      </c>
      <c r="G688" t="s">
        <v>49</v>
      </c>
      <c r="H688" t="s">
        <v>42</v>
      </c>
      <c r="I688" t="s">
        <v>81</v>
      </c>
      <c r="J688" s="1">
        <v>45506</v>
      </c>
      <c r="K688">
        <v>2</v>
      </c>
      <c r="L688">
        <v>14208656</v>
      </c>
      <c r="M688">
        <v>8759251</v>
      </c>
      <c r="N688" t="s">
        <v>33</v>
      </c>
      <c r="O688">
        <v>2.93</v>
      </c>
      <c r="P688">
        <v>34</v>
      </c>
      <c r="Q688">
        <v>1</v>
      </c>
      <c r="R688">
        <v>2</v>
      </c>
      <c r="S688">
        <v>5</v>
      </c>
      <c r="T688" t="s">
        <v>33</v>
      </c>
      <c r="U688" t="s">
        <v>34</v>
      </c>
      <c r="V688" t="s">
        <v>51</v>
      </c>
      <c r="W688" t="s">
        <v>34</v>
      </c>
      <c r="X688" t="s">
        <v>52</v>
      </c>
      <c r="Z688" t="str">
        <f>IF(Table1[[#This Row],[Age]]&lt;30,"20-29",IF(Table1[[#This Row],[Age]]&lt;40,"30-39",IF(Table1[[#This Row],[Age]]&lt;50,"40-49","50+")))</f>
        <v>20-29</v>
      </c>
      <c r="AA688" t="str">
        <f>IF(Table1[[#This Row],[Salary]]&lt;20000000,"low",IF(Table1[[#This Row],[Salary]]&lt;40000000,"medium","high"))</f>
        <v>low</v>
      </c>
      <c r="AB688">
        <f>YEAR(Table1[[#This Row],[Hire Date]])</f>
        <v>2024</v>
      </c>
      <c r="AC688" t="str">
        <f>TEXT(Table1[[#This Row],[Hire Date]],"mmmm")</f>
        <v>اوت</v>
      </c>
      <c r="AD688" t="str">
        <f>IF(Table1[[#This Row],[Resigned]]="yes","former","active")</f>
        <v>active</v>
      </c>
    </row>
    <row r="689" spans="1:30" x14ac:dyDescent="0.3">
      <c r="A689" t="s">
        <v>1443</v>
      </c>
      <c r="B689" t="s">
        <v>1444</v>
      </c>
      <c r="C689" t="s">
        <v>27</v>
      </c>
      <c r="D689">
        <v>44</v>
      </c>
      <c r="E689" t="s">
        <v>73</v>
      </c>
      <c r="F689" t="s">
        <v>127</v>
      </c>
      <c r="G689" t="s">
        <v>30</v>
      </c>
      <c r="H689" t="s">
        <v>31</v>
      </c>
      <c r="I689" t="s">
        <v>81</v>
      </c>
      <c r="J689" s="1">
        <v>43782</v>
      </c>
      <c r="K689">
        <v>7</v>
      </c>
      <c r="L689">
        <v>36104108</v>
      </c>
      <c r="M689">
        <v>6647660</v>
      </c>
      <c r="N689" t="s">
        <v>33</v>
      </c>
      <c r="O689">
        <v>3.44</v>
      </c>
      <c r="P689">
        <v>40</v>
      </c>
      <c r="Q689">
        <v>4</v>
      </c>
      <c r="R689">
        <v>1</v>
      </c>
      <c r="S689">
        <v>8</v>
      </c>
      <c r="T689" t="s">
        <v>33</v>
      </c>
      <c r="U689" t="s">
        <v>34</v>
      </c>
      <c r="V689" t="s">
        <v>44</v>
      </c>
      <c r="W689" t="s">
        <v>34</v>
      </c>
      <c r="X689" t="s">
        <v>36</v>
      </c>
      <c r="Z689" t="str">
        <f>IF(Table1[[#This Row],[Age]]&lt;30,"20-29",IF(Table1[[#This Row],[Age]]&lt;40,"30-39",IF(Table1[[#This Row],[Age]]&lt;50,"40-49","50+")))</f>
        <v>40-49</v>
      </c>
      <c r="AA689" t="str">
        <f>IF(Table1[[#This Row],[Salary]]&lt;20000000,"low",IF(Table1[[#This Row],[Salary]]&lt;40000000,"medium","high"))</f>
        <v>medium</v>
      </c>
      <c r="AB689">
        <f>YEAR(Table1[[#This Row],[Hire Date]])</f>
        <v>2019</v>
      </c>
      <c r="AC689" t="str">
        <f>TEXT(Table1[[#This Row],[Hire Date]],"mmmm")</f>
        <v>نوامبر</v>
      </c>
      <c r="AD689" t="str">
        <f>IF(Table1[[#This Row],[Resigned]]="yes","former","active")</f>
        <v>active</v>
      </c>
    </row>
    <row r="690" spans="1:30" x14ac:dyDescent="0.3">
      <c r="A690" t="s">
        <v>1445</v>
      </c>
      <c r="B690" t="s">
        <v>1446</v>
      </c>
      <c r="C690" t="s">
        <v>39</v>
      </c>
      <c r="D690">
        <v>55</v>
      </c>
      <c r="E690" t="s">
        <v>56</v>
      </c>
      <c r="F690" t="s">
        <v>57</v>
      </c>
      <c r="G690" t="s">
        <v>30</v>
      </c>
      <c r="H690" t="s">
        <v>42</v>
      </c>
      <c r="I690" t="s">
        <v>81</v>
      </c>
      <c r="J690" s="1">
        <v>43828</v>
      </c>
      <c r="K690">
        <v>7</v>
      </c>
      <c r="L690">
        <v>18270673</v>
      </c>
      <c r="M690">
        <v>6078298</v>
      </c>
      <c r="N690" t="s">
        <v>34</v>
      </c>
      <c r="O690">
        <v>4.2699999999999996</v>
      </c>
      <c r="P690">
        <v>36</v>
      </c>
      <c r="Q690">
        <v>4</v>
      </c>
      <c r="R690">
        <v>4</v>
      </c>
      <c r="S690">
        <v>2</v>
      </c>
      <c r="T690" t="s">
        <v>33</v>
      </c>
      <c r="U690" t="s">
        <v>34</v>
      </c>
      <c r="V690" t="s">
        <v>70</v>
      </c>
      <c r="W690" t="s">
        <v>33</v>
      </c>
      <c r="X690" t="s">
        <v>36</v>
      </c>
      <c r="Z690" t="str">
        <f>IF(Table1[[#This Row],[Age]]&lt;30,"20-29",IF(Table1[[#This Row],[Age]]&lt;40,"30-39",IF(Table1[[#This Row],[Age]]&lt;50,"40-49","50+")))</f>
        <v>50+</v>
      </c>
      <c r="AA690" t="str">
        <f>IF(Table1[[#This Row],[Salary]]&lt;20000000,"low",IF(Table1[[#This Row],[Salary]]&lt;40000000,"medium","high"))</f>
        <v>low</v>
      </c>
      <c r="AB690">
        <f>YEAR(Table1[[#This Row],[Hire Date]])</f>
        <v>2019</v>
      </c>
      <c r="AC690" t="str">
        <f>TEXT(Table1[[#This Row],[Hire Date]],"mmmm")</f>
        <v>دسامبر</v>
      </c>
      <c r="AD690" t="str">
        <f>IF(Table1[[#This Row],[Resigned]]="yes","former","active")</f>
        <v>active</v>
      </c>
    </row>
    <row r="691" spans="1:30" x14ac:dyDescent="0.3">
      <c r="A691" t="s">
        <v>1447</v>
      </c>
      <c r="B691" t="s">
        <v>1448</v>
      </c>
      <c r="C691" t="s">
        <v>27</v>
      </c>
      <c r="D691">
        <v>56</v>
      </c>
      <c r="E691" t="s">
        <v>40</v>
      </c>
      <c r="F691" t="s">
        <v>41</v>
      </c>
      <c r="G691" t="s">
        <v>30</v>
      </c>
      <c r="H691" t="s">
        <v>42</v>
      </c>
      <c r="I691" t="s">
        <v>50</v>
      </c>
      <c r="J691" s="1">
        <v>42798</v>
      </c>
      <c r="K691">
        <v>9</v>
      </c>
      <c r="L691">
        <v>16615412</v>
      </c>
      <c r="M691">
        <v>1294080</v>
      </c>
      <c r="N691" t="s">
        <v>34</v>
      </c>
      <c r="O691">
        <v>4.26</v>
      </c>
      <c r="P691">
        <v>30</v>
      </c>
      <c r="Q691">
        <v>5</v>
      </c>
      <c r="R691">
        <v>3</v>
      </c>
      <c r="S691">
        <v>20</v>
      </c>
      <c r="T691" t="s">
        <v>34</v>
      </c>
      <c r="U691" t="s">
        <v>34</v>
      </c>
      <c r="V691" t="s">
        <v>44</v>
      </c>
      <c r="W691" t="s">
        <v>33</v>
      </c>
      <c r="X691" t="s">
        <v>52</v>
      </c>
      <c r="Z691" t="str">
        <f>IF(Table1[[#This Row],[Age]]&lt;30,"20-29",IF(Table1[[#This Row],[Age]]&lt;40,"30-39",IF(Table1[[#This Row],[Age]]&lt;50,"40-49","50+")))</f>
        <v>50+</v>
      </c>
      <c r="AA691" t="str">
        <f>IF(Table1[[#This Row],[Salary]]&lt;20000000,"low",IF(Table1[[#This Row],[Salary]]&lt;40000000,"medium","high"))</f>
        <v>low</v>
      </c>
      <c r="AB691">
        <f>YEAR(Table1[[#This Row],[Hire Date]])</f>
        <v>2017</v>
      </c>
      <c r="AC691" t="str">
        <f>TEXT(Table1[[#This Row],[Hire Date]],"mmmm")</f>
        <v>مارس</v>
      </c>
      <c r="AD691" t="str">
        <f>IF(Table1[[#This Row],[Resigned]]="yes","former","active")</f>
        <v>active</v>
      </c>
    </row>
    <row r="692" spans="1:30" x14ac:dyDescent="0.3">
      <c r="A692" t="s">
        <v>1449</v>
      </c>
      <c r="B692" t="s">
        <v>1450</v>
      </c>
      <c r="C692" t="s">
        <v>27</v>
      </c>
      <c r="D692">
        <v>56</v>
      </c>
      <c r="E692" t="s">
        <v>63</v>
      </c>
      <c r="F692" t="s">
        <v>93</v>
      </c>
      <c r="G692" t="s">
        <v>30</v>
      </c>
      <c r="H692" t="s">
        <v>31</v>
      </c>
      <c r="I692" t="s">
        <v>43</v>
      </c>
      <c r="J692" s="1">
        <v>43197</v>
      </c>
      <c r="K692">
        <v>8</v>
      </c>
      <c r="L692">
        <v>56178921</v>
      </c>
      <c r="M692">
        <v>3226661</v>
      </c>
      <c r="N692" t="s">
        <v>34</v>
      </c>
      <c r="O692">
        <v>3.31</v>
      </c>
      <c r="P692">
        <v>41</v>
      </c>
      <c r="Q692">
        <v>3</v>
      </c>
      <c r="R692">
        <v>3</v>
      </c>
      <c r="S692">
        <v>3</v>
      </c>
      <c r="T692" t="s">
        <v>34</v>
      </c>
      <c r="U692" t="s">
        <v>34</v>
      </c>
      <c r="V692" t="s">
        <v>59</v>
      </c>
      <c r="W692" t="s">
        <v>34</v>
      </c>
      <c r="X692" t="s">
        <v>45</v>
      </c>
      <c r="Z692" t="str">
        <f>IF(Table1[[#This Row],[Age]]&lt;30,"20-29",IF(Table1[[#This Row],[Age]]&lt;40,"30-39",IF(Table1[[#This Row],[Age]]&lt;50,"40-49","50+")))</f>
        <v>50+</v>
      </c>
      <c r="AA692" t="str">
        <f>IF(Table1[[#This Row],[Salary]]&lt;20000000,"low",IF(Table1[[#This Row],[Salary]]&lt;40000000,"medium","high"))</f>
        <v>high</v>
      </c>
      <c r="AB692">
        <f>YEAR(Table1[[#This Row],[Hire Date]])</f>
        <v>2018</v>
      </c>
      <c r="AC692" t="str">
        <f>TEXT(Table1[[#This Row],[Hire Date]],"mmmm")</f>
        <v>آوريل</v>
      </c>
      <c r="AD692" t="str">
        <f>IF(Table1[[#This Row],[Resigned]]="yes","former","active")</f>
        <v>active</v>
      </c>
    </row>
    <row r="693" spans="1:30" x14ac:dyDescent="0.3">
      <c r="A693" t="s">
        <v>1451</v>
      </c>
      <c r="B693" t="s">
        <v>1452</v>
      </c>
      <c r="C693" t="s">
        <v>39</v>
      </c>
      <c r="D693">
        <v>26</v>
      </c>
      <c r="E693" t="s">
        <v>56</v>
      </c>
      <c r="F693" t="s">
        <v>84</v>
      </c>
      <c r="G693" t="s">
        <v>30</v>
      </c>
      <c r="H693" t="s">
        <v>42</v>
      </c>
      <c r="I693" t="s">
        <v>81</v>
      </c>
      <c r="J693" s="1">
        <v>44387</v>
      </c>
      <c r="K693">
        <v>5</v>
      </c>
      <c r="L693">
        <v>50753813</v>
      </c>
      <c r="M693">
        <v>6421915</v>
      </c>
      <c r="N693" t="s">
        <v>34</v>
      </c>
      <c r="O693">
        <v>4.3499999999999996</v>
      </c>
      <c r="P693">
        <v>41</v>
      </c>
      <c r="Q693">
        <v>1</v>
      </c>
      <c r="R693">
        <v>3</v>
      </c>
      <c r="S693">
        <v>19</v>
      </c>
      <c r="T693" t="s">
        <v>33</v>
      </c>
      <c r="U693" t="s">
        <v>33</v>
      </c>
      <c r="V693" t="s">
        <v>44</v>
      </c>
      <c r="W693" t="s">
        <v>33</v>
      </c>
      <c r="X693" t="s">
        <v>52</v>
      </c>
      <c r="Y693" t="s">
        <v>162</v>
      </c>
      <c r="Z693" t="str">
        <f>IF(Table1[[#This Row],[Age]]&lt;30,"20-29",IF(Table1[[#This Row],[Age]]&lt;40,"30-39",IF(Table1[[#This Row],[Age]]&lt;50,"40-49","50+")))</f>
        <v>20-29</v>
      </c>
      <c r="AA693" t="str">
        <f>IF(Table1[[#This Row],[Salary]]&lt;20000000,"low",IF(Table1[[#This Row],[Salary]]&lt;40000000,"medium","high"))</f>
        <v>high</v>
      </c>
      <c r="AB693">
        <f>YEAR(Table1[[#This Row],[Hire Date]])</f>
        <v>2021</v>
      </c>
      <c r="AC693" t="str">
        <f>TEXT(Table1[[#This Row],[Hire Date]],"mmmm")</f>
        <v>ژوئيه</v>
      </c>
      <c r="AD693" t="str">
        <f>IF(Table1[[#This Row],[Resigned]]="yes","former","active")</f>
        <v>former</v>
      </c>
    </row>
    <row r="694" spans="1:30" x14ac:dyDescent="0.3">
      <c r="A694" t="s">
        <v>1453</v>
      </c>
      <c r="B694" t="s">
        <v>1454</v>
      </c>
      <c r="C694" t="s">
        <v>39</v>
      </c>
      <c r="D694">
        <v>52</v>
      </c>
      <c r="E694" t="s">
        <v>63</v>
      </c>
      <c r="F694" t="s">
        <v>64</v>
      </c>
      <c r="G694" t="s">
        <v>30</v>
      </c>
      <c r="H694" t="s">
        <v>42</v>
      </c>
      <c r="I694" t="s">
        <v>65</v>
      </c>
      <c r="J694" s="1">
        <v>45510</v>
      </c>
      <c r="K694">
        <v>2</v>
      </c>
      <c r="L694">
        <v>38835659</v>
      </c>
      <c r="M694">
        <v>6964334</v>
      </c>
      <c r="N694" t="s">
        <v>33</v>
      </c>
      <c r="O694">
        <v>4.5999999999999996</v>
      </c>
      <c r="P694">
        <v>51</v>
      </c>
      <c r="Q694">
        <v>2</v>
      </c>
      <c r="R694">
        <v>1</v>
      </c>
      <c r="S694">
        <v>2</v>
      </c>
      <c r="T694" t="s">
        <v>33</v>
      </c>
      <c r="U694" t="s">
        <v>33</v>
      </c>
      <c r="V694" t="s">
        <v>59</v>
      </c>
      <c r="W694" t="s">
        <v>33</v>
      </c>
      <c r="X694" t="s">
        <v>52</v>
      </c>
      <c r="Y694" t="s">
        <v>60</v>
      </c>
      <c r="Z694" t="str">
        <f>IF(Table1[[#This Row],[Age]]&lt;30,"20-29",IF(Table1[[#This Row],[Age]]&lt;40,"30-39",IF(Table1[[#This Row],[Age]]&lt;50,"40-49","50+")))</f>
        <v>50+</v>
      </c>
      <c r="AA694" t="str">
        <f>IF(Table1[[#This Row],[Salary]]&lt;20000000,"low",IF(Table1[[#This Row],[Salary]]&lt;40000000,"medium","high"))</f>
        <v>medium</v>
      </c>
      <c r="AB694">
        <f>YEAR(Table1[[#This Row],[Hire Date]])</f>
        <v>2024</v>
      </c>
      <c r="AC694" t="str">
        <f>TEXT(Table1[[#This Row],[Hire Date]],"mmmm")</f>
        <v>اوت</v>
      </c>
      <c r="AD694" t="str">
        <f>IF(Table1[[#This Row],[Resigned]]="yes","former","active")</f>
        <v>former</v>
      </c>
    </row>
    <row r="695" spans="1:30" x14ac:dyDescent="0.3">
      <c r="A695" t="s">
        <v>1455</v>
      </c>
      <c r="B695" t="s">
        <v>1456</v>
      </c>
      <c r="C695" t="s">
        <v>27</v>
      </c>
      <c r="D695">
        <v>57</v>
      </c>
      <c r="E695" t="s">
        <v>110</v>
      </c>
      <c r="F695" t="s">
        <v>120</v>
      </c>
      <c r="G695" t="s">
        <v>58</v>
      </c>
      <c r="H695" t="s">
        <v>42</v>
      </c>
      <c r="I695" t="s">
        <v>65</v>
      </c>
      <c r="J695" s="1">
        <v>43462</v>
      </c>
      <c r="K695">
        <v>8</v>
      </c>
      <c r="L695">
        <v>17908757</v>
      </c>
      <c r="M695">
        <v>1568009</v>
      </c>
      <c r="N695" t="s">
        <v>34</v>
      </c>
      <c r="O695">
        <v>4.13</v>
      </c>
      <c r="P695">
        <v>68</v>
      </c>
      <c r="Q695">
        <v>4</v>
      </c>
      <c r="R695">
        <v>2</v>
      </c>
      <c r="S695">
        <v>10</v>
      </c>
      <c r="T695" t="s">
        <v>33</v>
      </c>
      <c r="U695" t="s">
        <v>34</v>
      </c>
      <c r="V695" t="s">
        <v>51</v>
      </c>
      <c r="W695" t="s">
        <v>34</v>
      </c>
      <c r="X695" t="s">
        <v>52</v>
      </c>
      <c r="Z695" t="str">
        <f>IF(Table1[[#This Row],[Age]]&lt;30,"20-29",IF(Table1[[#This Row],[Age]]&lt;40,"30-39",IF(Table1[[#This Row],[Age]]&lt;50,"40-49","50+")))</f>
        <v>50+</v>
      </c>
      <c r="AA695" t="str">
        <f>IF(Table1[[#This Row],[Salary]]&lt;20000000,"low",IF(Table1[[#This Row],[Salary]]&lt;40000000,"medium","high"))</f>
        <v>low</v>
      </c>
      <c r="AB695">
        <f>YEAR(Table1[[#This Row],[Hire Date]])</f>
        <v>2018</v>
      </c>
      <c r="AC695" t="str">
        <f>TEXT(Table1[[#This Row],[Hire Date]],"mmmm")</f>
        <v>دسامبر</v>
      </c>
      <c r="AD695" t="str">
        <f>IF(Table1[[#This Row],[Resigned]]="yes","former","active")</f>
        <v>active</v>
      </c>
    </row>
    <row r="696" spans="1:30" x14ac:dyDescent="0.3">
      <c r="A696" t="s">
        <v>1457</v>
      </c>
      <c r="B696" t="s">
        <v>1458</v>
      </c>
      <c r="C696" t="s">
        <v>27</v>
      </c>
      <c r="D696">
        <v>58</v>
      </c>
      <c r="E696" t="s">
        <v>40</v>
      </c>
      <c r="F696" t="s">
        <v>41</v>
      </c>
      <c r="G696" t="s">
        <v>30</v>
      </c>
      <c r="H696" t="s">
        <v>31</v>
      </c>
      <c r="I696" t="s">
        <v>43</v>
      </c>
      <c r="J696" s="1">
        <v>43948</v>
      </c>
      <c r="K696">
        <v>6</v>
      </c>
      <c r="L696">
        <v>56742233</v>
      </c>
      <c r="M696">
        <v>2727149</v>
      </c>
      <c r="N696" t="s">
        <v>33</v>
      </c>
      <c r="O696">
        <v>4.21</v>
      </c>
      <c r="P696">
        <v>38</v>
      </c>
      <c r="Q696">
        <v>4</v>
      </c>
      <c r="R696">
        <v>3</v>
      </c>
      <c r="S696">
        <v>3</v>
      </c>
      <c r="T696" t="s">
        <v>33</v>
      </c>
      <c r="U696" t="s">
        <v>34</v>
      </c>
      <c r="V696" t="s">
        <v>44</v>
      </c>
      <c r="W696" t="s">
        <v>33</v>
      </c>
      <c r="X696" t="s">
        <v>45</v>
      </c>
      <c r="Z696" t="str">
        <f>IF(Table1[[#This Row],[Age]]&lt;30,"20-29",IF(Table1[[#This Row],[Age]]&lt;40,"30-39",IF(Table1[[#This Row],[Age]]&lt;50,"40-49","50+")))</f>
        <v>50+</v>
      </c>
      <c r="AA696" t="str">
        <f>IF(Table1[[#This Row],[Salary]]&lt;20000000,"low",IF(Table1[[#This Row],[Salary]]&lt;40000000,"medium","high"))</f>
        <v>high</v>
      </c>
      <c r="AB696">
        <f>YEAR(Table1[[#This Row],[Hire Date]])</f>
        <v>2020</v>
      </c>
      <c r="AC696" t="str">
        <f>TEXT(Table1[[#This Row],[Hire Date]],"mmmm")</f>
        <v>آوريل</v>
      </c>
      <c r="AD696" t="str">
        <f>IF(Table1[[#This Row],[Resigned]]="yes","former","active")</f>
        <v>active</v>
      </c>
    </row>
    <row r="697" spans="1:30" x14ac:dyDescent="0.3">
      <c r="A697" t="s">
        <v>1459</v>
      </c>
      <c r="B697" t="s">
        <v>1460</v>
      </c>
      <c r="C697" t="s">
        <v>39</v>
      </c>
      <c r="D697">
        <v>42</v>
      </c>
      <c r="E697" t="s">
        <v>73</v>
      </c>
      <c r="F697" t="s">
        <v>74</v>
      </c>
      <c r="G697" t="s">
        <v>58</v>
      </c>
      <c r="H697" t="s">
        <v>31</v>
      </c>
      <c r="I697" t="s">
        <v>65</v>
      </c>
      <c r="J697" s="1">
        <v>44286</v>
      </c>
      <c r="K697">
        <v>5</v>
      </c>
      <c r="L697">
        <v>33923899</v>
      </c>
      <c r="M697">
        <v>6344005</v>
      </c>
      <c r="N697" t="s">
        <v>34</v>
      </c>
      <c r="O697">
        <v>2.72</v>
      </c>
      <c r="P697">
        <v>12</v>
      </c>
      <c r="Q697">
        <v>4</v>
      </c>
      <c r="R697">
        <v>4</v>
      </c>
      <c r="S697">
        <v>9</v>
      </c>
      <c r="T697" t="s">
        <v>34</v>
      </c>
      <c r="U697" t="s">
        <v>33</v>
      </c>
      <c r="V697" t="s">
        <v>70</v>
      </c>
      <c r="W697" t="s">
        <v>34</v>
      </c>
      <c r="X697" t="s">
        <v>52</v>
      </c>
      <c r="Y697" t="s">
        <v>60</v>
      </c>
      <c r="Z697" t="str">
        <f>IF(Table1[[#This Row],[Age]]&lt;30,"20-29",IF(Table1[[#This Row],[Age]]&lt;40,"30-39",IF(Table1[[#This Row],[Age]]&lt;50,"40-49","50+")))</f>
        <v>40-49</v>
      </c>
      <c r="AA697" t="str">
        <f>IF(Table1[[#This Row],[Salary]]&lt;20000000,"low",IF(Table1[[#This Row],[Salary]]&lt;40000000,"medium","high"))</f>
        <v>medium</v>
      </c>
      <c r="AB697">
        <f>YEAR(Table1[[#This Row],[Hire Date]])</f>
        <v>2021</v>
      </c>
      <c r="AC697" t="str">
        <f>TEXT(Table1[[#This Row],[Hire Date]],"mmmm")</f>
        <v>مارس</v>
      </c>
      <c r="AD697" t="str">
        <f>IF(Table1[[#This Row],[Resigned]]="yes","former","active")</f>
        <v>former</v>
      </c>
    </row>
    <row r="698" spans="1:30" x14ac:dyDescent="0.3">
      <c r="A698" t="s">
        <v>1461</v>
      </c>
      <c r="B698" t="s">
        <v>1462</v>
      </c>
      <c r="C698" t="s">
        <v>39</v>
      </c>
      <c r="D698">
        <v>58</v>
      </c>
      <c r="E698" t="s">
        <v>56</v>
      </c>
      <c r="F698" t="s">
        <v>84</v>
      </c>
      <c r="G698" t="s">
        <v>30</v>
      </c>
      <c r="H698" t="s">
        <v>31</v>
      </c>
      <c r="I698" t="s">
        <v>32</v>
      </c>
      <c r="J698" s="1">
        <v>45338</v>
      </c>
      <c r="K698">
        <v>2</v>
      </c>
      <c r="L698">
        <v>59898932</v>
      </c>
      <c r="M698">
        <v>4104041</v>
      </c>
      <c r="N698" t="s">
        <v>34</v>
      </c>
      <c r="O698">
        <v>3.56</v>
      </c>
      <c r="P698">
        <v>18</v>
      </c>
      <c r="Q698">
        <v>3</v>
      </c>
      <c r="R698">
        <v>3</v>
      </c>
      <c r="S698">
        <v>0</v>
      </c>
      <c r="T698" t="s">
        <v>33</v>
      </c>
      <c r="U698" t="s">
        <v>34</v>
      </c>
      <c r="V698" t="s">
        <v>51</v>
      </c>
      <c r="W698" t="s">
        <v>33</v>
      </c>
      <c r="X698" t="s">
        <v>52</v>
      </c>
      <c r="Z698" t="str">
        <f>IF(Table1[[#This Row],[Age]]&lt;30,"20-29",IF(Table1[[#This Row],[Age]]&lt;40,"30-39",IF(Table1[[#This Row],[Age]]&lt;50,"40-49","50+")))</f>
        <v>50+</v>
      </c>
      <c r="AA698" t="str">
        <f>IF(Table1[[#This Row],[Salary]]&lt;20000000,"low",IF(Table1[[#This Row],[Salary]]&lt;40000000,"medium","high"))</f>
        <v>high</v>
      </c>
      <c r="AB698">
        <f>YEAR(Table1[[#This Row],[Hire Date]])</f>
        <v>2024</v>
      </c>
      <c r="AC698" t="str">
        <f>TEXT(Table1[[#This Row],[Hire Date]],"mmmm")</f>
        <v>فوريه</v>
      </c>
      <c r="AD698" t="str">
        <f>IF(Table1[[#This Row],[Resigned]]="yes","former","active")</f>
        <v>active</v>
      </c>
    </row>
    <row r="699" spans="1:30" x14ac:dyDescent="0.3">
      <c r="A699" t="s">
        <v>1463</v>
      </c>
      <c r="B699" t="s">
        <v>1464</v>
      </c>
      <c r="C699" t="s">
        <v>39</v>
      </c>
      <c r="D699">
        <v>23</v>
      </c>
      <c r="E699" t="s">
        <v>40</v>
      </c>
      <c r="F699" t="s">
        <v>48</v>
      </c>
      <c r="G699" t="s">
        <v>58</v>
      </c>
      <c r="H699" t="s">
        <v>42</v>
      </c>
      <c r="I699" t="s">
        <v>81</v>
      </c>
      <c r="J699" s="1">
        <v>42519</v>
      </c>
      <c r="K699">
        <v>10</v>
      </c>
      <c r="L699">
        <v>39210454</v>
      </c>
      <c r="M699">
        <v>1416042</v>
      </c>
      <c r="N699" t="s">
        <v>34</v>
      </c>
      <c r="O699">
        <v>3.95</v>
      </c>
      <c r="P699">
        <v>34</v>
      </c>
      <c r="Q699">
        <v>2</v>
      </c>
      <c r="R699">
        <v>1</v>
      </c>
      <c r="S699">
        <v>14</v>
      </c>
      <c r="T699" t="s">
        <v>33</v>
      </c>
      <c r="U699" t="s">
        <v>34</v>
      </c>
      <c r="V699" t="s">
        <v>70</v>
      </c>
      <c r="W699" t="s">
        <v>33</v>
      </c>
      <c r="X699" t="s">
        <v>52</v>
      </c>
      <c r="Z699" t="str">
        <f>IF(Table1[[#This Row],[Age]]&lt;30,"20-29",IF(Table1[[#This Row],[Age]]&lt;40,"30-39",IF(Table1[[#This Row],[Age]]&lt;50,"40-49","50+")))</f>
        <v>20-29</v>
      </c>
      <c r="AA699" t="str">
        <f>IF(Table1[[#This Row],[Salary]]&lt;20000000,"low",IF(Table1[[#This Row],[Salary]]&lt;40000000,"medium","high"))</f>
        <v>medium</v>
      </c>
      <c r="AB699">
        <f>YEAR(Table1[[#This Row],[Hire Date]])</f>
        <v>2016</v>
      </c>
      <c r="AC699" t="str">
        <f>TEXT(Table1[[#This Row],[Hire Date]],"mmmm")</f>
        <v>مه</v>
      </c>
      <c r="AD699" t="str">
        <f>IF(Table1[[#This Row],[Resigned]]="yes","former","active")</f>
        <v>active</v>
      </c>
    </row>
    <row r="700" spans="1:30" x14ac:dyDescent="0.3">
      <c r="A700" t="s">
        <v>1465</v>
      </c>
      <c r="B700" t="s">
        <v>1466</v>
      </c>
      <c r="C700" t="s">
        <v>27</v>
      </c>
      <c r="D700">
        <v>51</v>
      </c>
      <c r="E700" t="s">
        <v>63</v>
      </c>
      <c r="F700" t="s">
        <v>93</v>
      </c>
      <c r="G700" t="s">
        <v>49</v>
      </c>
      <c r="H700" t="s">
        <v>42</v>
      </c>
      <c r="I700" t="s">
        <v>50</v>
      </c>
      <c r="J700" s="1">
        <v>45636</v>
      </c>
      <c r="K700">
        <v>2</v>
      </c>
      <c r="L700">
        <v>39296845</v>
      </c>
      <c r="M700">
        <v>2439098</v>
      </c>
      <c r="N700" t="s">
        <v>34</v>
      </c>
      <c r="O700">
        <v>3.67</v>
      </c>
      <c r="P700">
        <v>40</v>
      </c>
      <c r="Q700">
        <v>4</v>
      </c>
      <c r="R700">
        <v>2</v>
      </c>
      <c r="S700">
        <v>15</v>
      </c>
      <c r="T700" t="s">
        <v>34</v>
      </c>
      <c r="U700" t="s">
        <v>33</v>
      </c>
      <c r="V700" t="s">
        <v>44</v>
      </c>
      <c r="W700" t="s">
        <v>33</v>
      </c>
      <c r="X700" t="s">
        <v>36</v>
      </c>
      <c r="Y700" t="s">
        <v>60</v>
      </c>
      <c r="Z700" t="str">
        <f>IF(Table1[[#This Row],[Age]]&lt;30,"20-29",IF(Table1[[#This Row],[Age]]&lt;40,"30-39",IF(Table1[[#This Row],[Age]]&lt;50,"40-49","50+")))</f>
        <v>50+</v>
      </c>
      <c r="AA700" t="str">
        <f>IF(Table1[[#This Row],[Salary]]&lt;20000000,"low",IF(Table1[[#This Row],[Salary]]&lt;40000000,"medium","high"))</f>
        <v>medium</v>
      </c>
      <c r="AB700">
        <f>YEAR(Table1[[#This Row],[Hire Date]])</f>
        <v>2024</v>
      </c>
      <c r="AC700" t="str">
        <f>TEXT(Table1[[#This Row],[Hire Date]],"mmmm")</f>
        <v>دسامبر</v>
      </c>
      <c r="AD700" t="str">
        <f>IF(Table1[[#This Row],[Resigned]]="yes","former","active")</f>
        <v>former</v>
      </c>
    </row>
    <row r="701" spans="1:30" x14ac:dyDescent="0.3">
      <c r="A701" t="s">
        <v>1467</v>
      </c>
      <c r="B701" t="s">
        <v>1468</v>
      </c>
      <c r="C701" t="s">
        <v>27</v>
      </c>
      <c r="D701">
        <v>39</v>
      </c>
      <c r="E701" t="s">
        <v>56</v>
      </c>
      <c r="F701" t="s">
        <v>84</v>
      </c>
      <c r="G701" t="s">
        <v>49</v>
      </c>
      <c r="H701" t="s">
        <v>31</v>
      </c>
      <c r="I701" t="s">
        <v>43</v>
      </c>
      <c r="J701" s="1">
        <v>45373</v>
      </c>
      <c r="K701">
        <v>2</v>
      </c>
      <c r="L701">
        <v>58459085</v>
      </c>
      <c r="M701">
        <v>6546280</v>
      </c>
      <c r="N701" t="s">
        <v>33</v>
      </c>
      <c r="O701">
        <v>4.3899999999999997</v>
      </c>
      <c r="P701">
        <v>2</v>
      </c>
      <c r="Q701">
        <v>4</v>
      </c>
      <c r="R701">
        <v>4</v>
      </c>
      <c r="S701">
        <v>16</v>
      </c>
      <c r="T701" t="s">
        <v>33</v>
      </c>
      <c r="U701" t="s">
        <v>34</v>
      </c>
      <c r="V701" t="s">
        <v>44</v>
      </c>
      <c r="W701" t="s">
        <v>33</v>
      </c>
      <c r="X701" t="s">
        <v>45</v>
      </c>
      <c r="Z701" t="str">
        <f>IF(Table1[[#This Row],[Age]]&lt;30,"20-29",IF(Table1[[#This Row],[Age]]&lt;40,"30-39",IF(Table1[[#This Row],[Age]]&lt;50,"40-49","50+")))</f>
        <v>30-39</v>
      </c>
      <c r="AA701" t="str">
        <f>IF(Table1[[#This Row],[Salary]]&lt;20000000,"low",IF(Table1[[#This Row],[Salary]]&lt;40000000,"medium","high"))</f>
        <v>high</v>
      </c>
      <c r="AB701">
        <f>YEAR(Table1[[#This Row],[Hire Date]])</f>
        <v>2024</v>
      </c>
      <c r="AC701" t="str">
        <f>TEXT(Table1[[#This Row],[Hire Date]],"mmmm")</f>
        <v>مارس</v>
      </c>
      <c r="AD701" t="str">
        <f>IF(Table1[[#This Row],[Resigned]]="yes","former","active")</f>
        <v>active</v>
      </c>
    </row>
    <row r="702" spans="1:30" x14ac:dyDescent="0.3">
      <c r="A702" t="s">
        <v>1469</v>
      </c>
      <c r="B702" t="s">
        <v>1470</v>
      </c>
      <c r="C702" t="s">
        <v>39</v>
      </c>
      <c r="D702">
        <v>55</v>
      </c>
      <c r="E702" t="s">
        <v>56</v>
      </c>
      <c r="F702" t="s">
        <v>84</v>
      </c>
      <c r="G702" t="s">
        <v>30</v>
      </c>
      <c r="H702" t="s">
        <v>31</v>
      </c>
      <c r="I702" t="s">
        <v>32</v>
      </c>
      <c r="J702" s="1">
        <v>42802</v>
      </c>
      <c r="K702">
        <v>9</v>
      </c>
      <c r="L702">
        <v>17605413</v>
      </c>
      <c r="M702">
        <v>1823280</v>
      </c>
      <c r="N702" t="s">
        <v>34</v>
      </c>
      <c r="O702">
        <v>4.32</v>
      </c>
      <c r="P702">
        <v>42</v>
      </c>
      <c r="Q702">
        <v>4</v>
      </c>
      <c r="R702">
        <v>3</v>
      </c>
      <c r="S702">
        <v>17</v>
      </c>
      <c r="T702" t="s">
        <v>34</v>
      </c>
      <c r="U702" t="s">
        <v>34</v>
      </c>
      <c r="V702" t="s">
        <v>70</v>
      </c>
      <c r="W702" t="s">
        <v>34</v>
      </c>
      <c r="X702" t="s">
        <v>52</v>
      </c>
      <c r="Z702" t="str">
        <f>IF(Table1[[#This Row],[Age]]&lt;30,"20-29",IF(Table1[[#This Row],[Age]]&lt;40,"30-39",IF(Table1[[#This Row],[Age]]&lt;50,"40-49","50+")))</f>
        <v>50+</v>
      </c>
      <c r="AA702" t="str">
        <f>IF(Table1[[#This Row],[Salary]]&lt;20000000,"low",IF(Table1[[#This Row],[Salary]]&lt;40000000,"medium","high"))</f>
        <v>low</v>
      </c>
      <c r="AB702">
        <f>YEAR(Table1[[#This Row],[Hire Date]])</f>
        <v>2017</v>
      </c>
      <c r="AC702" t="str">
        <f>TEXT(Table1[[#This Row],[Hire Date]],"mmmm")</f>
        <v>مارس</v>
      </c>
      <c r="AD702" t="str">
        <f>IF(Table1[[#This Row],[Resigned]]="yes","former","active")</f>
        <v>active</v>
      </c>
    </row>
    <row r="703" spans="1:30" x14ac:dyDescent="0.3">
      <c r="A703" t="s">
        <v>1471</v>
      </c>
      <c r="B703" t="s">
        <v>1472</v>
      </c>
      <c r="C703" t="s">
        <v>27</v>
      </c>
      <c r="D703">
        <v>52</v>
      </c>
      <c r="E703" t="s">
        <v>73</v>
      </c>
      <c r="F703" t="s">
        <v>74</v>
      </c>
      <c r="G703" t="s">
        <v>30</v>
      </c>
      <c r="H703" t="s">
        <v>31</v>
      </c>
      <c r="I703" t="s">
        <v>32</v>
      </c>
      <c r="J703" s="1">
        <v>42574</v>
      </c>
      <c r="K703">
        <v>10</v>
      </c>
      <c r="L703">
        <v>33572545</v>
      </c>
      <c r="M703">
        <v>6029375</v>
      </c>
      <c r="N703" t="s">
        <v>33</v>
      </c>
      <c r="O703">
        <v>4.95</v>
      </c>
      <c r="P703">
        <v>70</v>
      </c>
      <c r="Q703">
        <v>1</v>
      </c>
      <c r="R703">
        <v>2</v>
      </c>
      <c r="S703">
        <v>12</v>
      </c>
      <c r="T703" t="s">
        <v>34</v>
      </c>
      <c r="U703" t="s">
        <v>33</v>
      </c>
      <c r="V703" t="s">
        <v>44</v>
      </c>
      <c r="W703" t="s">
        <v>34</v>
      </c>
      <c r="X703" t="s">
        <v>45</v>
      </c>
      <c r="Y703" t="s">
        <v>75</v>
      </c>
      <c r="Z703" t="str">
        <f>IF(Table1[[#This Row],[Age]]&lt;30,"20-29",IF(Table1[[#This Row],[Age]]&lt;40,"30-39",IF(Table1[[#This Row],[Age]]&lt;50,"40-49","50+")))</f>
        <v>50+</v>
      </c>
      <c r="AA703" t="str">
        <f>IF(Table1[[#This Row],[Salary]]&lt;20000000,"low",IF(Table1[[#This Row],[Salary]]&lt;40000000,"medium","high"))</f>
        <v>medium</v>
      </c>
      <c r="AB703">
        <f>YEAR(Table1[[#This Row],[Hire Date]])</f>
        <v>2016</v>
      </c>
      <c r="AC703" t="str">
        <f>TEXT(Table1[[#This Row],[Hire Date]],"mmmm")</f>
        <v>ژوئيه</v>
      </c>
      <c r="AD703" t="str">
        <f>IF(Table1[[#This Row],[Resigned]]="yes","former","active")</f>
        <v>former</v>
      </c>
    </row>
    <row r="704" spans="1:30" x14ac:dyDescent="0.3">
      <c r="A704" t="s">
        <v>1473</v>
      </c>
      <c r="B704" t="s">
        <v>1474</v>
      </c>
      <c r="C704" t="s">
        <v>39</v>
      </c>
      <c r="D704">
        <v>47</v>
      </c>
      <c r="E704" t="s">
        <v>73</v>
      </c>
      <c r="F704" t="s">
        <v>74</v>
      </c>
      <c r="G704" t="s">
        <v>49</v>
      </c>
      <c r="H704" t="s">
        <v>42</v>
      </c>
      <c r="I704" t="s">
        <v>32</v>
      </c>
      <c r="J704" s="1">
        <v>44619</v>
      </c>
      <c r="K704">
        <v>4</v>
      </c>
      <c r="L704">
        <v>58715718</v>
      </c>
      <c r="M704">
        <v>2676855</v>
      </c>
      <c r="N704" t="s">
        <v>34</v>
      </c>
      <c r="O704">
        <v>4.13</v>
      </c>
      <c r="P704">
        <v>53</v>
      </c>
      <c r="Q704">
        <v>3</v>
      </c>
      <c r="R704">
        <v>5</v>
      </c>
      <c r="S704">
        <v>7</v>
      </c>
      <c r="T704" t="s">
        <v>33</v>
      </c>
      <c r="U704" t="s">
        <v>34</v>
      </c>
      <c r="V704" t="s">
        <v>44</v>
      </c>
      <c r="W704" t="s">
        <v>33</v>
      </c>
      <c r="X704" t="s">
        <v>52</v>
      </c>
      <c r="Z704" t="str">
        <f>IF(Table1[[#This Row],[Age]]&lt;30,"20-29",IF(Table1[[#This Row],[Age]]&lt;40,"30-39",IF(Table1[[#This Row],[Age]]&lt;50,"40-49","50+")))</f>
        <v>40-49</v>
      </c>
      <c r="AA704" t="str">
        <f>IF(Table1[[#This Row],[Salary]]&lt;20000000,"low",IF(Table1[[#This Row],[Salary]]&lt;40000000,"medium","high"))</f>
        <v>high</v>
      </c>
      <c r="AB704">
        <f>YEAR(Table1[[#This Row],[Hire Date]])</f>
        <v>2022</v>
      </c>
      <c r="AC704" t="str">
        <f>TEXT(Table1[[#This Row],[Hire Date]],"mmmm")</f>
        <v>فوريه</v>
      </c>
      <c r="AD704" t="str">
        <f>IF(Table1[[#This Row],[Resigned]]="yes","former","active")</f>
        <v>active</v>
      </c>
    </row>
    <row r="705" spans="1:30" x14ac:dyDescent="0.3">
      <c r="A705" t="s">
        <v>1475</v>
      </c>
      <c r="B705" t="s">
        <v>1476</v>
      </c>
      <c r="C705" t="s">
        <v>39</v>
      </c>
      <c r="D705">
        <v>54</v>
      </c>
      <c r="E705" t="s">
        <v>28</v>
      </c>
      <c r="F705" t="s">
        <v>80</v>
      </c>
      <c r="G705" t="s">
        <v>58</v>
      </c>
      <c r="H705" t="s">
        <v>31</v>
      </c>
      <c r="I705" t="s">
        <v>32</v>
      </c>
      <c r="J705" s="1">
        <v>42949</v>
      </c>
      <c r="K705">
        <v>9</v>
      </c>
      <c r="L705">
        <v>29259696</v>
      </c>
      <c r="M705">
        <v>1833240</v>
      </c>
      <c r="N705" t="s">
        <v>34</v>
      </c>
      <c r="O705">
        <v>3.26</v>
      </c>
      <c r="P705">
        <v>58</v>
      </c>
      <c r="Q705">
        <v>1</v>
      </c>
      <c r="R705">
        <v>3</v>
      </c>
      <c r="S705">
        <v>1</v>
      </c>
      <c r="T705" t="s">
        <v>34</v>
      </c>
      <c r="U705" t="s">
        <v>34</v>
      </c>
      <c r="V705" t="s">
        <v>59</v>
      </c>
      <c r="W705" t="s">
        <v>33</v>
      </c>
      <c r="X705" t="s">
        <v>45</v>
      </c>
      <c r="Z705" t="str">
        <f>IF(Table1[[#This Row],[Age]]&lt;30,"20-29",IF(Table1[[#This Row],[Age]]&lt;40,"30-39",IF(Table1[[#This Row],[Age]]&lt;50,"40-49","50+")))</f>
        <v>50+</v>
      </c>
      <c r="AA705" t="str">
        <f>IF(Table1[[#This Row],[Salary]]&lt;20000000,"low",IF(Table1[[#This Row],[Salary]]&lt;40000000,"medium","high"))</f>
        <v>medium</v>
      </c>
      <c r="AB705">
        <f>YEAR(Table1[[#This Row],[Hire Date]])</f>
        <v>2017</v>
      </c>
      <c r="AC705" t="str">
        <f>TEXT(Table1[[#This Row],[Hire Date]],"mmmm")</f>
        <v>اوت</v>
      </c>
      <c r="AD705" t="str">
        <f>IF(Table1[[#This Row],[Resigned]]="yes","former","active")</f>
        <v>active</v>
      </c>
    </row>
    <row r="706" spans="1:30" x14ac:dyDescent="0.3">
      <c r="A706" t="s">
        <v>1477</v>
      </c>
      <c r="B706" t="s">
        <v>1478</v>
      </c>
      <c r="C706" t="s">
        <v>27</v>
      </c>
      <c r="D706">
        <v>58</v>
      </c>
      <c r="E706" t="s">
        <v>28</v>
      </c>
      <c r="F706" t="s">
        <v>29</v>
      </c>
      <c r="G706" t="s">
        <v>30</v>
      </c>
      <c r="H706" t="s">
        <v>31</v>
      </c>
      <c r="I706" t="s">
        <v>50</v>
      </c>
      <c r="J706" s="1">
        <v>43583</v>
      </c>
      <c r="K706">
        <v>7</v>
      </c>
      <c r="L706">
        <v>17620941</v>
      </c>
      <c r="M706">
        <v>9048630</v>
      </c>
      <c r="N706" t="s">
        <v>33</v>
      </c>
      <c r="O706">
        <v>4.93</v>
      </c>
      <c r="P706">
        <v>63</v>
      </c>
      <c r="Q706">
        <v>5</v>
      </c>
      <c r="R706">
        <v>1</v>
      </c>
      <c r="S706">
        <v>20</v>
      </c>
      <c r="T706" t="s">
        <v>34</v>
      </c>
      <c r="U706" t="s">
        <v>34</v>
      </c>
      <c r="V706" t="s">
        <v>44</v>
      </c>
      <c r="W706" t="s">
        <v>34</v>
      </c>
      <c r="X706" t="s">
        <v>45</v>
      </c>
      <c r="Z706" t="str">
        <f>IF(Table1[[#This Row],[Age]]&lt;30,"20-29",IF(Table1[[#This Row],[Age]]&lt;40,"30-39",IF(Table1[[#This Row],[Age]]&lt;50,"40-49","50+")))</f>
        <v>50+</v>
      </c>
      <c r="AA706" t="str">
        <f>IF(Table1[[#This Row],[Salary]]&lt;20000000,"low",IF(Table1[[#This Row],[Salary]]&lt;40000000,"medium","high"))</f>
        <v>low</v>
      </c>
      <c r="AB706">
        <f>YEAR(Table1[[#This Row],[Hire Date]])</f>
        <v>2019</v>
      </c>
      <c r="AC706" t="str">
        <f>TEXT(Table1[[#This Row],[Hire Date]],"mmmm")</f>
        <v>آوريل</v>
      </c>
      <c r="AD706" t="str">
        <f>IF(Table1[[#This Row],[Resigned]]="yes","former","active")</f>
        <v>active</v>
      </c>
    </row>
    <row r="707" spans="1:30" x14ac:dyDescent="0.3">
      <c r="A707" t="s">
        <v>1479</v>
      </c>
      <c r="B707" t="s">
        <v>1480</v>
      </c>
      <c r="C707" t="s">
        <v>39</v>
      </c>
      <c r="D707">
        <v>45</v>
      </c>
      <c r="E707" t="s">
        <v>73</v>
      </c>
      <c r="F707" t="s">
        <v>74</v>
      </c>
      <c r="G707" t="s">
        <v>58</v>
      </c>
      <c r="H707" t="s">
        <v>42</v>
      </c>
      <c r="I707" t="s">
        <v>43</v>
      </c>
      <c r="J707" s="1">
        <v>42825</v>
      </c>
      <c r="K707">
        <v>9</v>
      </c>
      <c r="L707">
        <v>36903956</v>
      </c>
      <c r="M707">
        <v>9117318</v>
      </c>
      <c r="N707" t="s">
        <v>34</v>
      </c>
      <c r="O707">
        <v>4.58</v>
      </c>
      <c r="P707">
        <v>51</v>
      </c>
      <c r="Q707">
        <v>4</v>
      </c>
      <c r="R707">
        <v>3</v>
      </c>
      <c r="S707">
        <v>9</v>
      </c>
      <c r="T707" t="s">
        <v>34</v>
      </c>
      <c r="U707" t="s">
        <v>34</v>
      </c>
      <c r="V707" t="s">
        <v>51</v>
      </c>
      <c r="W707" t="s">
        <v>34</v>
      </c>
      <c r="X707" t="s">
        <v>52</v>
      </c>
      <c r="Z707" t="str">
        <f>IF(Table1[[#This Row],[Age]]&lt;30,"20-29",IF(Table1[[#This Row],[Age]]&lt;40,"30-39",IF(Table1[[#This Row],[Age]]&lt;50,"40-49","50+")))</f>
        <v>40-49</v>
      </c>
      <c r="AA707" t="str">
        <f>IF(Table1[[#This Row],[Salary]]&lt;20000000,"low",IF(Table1[[#This Row],[Salary]]&lt;40000000,"medium","high"))</f>
        <v>medium</v>
      </c>
      <c r="AB707">
        <f>YEAR(Table1[[#This Row],[Hire Date]])</f>
        <v>2017</v>
      </c>
      <c r="AC707" t="str">
        <f>TEXT(Table1[[#This Row],[Hire Date]],"mmmm")</f>
        <v>مارس</v>
      </c>
      <c r="AD707" t="str">
        <f>IF(Table1[[#This Row],[Resigned]]="yes","former","active")</f>
        <v>active</v>
      </c>
    </row>
    <row r="708" spans="1:30" x14ac:dyDescent="0.3">
      <c r="A708" t="s">
        <v>1481</v>
      </c>
      <c r="B708" t="s">
        <v>1482</v>
      </c>
      <c r="C708" t="s">
        <v>27</v>
      </c>
      <c r="D708">
        <v>24</v>
      </c>
      <c r="E708" t="s">
        <v>28</v>
      </c>
      <c r="F708" t="s">
        <v>80</v>
      </c>
      <c r="G708" t="s">
        <v>58</v>
      </c>
      <c r="H708" t="s">
        <v>31</v>
      </c>
      <c r="I708" t="s">
        <v>50</v>
      </c>
      <c r="J708" s="1">
        <v>44659</v>
      </c>
      <c r="K708">
        <v>4</v>
      </c>
      <c r="L708">
        <v>53907736</v>
      </c>
      <c r="M708">
        <v>6758003</v>
      </c>
      <c r="N708" t="s">
        <v>33</v>
      </c>
      <c r="O708">
        <v>2.5099999999999998</v>
      </c>
      <c r="P708">
        <v>29</v>
      </c>
      <c r="Q708">
        <v>3</v>
      </c>
      <c r="R708">
        <v>5</v>
      </c>
      <c r="S708">
        <v>10</v>
      </c>
      <c r="T708" t="s">
        <v>33</v>
      </c>
      <c r="U708" t="s">
        <v>34</v>
      </c>
      <c r="V708" t="s">
        <v>70</v>
      </c>
      <c r="W708" t="s">
        <v>34</v>
      </c>
      <c r="X708" t="s">
        <v>45</v>
      </c>
      <c r="Z708" t="str">
        <f>IF(Table1[[#This Row],[Age]]&lt;30,"20-29",IF(Table1[[#This Row],[Age]]&lt;40,"30-39",IF(Table1[[#This Row],[Age]]&lt;50,"40-49","50+")))</f>
        <v>20-29</v>
      </c>
      <c r="AA708" t="str">
        <f>IF(Table1[[#This Row],[Salary]]&lt;20000000,"low",IF(Table1[[#This Row],[Salary]]&lt;40000000,"medium","high"))</f>
        <v>high</v>
      </c>
      <c r="AB708">
        <f>YEAR(Table1[[#This Row],[Hire Date]])</f>
        <v>2022</v>
      </c>
      <c r="AC708" t="str">
        <f>TEXT(Table1[[#This Row],[Hire Date]],"mmmm")</f>
        <v>آوريل</v>
      </c>
      <c r="AD708" t="str">
        <f>IF(Table1[[#This Row],[Resigned]]="yes","former","active")</f>
        <v>active</v>
      </c>
    </row>
    <row r="709" spans="1:30" x14ac:dyDescent="0.3">
      <c r="A709" t="s">
        <v>1483</v>
      </c>
      <c r="B709" t="s">
        <v>1484</v>
      </c>
      <c r="C709" t="s">
        <v>39</v>
      </c>
      <c r="D709">
        <v>47</v>
      </c>
      <c r="E709" t="s">
        <v>63</v>
      </c>
      <c r="F709" t="s">
        <v>64</v>
      </c>
      <c r="G709" t="s">
        <v>49</v>
      </c>
      <c r="H709" t="s">
        <v>31</v>
      </c>
      <c r="I709" t="s">
        <v>65</v>
      </c>
      <c r="J709" s="1">
        <v>42374</v>
      </c>
      <c r="K709">
        <v>10</v>
      </c>
      <c r="L709">
        <v>54964918</v>
      </c>
      <c r="M709">
        <v>123985</v>
      </c>
      <c r="N709" t="s">
        <v>33</v>
      </c>
      <c r="O709">
        <v>4.3099999999999996</v>
      </c>
      <c r="P709">
        <v>8</v>
      </c>
      <c r="Q709">
        <v>4</v>
      </c>
      <c r="R709">
        <v>2</v>
      </c>
      <c r="S709">
        <v>8</v>
      </c>
      <c r="T709" t="s">
        <v>34</v>
      </c>
      <c r="U709" t="s">
        <v>34</v>
      </c>
      <c r="V709" t="s">
        <v>59</v>
      </c>
      <c r="W709" t="s">
        <v>33</v>
      </c>
      <c r="X709" t="s">
        <v>52</v>
      </c>
      <c r="Z709" t="str">
        <f>IF(Table1[[#This Row],[Age]]&lt;30,"20-29",IF(Table1[[#This Row],[Age]]&lt;40,"30-39",IF(Table1[[#This Row],[Age]]&lt;50,"40-49","50+")))</f>
        <v>40-49</v>
      </c>
      <c r="AA709" t="str">
        <f>IF(Table1[[#This Row],[Salary]]&lt;20000000,"low",IF(Table1[[#This Row],[Salary]]&lt;40000000,"medium","high"))</f>
        <v>high</v>
      </c>
      <c r="AB709">
        <f>YEAR(Table1[[#This Row],[Hire Date]])</f>
        <v>2016</v>
      </c>
      <c r="AC709" t="str">
        <f>TEXT(Table1[[#This Row],[Hire Date]],"mmmm")</f>
        <v>ژانويه</v>
      </c>
      <c r="AD709" t="str">
        <f>IF(Table1[[#This Row],[Resigned]]="yes","former","active")</f>
        <v>active</v>
      </c>
    </row>
    <row r="710" spans="1:30" x14ac:dyDescent="0.3">
      <c r="A710" t="s">
        <v>1485</v>
      </c>
      <c r="B710" t="s">
        <v>1486</v>
      </c>
      <c r="C710" t="s">
        <v>39</v>
      </c>
      <c r="D710">
        <v>36</v>
      </c>
      <c r="E710" t="s">
        <v>40</v>
      </c>
      <c r="F710" t="s">
        <v>48</v>
      </c>
      <c r="G710" t="s">
        <v>30</v>
      </c>
      <c r="H710" t="s">
        <v>42</v>
      </c>
      <c r="I710" t="s">
        <v>32</v>
      </c>
      <c r="J710" s="1">
        <v>44472</v>
      </c>
      <c r="K710">
        <v>5</v>
      </c>
      <c r="L710">
        <v>20733136</v>
      </c>
      <c r="M710">
        <v>1646616</v>
      </c>
      <c r="N710" t="s">
        <v>33</v>
      </c>
      <c r="O710">
        <v>2.64</v>
      </c>
      <c r="P710">
        <v>42</v>
      </c>
      <c r="Q710">
        <v>3</v>
      </c>
      <c r="R710">
        <v>3</v>
      </c>
      <c r="S710">
        <v>2</v>
      </c>
      <c r="T710" t="s">
        <v>33</v>
      </c>
      <c r="U710" t="s">
        <v>34</v>
      </c>
      <c r="V710" t="s">
        <v>59</v>
      </c>
      <c r="W710" t="s">
        <v>34</v>
      </c>
      <c r="X710" t="s">
        <v>36</v>
      </c>
      <c r="Z710" t="str">
        <f>IF(Table1[[#This Row],[Age]]&lt;30,"20-29",IF(Table1[[#This Row],[Age]]&lt;40,"30-39",IF(Table1[[#This Row],[Age]]&lt;50,"40-49","50+")))</f>
        <v>30-39</v>
      </c>
      <c r="AA710" t="str">
        <f>IF(Table1[[#This Row],[Salary]]&lt;20000000,"low",IF(Table1[[#This Row],[Salary]]&lt;40000000,"medium","high"))</f>
        <v>medium</v>
      </c>
      <c r="AB710">
        <f>YEAR(Table1[[#This Row],[Hire Date]])</f>
        <v>2021</v>
      </c>
      <c r="AC710" t="str">
        <f>TEXT(Table1[[#This Row],[Hire Date]],"mmmm")</f>
        <v>اُكتبر</v>
      </c>
      <c r="AD710" t="str">
        <f>IF(Table1[[#This Row],[Resigned]]="yes","former","active")</f>
        <v>active</v>
      </c>
    </row>
    <row r="711" spans="1:30" x14ac:dyDescent="0.3">
      <c r="A711" t="s">
        <v>1487</v>
      </c>
      <c r="B711" t="s">
        <v>1488</v>
      </c>
      <c r="C711" t="s">
        <v>27</v>
      </c>
      <c r="D711">
        <v>43</v>
      </c>
      <c r="E711" t="s">
        <v>56</v>
      </c>
      <c r="F711" t="s">
        <v>57</v>
      </c>
      <c r="G711" t="s">
        <v>49</v>
      </c>
      <c r="H711" t="s">
        <v>42</v>
      </c>
      <c r="I711" t="s">
        <v>81</v>
      </c>
      <c r="J711" s="1">
        <v>43694</v>
      </c>
      <c r="K711">
        <v>7</v>
      </c>
      <c r="L711">
        <v>39016356</v>
      </c>
      <c r="M711">
        <v>2943196</v>
      </c>
      <c r="N711" t="s">
        <v>33</v>
      </c>
      <c r="O711">
        <v>3.06</v>
      </c>
      <c r="P711">
        <v>62</v>
      </c>
      <c r="Q711">
        <v>1</v>
      </c>
      <c r="R711">
        <v>5</v>
      </c>
      <c r="S711">
        <v>2</v>
      </c>
      <c r="T711" t="s">
        <v>34</v>
      </c>
      <c r="U711" t="s">
        <v>33</v>
      </c>
      <c r="V711" t="s">
        <v>70</v>
      </c>
      <c r="W711" t="s">
        <v>33</v>
      </c>
      <c r="X711" t="s">
        <v>52</v>
      </c>
      <c r="Y711" t="s">
        <v>162</v>
      </c>
      <c r="Z711" t="str">
        <f>IF(Table1[[#This Row],[Age]]&lt;30,"20-29",IF(Table1[[#This Row],[Age]]&lt;40,"30-39",IF(Table1[[#This Row],[Age]]&lt;50,"40-49","50+")))</f>
        <v>40-49</v>
      </c>
      <c r="AA711" t="str">
        <f>IF(Table1[[#This Row],[Salary]]&lt;20000000,"low",IF(Table1[[#This Row],[Salary]]&lt;40000000,"medium","high"))</f>
        <v>medium</v>
      </c>
      <c r="AB711">
        <f>YEAR(Table1[[#This Row],[Hire Date]])</f>
        <v>2019</v>
      </c>
      <c r="AC711" t="str">
        <f>TEXT(Table1[[#This Row],[Hire Date]],"mmmm")</f>
        <v>اوت</v>
      </c>
      <c r="AD711" t="str">
        <f>IF(Table1[[#This Row],[Resigned]]="yes","former","active")</f>
        <v>former</v>
      </c>
    </row>
    <row r="712" spans="1:30" x14ac:dyDescent="0.3">
      <c r="A712" t="s">
        <v>1489</v>
      </c>
      <c r="B712" t="s">
        <v>1490</v>
      </c>
      <c r="C712" t="s">
        <v>39</v>
      </c>
      <c r="D712">
        <v>36</v>
      </c>
      <c r="E712" t="s">
        <v>110</v>
      </c>
      <c r="F712" t="s">
        <v>111</v>
      </c>
      <c r="G712" t="s">
        <v>58</v>
      </c>
      <c r="H712" t="s">
        <v>42</v>
      </c>
      <c r="I712" t="s">
        <v>65</v>
      </c>
      <c r="J712" s="1">
        <v>44404</v>
      </c>
      <c r="K712">
        <v>5</v>
      </c>
      <c r="L712">
        <v>43392809</v>
      </c>
      <c r="M712">
        <v>658530</v>
      </c>
      <c r="N712" t="s">
        <v>34</v>
      </c>
      <c r="O712">
        <v>3.32</v>
      </c>
      <c r="P712">
        <v>56</v>
      </c>
      <c r="Q712">
        <v>3</v>
      </c>
      <c r="R712">
        <v>4</v>
      </c>
      <c r="S712">
        <v>14</v>
      </c>
      <c r="T712" t="s">
        <v>34</v>
      </c>
      <c r="U712" t="s">
        <v>34</v>
      </c>
      <c r="V712" t="s">
        <v>35</v>
      </c>
      <c r="W712" t="s">
        <v>34</v>
      </c>
      <c r="X712" t="s">
        <v>36</v>
      </c>
      <c r="Z712" t="str">
        <f>IF(Table1[[#This Row],[Age]]&lt;30,"20-29",IF(Table1[[#This Row],[Age]]&lt;40,"30-39",IF(Table1[[#This Row],[Age]]&lt;50,"40-49","50+")))</f>
        <v>30-39</v>
      </c>
      <c r="AA712" t="str">
        <f>IF(Table1[[#This Row],[Salary]]&lt;20000000,"low",IF(Table1[[#This Row],[Salary]]&lt;40000000,"medium","high"))</f>
        <v>high</v>
      </c>
      <c r="AB712">
        <f>YEAR(Table1[[#This Row],[Hire Date]])</f>
        <v>2021</v>
      </c>
      <c r="AC712" t="str">
        <f>TEXT(Table1[[#This Row],[Hire Date]],"mmmm")</f>
        <v>ژوئيه</v>
      </c>
      <c r="AD712" t="str">
        <f>IF(Table1[[#This Row],[Resigned]]="yes","former","active")</f>
        <v>active</v>
      </c>
    </row>
    <row r="713" spans="1:30" x14ac:dyDescent="0.3">
      <c r="A713" t="s">
        <v>1491</v>
      </c>
      <c r="B713" t="s">
        <v>1492</v>
      </c>
      <c r="C713" t="s">
        <v>39</v>
      </c>
      <c r="D713">
        <v>48</v>
      </c>
      <c r="E713" t="s">
        <v>40</v>
      </c>
      <c r="F713" t="s">
        <v>41</v>
      </c>
      <c r="G713" t="s">
        <v>58</v>
      </c>
      <c r="H713" t="s">
        <v>42</v>
      </c>
      <c r="I713" t="s">
        <v>50</v>
      </c>
      <c r="J713" s="1">
        <v>43507</v>
      </c>
      <c r="K713">
        <v>7</v>
      </c>
      <c r="L713">
        <v>51261073</v>
      </c>
      <c r="M713">
        <v>5471642</v>
      </c>
      <c r="N713" t="s">
        <v>34</v>
      </c>
      <c r="O713">
        <v>4.67</v>
      </c>
      <c r="P713">
        <v>46</v>
      </c>
      <c r="Q713">
        <v>2</v>
      </c>
      <c r="R713">
        <v>2</v>
      </c>
      <c r="S713">
        <v>13</v>
      </c>
      <c r="T713" t="s">
        <v>33</v>
      </c>
      <c r="U713" t="s">
        <v>34</v>
      </c>
      <c r="V713" t="s">
        <v>59</v>
      </c>
      <c r="W713" t="s">
        <v>34</v>
      </c>
      <c r="X713" t="s">
        <v>45</v>
      </c>
      <c r="Z713" t="str">
        <f>IF(Table1[[#This Row],[Age]]&lt;30,"20-29",IF(Table1[[#This Row],[Age]]&lt;40,"30-39",IF(Table1[[#This Row],[Age]]&lt;50,"40-49","50+")))</f>
        <v>40-49</v>
      </c>
      <c r="AA713" t="str">
        <f>IF(Table1[[#This Row],[Salary]]&lt;20000000,"low",IF(Table1[[#This Row],[Salary]]&lt;40000000,"medium","high"))</f>
        <v>high</v>
      </c>
      <c r="AB713">
        <f>YEAR(Table1[[#This Row],[Hire Date]])</f>
        <v>2019</v>
      </c>
      <c r="AC713" t="str">
        <f>TEXT(Table1[[#This Row],[Hire Date]],"mmmm")</f>
        <v>فوريه</v>
      </c>
      <c r="AD713" t="str">
        <f>IF(Table1[[#This Row],[Resigned]]="yes","former","active")</f>
        <v>active</v>
      </c>
    </row>
    <row r="714" spans="1:30" x14ac:dyDescent="0.3">
      <c r="A714" t="s">
        <v>1493</v>
      </c>
      <c r="B714" t="s">
        <v>1494</v>
      </c>
      <c r="C714" t="s">
        <v>39</v>
      </c>
      <c r="D714">
        <v>26</v>
      </c>
      <c r="E714" t="s">
        <v>56</v>
      </c>
      <c r="F714" t="s">
        <v>84</v>
      </c>
      <c r="G714" t="s">
        <v>49</v>
      </c>
      <c r="H714" t="s">
        <v>42</v>
      </c>
      <c r="I714" t="s">
        <v>43</v>
      </c>
      <c r="J714" s="1">
        <v>44733</v>
      </c>
      <c r="K714">
        <v>4</v>
      </c>
      <c r="L714">
        <v>54388190</v>
      </c>
      <c r="M714">
        <v>7428271</v>
      </c>
      <c r="N714" t="s">
        <v>33</v>
      </c>
      <c r="O714">
        <v>3.39</v>
      </c>
      <c r="P714">
        <v>12</v>
      </c>
      <c r="Q714">
        <v>3</v>
      </c>
      <c r="R714">
        <v>2</v>
      </c>
      <c r="S714">
        <v>5</v>
      </c>
      <c r="T714" t="s">
        <v>34</v>
      </c>
      <c r="U714" t="s">
        <v>34</v>
      </c>
      <c r="V714" t="s">
        <v>35</v>
      </c>
      <c r="W714" t="s">
        <v>33</v>
      </c>
      <c r="X714" t="s">
        <v>52</v>
      </c>
      <c r="Z714" t="str">
        <f>IF(Table1[[#This Row],[Age]]&lt;30,"20-29",IF(Table1[[#This Row],[Age]]&lt;40,"30-39",IF(Table1[[#This Row],[Age]]&lt;50,"40-49","50+")))</f>
        <v>20-29</v>
      </c>
      <c r="AA714" t="str">
        <f>IF(Table1[[#This Row],[Salary]]&lt;20000000,"low",IF(Table1[[#This Row],[Salary]]&lt;40000000,"medium","high"))</f>
        <v>high</v>
      </c>
      <c r="AB714">
        <f>YEAR(Table1[[#This Row],[Hire Date]])</f>
        <v>2022</v>
      </c>
      <c r="AC714" t="str">
        <f>TEXT(Table1[[#This Row],[Hire Date]],"mmmm")</f>
        <v>ژوئن</v>
      </c>
      <c r="AD714" t="str">
        <f>IF(Table1[[#This Row],[Resigned]]="yes","former","active")</f>
        <v>active</v>
      </c>
    </row>
    <row r="715" spans="1:30" x14ac:dyDescent="0.3">
      <c r="A715" t="s">
        <v>1495</v>
      </c>
      <c r="B715" t="s">
        <v>1496</v>
      </c>
      <c r="C715" t="s">
        <v>39</v>
      </c>
      <c r="D715">
        <v>40</v>
      </c>
      <c r="E715" t="s">
        <v>28</v>
      </c>
      <c r="F715" t="s">
        <v>80</v>
      </c>
      <c r="G715" t="s">
        <v>49</v>
      </c>
      <c r="H715" t="s">
        <v>31</v>
      </c>
      <c r="I715" t="s">
        <v>65</v>
      </c>
      <c r="J715" s="1">
        <v>45654</v>
      </c>
      <c r="K715">
        <v>2</v>
      </c>
      <c r="L715">
        <v>21093693</v>
      </c>
      <c r="M715">
        <v>1781746</v>
      </c>
      <c r="N715" t="s">
        <v>33</v>
      </c>
      <c r="O715">
        <v>3.45</v>
      </c>
      <c r="P715">
        <v>11</v>
      </c>
      <c r="Q715">
        <v>5</v>
      </c>
      <c r="R715">
        <v>5</v>
      </c>
      <c r="S715">
        <v>3</v>
      </c>
      <c r="T715" t="s">
        <v>33</v>
      </c>
      <c r="U715" t="s">
        <v>34</v>
      </c>
      <c r="V715" t="s">
        <v>35</v>
      </c>
      <c r="W715" t="s">
        <v>34</v>
      </c>
      <c r="X715" t="s">
        <v>52</v>
      </c>
      <c r="Z715" t="str">
        <f>IF(Table1[[#This Row],[Age]]&lt;30,"20-29",IF(Table1[[#This Row],[Age]]&lt;40,"30-39",IF(Table1[[#This Row],[Age]]&lt;50,"40-49","50+")))</f>
        <v>40-49</v>
      </c>
      <c r="AA715" t="str">
        <f>IF(Table1[[#This Row],[Salary]]&lt;20000000,"low",IF(Table1[[#This Row],[Salary]]&lt;40000000,"medium","high"))</f>
        <v>medium</v>
      </c>
      <c r="AB715">
        <f>YEAR(Table1[[#This Row],[Hire Date]])</f>
        <v>2024</v>
      </c>
      <c r="AC715" t="str">
        <f>TEXT(Table1[[#This Row],[Hire Date]],"mmmm")</f>
        <v>دسامبر</v>
      </c>
      <c r="AD715" t="str">
        <f>IF(Table1[[#This Row],[Resigned]]="yes","former","active")</f>
        <v>active</v>
      </c>
    </row>
    <row r="716" spans="1:30" x14ac:dyDescent="0.3">
      <c r="A716" t="s">
        <v>1497</v>
      </c>
      <c r="B716" t="s">
        <v>1498</v>
      </c>
      <c r="C716" t="s">
        <v>27</v>
      </c>
      <c r="D716">
        <v>54</v>
      </c>
      <c r="E716" t="s">
        <v>110</v>
      </c>
      <c r="F716" t="s">
        <v>120</v>
      </c>
      <c r="G716" t="s">
        <v>58</v>
      </c>
      <c r="H716" t="s">
        <v>31</v>
      </c>
      <c r="I716" t="s">
        <v>65</v>
      </c>
      <c r="J716" s="1">
        <v>44529</v>
      </c>
      <c r="K716">
        <v>5</v>
      </c>
      <c r="L716">
        <v>16413579</v>
      </c>
      <c r="M716">
        <v>6530432</v>
      </c>
      <c r="N716" t="s">
        <v>34</v>
      </c>
      <c r="O716">
        <v>4.88</v>
      </c>
      <c r="P716">
        <v>67</v>
      </c>
      <c r="Q716">
        <v>3</v>
      </c>
      <c r="R716">
        <v>4</v>
      </c>
      <c r="S716">
        <v>5</v>
      </c>
      <c r="T716" t="s">
        <v>33</v>
      </c>
      <c r="U716" t="s">
        <v>33</v>
      </c>
      <c r="V716" t="s">
        <v>70</v>
      </c>
      <c r="W716" t="s">
        <v>33</v>
      </c>
      <c r="X716" t="s">
        <v>52</v>
      </c>
      <c r="Y716" t="s">
        <v>75</v>
      </c>
      <c r="Z716" t="str">
        <f>IF(Table1[[#This Row],[Age]]&lt;30,"20-29",IF(Table1[[#This Row],[Age]]&lt;40,"30-39",IF(Table1[[#This Row],[Age]]&lt;50,"40-49","50+")))</f>
        <v>50+</v>
      </c>
      <c r="AA716" t="str">
        <f>IF(Table1[[#This Row],[Salary]]&lt;20000000,"low",IF(Table1[[#This Row],[Salary]]&lt;40000000,"medium","high"))</f>
        <v>low</v>
      </c>
      <c r="AB716">
        <f>YEAR(Table1[[#This Row],[Hire Date]])</f>
        <v>2021</v>
      </c>
      <c r="AC716" t="str">
        <f>TEXT(Table1[[#This Row],[Hire Date]],"mmmm")</f>
        <v>نوامبر</v>
      </c>
      <c r="AD716" t="str">
        <f>IF(Table1[[#This Row],[Resigned]]="yes","former","active")</f>
        <v>former</v>
      </c>
    </row>
    <row r="717" spans="1:30" x14ac:dyDescent="0.3">
      <c r="A717" t="s">
        <v>1499</v>
      </c>
      <c r="B717" t="s">
        <v>1500</v>
      </c>
      <c r="C717" t="s">
        <v>27</v>
      </c>
      <c r="D717">
        <v>41</v>
      </c>
      <c r="E717" t="s">
        <v>63</v>
      </c>
      <c r="F717" t="s">
        <v>64</v>
      </c>
      <c r="G717" t="s">
        <v>30</v>
      </c>
      <c r="H717" t="s">
        <v>42</v>
      </c>
      <c r="I717" t="s">
        <v>50</v>
      </c>
      <c r="J717" s="1">
        <v>43857</v>
      </c>
      <c r="K717">
        <v>6</v>
      </c>
      <c r="L717">
        <v>31310303</v>
      </c>
      <c r="M717">
        <v>6152928</v>
      </c>
      <c r="N717" t="s">
        <v>34</v>
      </c>
      <c r="O717">
        <v>3.07</v>
      </c>
      <c r="P717">
        <v>18</v>
      </c>
      <c r="Q717">
        <v>1</v>
      </c>
      <c r="R717">
        <v>4</v>
      </c>
      <c r="S717">
        <v>12</v>
      </c>
      <c r="T717" t="s">
        <v>33</v>
      </c>
      <c r="U717" t="s">
        <v>33</v>
      </c>
      <c r="V717" t="s">
        <v>44</v>
      </c>
      <c r="W717" t="s">
        <v>34</v>
      </c>
      <c r="X717" t="s">
        <v>52</v>
      </c>
      <c r="Y717" t="s">
        <v>53</v>
      </c>
      <c r="Z717" t="str">
        <f>IF(Table1[[#This Row],[Age]]&lt;30,"20-29",IF(Table1[[#This Row],[Age]]&lt;40,"30-39",IF(Table1[[#This Row],[Age]]&lt;50,"40-49","50+")))</f>
        <v>40-49</v>
      </c>
      <c r="AA717" t="str">
        <f>IF(Table1[[#This Row],[Salary]]&lt;20000000,"low",IF(Table1[[#This Row],[Salary]]&lt;40000000,"medium","high"))</f>
        <v>medium</v>
      </c>
      <c r="AB717">
        <f>YEAR(Table1[[#This Row],[Hire Date]])</f>
        <v>2020</v>
      </c>
      <c r="AC717" t="str">
        <f>TEXT(Table1[[#This Row],[Hire Date]],"mmmm")</f>
        <v>ژانويه</v>
      </c>
      <c r="AD717" t="str">
        <f>IF(Table1[[#This Row],[Resigned]]="yes","former","active")</f>
        <v>former</v>
      </c>
    </row>
    <row r="718" spans="1:30" x14ac:dyDescent="0.3">
      <c r="A718" t="s">
        <v>1501</v>
      </c>
      <c r="B718" t="s">
        <v>1502</v>
      </c>
      <c r="C718" t="s">
        <v>27</v>
      </c>
      <c r="D718">
        <v>26</v>
      </c>
      <c r="E718" t="s">
        <v>63</v>
      </c>
      <c r="F718" t="s">
        <v>93</v>
      </c>
      <c r="G718" t="s">
        <v>49</v>
      </c>
      <c r="H718" t="s">
        <v>31</v>
      </c>
      <c r="I718" t="s">
        <v>43</v>
      </c>
      <c r="J718" s="1">
        <v>43441</v>
      </c>
      <c r="K718">
        <v>8</v>
      </c>
      <c r="L718">
        <v>53869236</v>
      </c>
      <c r="M718">
        <v>8341131</v>
      </c>
      <c r="N718" t="s">
        <v>34</v>
      </c>
      <c r="O718">
        <v>4.29</v>
      </c>
      <c r="P718">
        <v>8</v>
      </c>
      <c r="Q718">
        <v>5</v>
      </c>
      <c r="R718">
        <v>4</v>
      </c>
      <c r="S718">
        <v>13</v>
      </c>
      <c r="T718" t="s">
        <v>34</v>
      </c>
      <c r="U718" t="s">
        <v>34</v>
      </c>
      <c r="V718" t="s">
        <v>35</v>
      </c>
      <c r="W718" t="s">
        <v>34</v>
      </c>
      <c r="X718" t="s">
        <v>45</v>
      </c>
      <c r="Z718" t="str">
        <f>IF(Table1[[#This Row],[Age]]&lt;30,"20-29",IF(Table1[[#This Row],[Age]]&lt;40,"30-39",IF(Table1[[#This Row],[Age]]&lt;50,"40-49","50+")))</f>
        <v>20-29</v>
      </c>
      <c r="AA718" t="str">
        <f>IF(Table1[[#This Row],[Salary]]&lt;20000000,"low",IF(Table1[[#This Row],[Salary]]&lt;40000000,"medium","high"))</f>
        <v>high</v>
      </c>
      <c r="AB718">
        <f>YEAR(Table1[[#This Row],[Hire Date]])</f>
        <v>2018</v>
      </c>
      <c r="AC718" t="str">
        <f>TEXT(Table1[[#This Row],[Hire Date]],"mmmm")</f>
        <v>دسامبر</v>
      </c>
      <c r="AD718" t="str">
        <f>IF(Table1[[#This Row],[Resigned]]="yes","former","active")</f>
        <v>active</v>
      </c>
    </row>
    <row r="719" spans="1:30" x14ac:dyDescent="0.3">
      <c r="A719" t="s">
        <v>1503</v>
      </c>
      <c r="B719" t="s">
        <v>1504</v>
      </c>
      <c r="C719" t="s">
        <v>27</v>
      </c>
      <c r="D719">
        <v>50</v>
      </c>
      <c r="E719" t="s">
        <v>28</v>
      </c>
      <c r="F719" t="s">
        <v>80</v>
      </c>
      <c r="G719" t="s">
        <v>49</v>
      </c>
      <c r="H719" t="s">
        <v>31</v>
      </c>
      <c r="I719" t="s">
        <v>43</v>
      </c>
      <c r="J719" s="1">
        <v>44716</v>
      </c>
      <c r="K719">
        <v>4</v>
      </c>
      <c r="L719">
        <v>51121875</v>
      </c>
      <c r="M719">
        <v>5813177</v>
      </c>
      <c r="N719" t="s">
        <v>33</v>
      </c>
      <c r="O719">
        <v>4.55</v>
      </c>
      <c r="P719">
        <v>28</v>
      </c>
      <c r="Q719">
        <v>1</v>
      </c>
      <c r="R719">
        <v>4</v>
      </c>
      <c r="S719">
        <v>14</v>
      </c>
      <c r="T719" t="s">
        <v>34</v>
      </c>
      <c r="U719" t="s">
        <v>34</v>
      </c>
      <c r="V719" t="s">
        <v>35</v>
      </c>
      <c r="W719" t="s">
        <v>33</v>
      </c>
      <c r="X719" t="s">
        <v>45</v>
      </c>
      <c r="Z719" t="str">
        <f>IF(Table1[[#This Row],[Age]]&lt;30,"20-29",IF(Table1[[#This Row],[Age]]&lt;40,"30-39",IF(Table1[[#This Row],[Age]]&lt;50,"40-49","50+")))</f>
        <v>50+</v>
      </c>
      <c r="AA719" t="str">
        <f>IF(Table1[[#This Row],[Salary]]&lt;20000000,"low",IF(Table1[[#This Row],[Salary]]&lt;40000000,"medium","high"))</f>
        <v>high</v>
      </c>
      <c r="AB719">
        <f>YEAR(Table1[[#This Row],[Hire Date]])</f>
        <v>2022</v>
      </c>
      <c r="AC719" t="str">
        <f>TEXT(Table1[[#This Row],[Hire Date]],"mmmm")</f>
        <v>ژوئن</v>
      </c>
      <c r="AD719" t="str">
        <f>IF(Table1[[#This Row],[Resigned]]="yes","former","active")</f>
        <v>active</v>
      </c>
    </row>
    <row r="720" spans="1:30" x14ac:dyDescent="0.3">
      <c r="A720" t="s">
        <v>1505</v>
      </c>
      <c r="B720" t="s">
        <v>1506</v>
      </c>
      <c r="C720" t="s">
        <v>39</v>
      </c>
      <c r="D720">
        <v>46</v>
      </c>
      <c r="E720" t="s">
        <v>28</v>
      </c>
      <c r="F720" t="s">
        <v>29</v>
      </c>
      <c r="G720" t="s">
        <v>30</v>
      </c>
      <c r="H720" t="s">
        <v>42</v>
      </c>
      <c r="I720" t="s">
        <v>32</v>
      </c>
      <c r="J720" s="1">
        <v>42582</v>
      </c>
      <c r="K720">
        <v>10</v>
      </c>
      <c r="L720">
        <v>47139777</v>
      </c>
      <c r="M720">
        <v>1745585</v>
      </c>
      <c r="N720" t="s">
        <v>34</v>
      </c>
      <c r="O720">
        <v>4.75</v>
      </c>
      <c r="P720">
        <v>13</v>
      </c>
      <c r="Q720">
        <v>5</v>
      </c>
      <c r="R720">
        <v>4</v>
      </c>
      <c r="S720">
        <v>1</v>
      </c>
      <c r="T720" t="s">
        <v>33</v>
      </c>
      <c r="U720" t="s">
        <v>34</v>
      </c>
      <c r="V720" t="s">
        <v>70</v>
      </c>
      <c r="W720" t="s">
        <v>34</v>
      </c>
      <c r="X720" t="s">
        <v>36</v>
      </c>
      <c r="Z720" t="str">
        <f>IF(Table1[[#This Row],[Age]]&lt;30,"20-29",IF(Table1[[#This Row],[Age]]&lt;40,"30-39",IF(Table1[[#This Row],[Age]]&lt;50,"40-49","50+")))</f>
        <v>40-49</v>
      </c>
      <c r="AA720" t="str">
        <f>IF(Table1[[#This Row],[Salary]]&lt;20000000,"low",IF(Table1[[#This Row],[Salary]]&lt;40000000,"medium","high"))</f>
        <v>high</v>
      </c>
      <c r="AB720">
        <f>YEAR(Table1[[#This Row],[Hire Date]])</f>
        <v>2016</v>
      </c>
      <c r="AC720" t="str">
        <f>TEXT(Table1[[#This Row],[Hire Date]],"mmmm")</f>
        <v>ژوئيه</v>
      </c>
      <c r="AD720" t="str">
        <f>IF(Table1[[#This Row],[Resigned]]="yes","former","active")</f>
        <v>active</v>
      </c>
    </row>
    <row r="721" spans="1:30" x14ac:dyDescent="0.3">
      <c r="A721" t="s">
        <v>1507</v>
      </c>
      <c r="B721" t="s">
        <v>1508</v>
      </c>
      <c r="C721" t="s">
        <v>27</v>
      </c>
      <c r="D721">
        <v>23</v>
      </c>
      <c r="E721" t="s">
        <v>56</v>
      </c>
      <c r="F721" t="s">
        <v>84</v>
      </c>
      <c r="G721" t="s">
        <v>58</v>
      </c>
      <c r="H721" t="s">
        <v>42</v>
      </c>
      <c r="I721" t="s">
        <v>43</v>
      </c>
      <c r="J721" s="1">
        <v>44632</v>
      </c>
      <c r="K721">
        <v>4</v>
      </c>
      <c r="L721">
        <v>44760822</v>
      </c>
      <c r="M721">
        <v>345833</v>
      </c>
      <c r="N721" t="s">
        <v>33</v>
      </c>
      <c r="O721">
        <v>2.82</v>
      </c>
      <c r="P721">
        <v>54</v>
      </c>
      <c r="Q721">
        <v>5</v>
      </c>
      <c r="R721">
        <v>4</v>
      </c>
      <c r="S721">
        <v>6</v>
      </c>
      <c r="T721" t="s">
        <v>34</v>
      </c>
      <c r="U721" t="s">
        <v>34</v>
      </c>
      <c r="V721" t="s">
        <v>70</v>
      </c>
      <c r="W721" t="s">
        <v>33</v>
      </c>
      <c r="X721" t="s">
        <v>45</v>
      </c>
      <c r="Z721" t="str">
        <f>IF(Table1[[#This Row],[Age]]&lt;30,"20-29",IF(Table1[[#This Row],[Age]]&lt;40,"30-39",IF(Table1[[#This Row],[Age]]&lt;50,"40-49","50+")))</f>
        <v>20-29</v>
      </c>
      <c r="AA721" t="str">
        <f>IF(Table1[[#This Row],[Salary]]&lt;20000000,"low",IF(Table1[[#This Row],[Salary]]&lt;40000000,"medium","high"))</f>
        <v>high</v>
      </c>
      <c r="AB721">
        <f>YEAR(Table1[[#This Row],[Hire Date]])</f>
        <v>2022</v>
      </c>
      <c r="AC721" t="str">
        <f>TEXT(Table1[[#This Row],[Hire Date]],"mmmm")</f>
        <v>مارس</v>
      </c>
      <c r="AD721" t="str">
        <f>IF(Table1[[#This Row],[Resigned]]="yes","former","active")</f>
        <v>active</v>
      </c>
    </row>
    <row r="722" spans="1:30" x14ac:dyDescent="0.3">
      <c r="A722" t="s">
        <v>1509</v>
      </c>
      <c r="B722" t="s">
        <v>1510</v>
      </c>
      <c r="C722" t="s">
        <v>27</v>
      </c>
      <c r="D722">
        <v>26</v>
      </c>
      <c r="E722" t="s">
        <v>56</v>
      </c>
      <c r="F722" t="s">
        <v>57</v>
      </c>
      <c r="G722" t="s">
        <v>58</v>
      </c>
      <c r="H722" t="s">
        <v>31</v>
      </c>
      <c r="I722" t="s">
        <v>65</v>
      </c>
      <c r="J722" s="1">
        <v>45017</v>
      </c>
      <c r="K722">
        <v>3</v>
      </c>
      <c r="L722">
        <v>50572990</v>
      </c>
      <c r="M722">
        <v>428492</v>
      </c>
      <c r="N722" t="s">
        <v>33</v>
      </c>
      <c r="O722">
        <v>2.81</v>
      </c>
      <c r="P722">
        <v>26</v>
      </c>
      <c r="Q722">
        <v>4</v>
      </c>
      <c r="R722">
        <v>1</v>
      </c>
      <c r="S722">
        <v>12</v>
      </c>
      <c r="T722" t="s">
        <v>34</v>
      </c>
      <c r="U722" t="s">
        <v>34</v>
      </c>
      <c r="V722" t="s">
        <v>51</v>
      </c>
      <c r="W722" t="s">
        <v>34</v>
      </c>
      <c r="X722" t="s">
        <v>45</v>
      </c>
      <c r="Z722" t="str">
        <f>IF(Table1[[#This Row],[Age]]&lt;30,"20-29",IF(Table1[[#This Row],[Age]]&lt;40,"30-39",IF(Table1[[#This Row],[Age]]&lt;50,"40-49","50+")))</f>
        <v>20-29</v>
      </c>
      <c r="AA722" t="str">
        <f>IF(Table1[[#This Row],[Salary]]&lt;20000000,"low",IF(Table1[[#This Row],[Salary]]&lt;40000000,"medium","high"))</f>
        <v>high</v>
      </c>
      <c r="AB722">
        <f>YEAR(Table1[[#This Row],[Hire Date]])</f>
        <v>2023</v>
      </c>
      <c r="AC722" t="str">
        <f>TEXT(Table1[[#This Row],[Hire Date]],"mmmm")</f>
        <v>آوريل</v>
      </c>
      <c r="AD722" t="str">
        <f>IF(Table1[[#This Row],[Resigned]]="yes","former","active")</f>
        <v>active</v>
      </c>
    </row>
    <row r="723" spans="1:30" x14ac:dyDescent="0.3">
      <c r="A723" t="s">
        <v>1511</v>
      </c>
      <c r="B723" t="s">
        <v>1512</v>
      </c>
      <c r="C723" t="s">
        <v>27</v>
      </c>
      <c r="D723">
        <v>32</v>
      </c>
      <c r="E723" t="s">
        <v>110</v>
      </c>
      <c r="F723" t="s">
        <v>111</v>
      </c>
      <c r="G723" t="s">
        <v>58</v>
      </c>
      <c r="H723" t="s">
        <v>42</v>
      </c>
      <c r="I723" t="s">
        <v>50</v>
      </c>
      <c r="J723" s="1">
        <v>42705</v>
      </c>
      <c r="K723">
        <v>10</v>
      </c>
      <c r="L723">
        <v>19313206</v>
      </c>
      <c r="M723">
        <v>3800781</v>
      </c>
      <c r="N723" t="s">
        <v>33</v>
      </c>
      <c r="O723">
        <v>3.26</v>
      </c>
      <c r="P723">
        <v>71</v>
      </c>
      <c r="Q723">
        <v>2</v>
      </c>
      <c r="R723">
        <v>1</v>
      </c>
      <c r="S723">
        <v>16</v>
      </c>
      <c r="T723" t="s">
        <v>34</v>
      </c>
      <c r="U723" t="s">
        <v>34</v>
      </c>
      <c r="V723" t="s">
        <v>35</v>
      </c>
      <c r="W723" t="s">
        <v>33</v>
      </c>
      <c r="X723" t="s">
        <v>52</v>
      </c>
      <c r="Z723" t="str">
        <f>IF(Table1[[#This Row],[Age]]&lt;30,"20-29",IF(Table1[[#This Row],[Age]]&lt;40,"30-39",IF(Table1[[#This Row],[Age]]&lt;50,"40-49","50+")))</f>
        <v>30-39</v>
      </c>
      <c r="AA723" t="str">
        <f>IF(Table1[[#This Row],[Salary]]&lt;20000000,"low",IF(Table1[[#This Row],[Salary]]&lt;40000000,"medium","high"))</f>
        <v>low</v>
      </c>
      <c r="AB723">
        <f>YEAR(Table1[[#This Row],[Hire Date]])</f>
        <v>2016</v>
      </c>
      <c r="AC723" t="str">
        <f>TEXT(Table1[[#This Row],[Hire Date]],"mmmm")</f>
        <v>دسامبر</v>
      </c>
      <c r="AD723" t="str">
        <f>IF(Table1[[#This Row],[Resigned]]="yes","former","active")</f>
        <v>active</v>
      </c>
    </row>
    <row r="724" spans="1:30" x14ac:dyDescent="0.3">
      <c r="A724" t="s">
        <v>1513</v>
      </c>
      <c r="B724" t="s">
        <v>1514</v>
      </c>
      <c r="C724" t="s">
        <v>27</v>
      </c>
      <c r="D724">
        <v>35</v>
      </c>
      <c r="E724" t="s">
        <v>56</v>
      </c>
      <c r="F724" t="s">
        <v>57</v>
      </c>
      <c r="G724" t="s">
        <v>49</v>
      </c>
      <c r="H724" t="s">
        <v>31</v>
      </c>
      <c r="I724" t="s">
        <v>32</v>
      </c>
      <c r="J724" s="1">
        <v>45440</v>
      </c>
      <c r="K724">
        <v>2</v>
      </c>
      <c r="L724">
        <v>43460613</v>
      </c>
      <c r="M724">
        <v>9318072</v>
      </c>
      <c r="N724" t="s">
        <v>34</v>
      </c>
      <c r="O724">
        <v>4.17</v>
      </c>
      <c r="P724">
        <v>27</v>
      </c>
      <c r="Q724">
        <v>1</v>
      </c>
      <c r="R724">
        <v>4</v>
      </c>
      <c r="S724">
        <v>18</v>
      </c>
      <c r="T724" t="s">
        <v>34</v>
      </c>
      <c r="U724" t="s">
        <v>33</v>
      </c>
      <c r="V724" t="s">
        <v>35</v>
      </c>
      <c r="W724" t="s">
        <v>33</v>
      </c>
      <c r="X724" t="s">
        <v>45</v>
      </c>
      <c r="Y724" t="s">
        <v>75</v>
      </c>
      <c r="Z724" t="str">
        <f>IF(Table1[[#This Row],[Age]]&lt;30,"20-29",IF(Table1[[#This Row],[Age]]&lt;40,"30-39",IF(Table1[[#This Row],[Age]]&lt;50,"40-49","50+")))</f>
        <v>30-39</v>
      </c>
      <c r="AA724" t="str">
        <f>IF(Table1[[#This Row],[Salary]]&lt;20000000,"low",IF(Table1[[#This Row],[Salary]]&lt;40000000,"medium","high"))</f>
        <v>high</v>
      </c>
      <c r="AB724">
        <f>YEAR(Table1[[#This Row],[Hire Date]])</f>
        <v>2024</v>
      </c>
      <c r="AC724" t="str">
        <f>TEXT(Table1[[#This Row],[Hire Date]],"mmmm")</f>
        <v>مه</v>
      </c>
      <c r="AD724" t="str">
        <f>IF(Table1[[#This Row],[Resigned]]="yes","former","active")</f>
        <v>former</v>
      </c>
    </row>
    <row r="725" spans="1:30" x14ac:dyDescent="0.3">
      <c r="A725" t="s">
        <v>1515</v>
      </c>
      <c r="B725" t="s">
        <v>1516</v>
      </c>
      <c r="C725" t="s">
        <v>27</v>
      </c>
      <c r="D725">
        <v>58</v>
      </c>
      <c r="E725" t="s">
        <v>110</v>
      </c>
      <c r="F725" t="s">
        <v>120</v>
      </c>
      <c r="G725" t="s">
        <v>30</v>
      </c>
      <c r="H725" t="s">
        <v>42</v>
      </c>
      <c r="I725" t="s">
        <v>81</v>
      </c>
      <c r="J725" s="1">
        <v>45607</v>
      </c>
      <c r="K725">
        <v>2</v>
      </c>
      <c r="L725">
        <v>31701934</v>
      </c>
      <c r="M725">
        <v>1145480</v>
      </c>
      <c r="N725" t="s">
        <v>33</v>
      </c>
      <c r="O725">
        <v>2.69</v>
      </c>
      <c r="P725">
        <v>19</v>
      </c>
      <c r="Q725">
        <v>5</v>
      </c>
      <c r="R725">
        <v>5</v>
      </c>
      <c r="S725">
        <v>6</v>
      </c>
      <c r="T725" t="s">
        <v>34</v>
      </c>
      <c r="U725" t="s">
        <v>34</v>
      </c>
      <c r="V725" t="s">
        <v>35</v>
      </c>
      <c r="W725" t="s">
        <v>34</v>
      </c>
      <c r="X725" t="s">
        <v>36</v>
      </c>
      <c r="Z725" t="str">
        <f>IF(Table1[[#This Row],[Age]]&lt;30,"20-29",IF(Table1[[#This Row],[Age]]&lt;40,"30-39",IF(Table1[[#This Row],[Age]]&lt;50,"40-49","50+")))</f>
        <v>50+</v>
      </c>
      <c r="AA725" t="str">
        <f>IF(Table1[[#This Row],[Salary]]&lt;20000000,"low",IF(Table1[[#This Row],[Salary]]&lt;40000000,"medium","high"))</f>
        <v>medium</v>
      </c>
      <c r="AB725">
        <f>YEAR(Table1[[#This Row],[Hire Date]])</f>
        <v>2024</v>
      </c>
      <c r="AC725" t="str">
        <f>TEXT(Table1[[#This Row],[Hire Date]],"mmmm")</f>
        <v>نوامبر</v>
      </c>
      <c r="AD725" t="str">
        <f>IF(Table1[[#This Row],[Resigned]]="yes","former","active")</f>
        <v>active</v>
      </c>
    </row>
    <row r="726" spans="1:30" x14ac:dyDescent="0.3">
      <c r="A726" t="s">
        <v>1517</v>
      </c>
      <c r="B726" t="s">
        <v>1518</v>
      </c>
      <c r="C726" t="s">
        <v>39</v>
      </c>
      <c r="D726">
        <v>27</v>
      </c>
      <c r="E726" t="s">
        <v>28</v>
      </c>
      <c r="F726" t="s">
        <v>29</v>
      </c>
      <c r="G726" t="s">
        <v>49</v>
      </c>
      <c r="H726" t="s">
        <v>31</v>
      </c>
      <c r="I726" t="s">
        <v>43</v>
      </c>
      <c r="J726" s="1">
        <v>43435</v>
      </c>
      <c r="K726">
        <v>8</v>
      </c>
      <c r="L726">
        <v>23961744</v>
      </c>
      <c r="M726">
        <v>6784861</v>
      </c>
      <c r="N726" t="s">
        <v>33</v>
      </c>
      <c r="O726">
        <v>4.42</v>
      </c>
      <c r="P726">
        <v>71</v>
      </c>
      <c r="Q726">
        <v>3</v>
      </c>
      <c r="R726">
        <v>1</v>
      </c>
      <c r="S726">
        <v>8</v>
      </c>
      <c r="T726" t="s">
        <v>34</v>
      </c>
      <c r="U726" t="s">
        <v>34</v>
      </c>
      <c r="V726" t="s">
        <v>59</v>
      </c>
      <c r="W726" t="s">
        <v>34</v>
      </c>
      <c r="X726" t="s">
        <v>45</v>
      </c>
      <c r="Z726" t="str">
        <f>IF(Table1[[#This Row],[Age]]&lt;30,"20-29",IF(Table1[[#This Row],[Age]]&lt;40,"30-39",IF(Table1[[#This Row],[Age]]&lt;50,"40-49","50+")))</f>
        <v>20-29</v>
      </c>
      <c r="AA726" t="str">
        <f>IF(Table1[[#This Row],[Salary]]&lt;20000000,"low",IF(Table1[[#This Row],[Salary]]&lt;40000000,"medium","high"))</f>
        <v>medium</v>
      </c>
      <c r="AB726">
        <f>YEAR(Table1[[#This Row],[Hire Date]])</f>
        <v>2018</v>
      </c>
      <c r="AC726" t="str">
        <f>TEXT(Table1[[#This Row],[Hire Date]],"mmmm")</f>
        <v>دسامبر</v>
      </c>
      <c r="AD726" t="str">
        <f>IF(Table1[[#This Row],[Resigned]]="yes","former","active")</f>
        <v>active</v>
      </c>
    </row>
    <row r="727" spans="1:30" x14ac:dyDescent="0.3">
      <c r="A727" t="s">
        <v>1519</v>
      </c>
      <c r="B727" t="s">
        <v>1520</v>
      </c>
      <c r="C727" t="s">
        <v>39</v>
      </c>
      <c r="D727">
        <v>24</v>
      </c>
      <c r="E727" t="s">
        <v>28</v>
      </c>
      <c r="F727" t="s">
        <v>29</v>
      </c>
      <c r="G727" t="s">
        <v>49</v>
      </c>
      <c r="H727" t="s">
        <v>42</v>
      </c>
      <c r="I727" t="s">
        <v>65</v>
      </c>
      <c r="J727" s="1">
        <v>42627</v>
      </c>
      <c r="K727">
        <v>10</v>
      </c>
      <c r="L727">
        <v>55022432</v>
      </c>
      <c r="M727">
        <v>1871486</v>
      </c>
      <c r="N727" t="s">
        <v>34</v>
      </c>
      <c r="O727">
        <v>3.22</v>
      </c>
      <c r="P727">
        <v>36</v>
      </c>
      <c r="Q727">
        <v>5</v>
      </c>
      <c r="R727">
        <v>3</v>
      </c>
      <c r="S727">
        <v>4</v>
      </c>
      <c r="T727" t="s">
        <v>33</v>
      </c>
      <c r="U727" t="s">
        <v>34</v>
      </c>
      <c r="V727" t="s">
        <v>70</v>
      </c>
      <c r="W727" t="s">
        <v>33</v>
      </c>
      <c r="X727" t="s">
        <v>36</v>
      </c>
      <c r="Z727" t="str">
        <f>IF(Table1[[#This Row],[Age]]&lt;30,"20-29",IF(Table1[[#This Row],[Age]]&lt;40,"30-39",IF(Table1[[#This Row],[Age]]&lt;50,"40-49","50+")))</f>
        <v>20-29</v>
      </c>
      <c r="AA727" t="str">
        <f>IF(Table1[[#This Row],[Salary]]&lt;20000000,"low",IF(Table1[[#This Row],[Salary]]&lt;40000000,"medium","high"))</f>
        <v>high</v>
      </c>
      <c r="AB727">
        <f>YEAR(Table1[[#This Row],[Hire Date]])</f>
        <v>2016</v>
      </c>
      <c r="AC727" t="str">
        <f>TEXT(Table1[[#This Row],[Hire Date]],"mmmm")</f>
        <v>سپتامبر</v>
      </c>
      <c r="AD727" t="str">
        <f>IF(Table1[[#This Row],[Resigned]]="yes","former","active")</f>
        <v>active</v>
      </c>
    </row>
    <row r="728" spans="1:30" x14ac:dyDescent="0.3">
      <c r="A728" t="s">
        <v>1521</v>
      </c>
      <c r="B728" t="s">
        <v>1522</v>
      </c>
      <c r="C728" t="s">
        <v>27</v>
      </c>
      <c r="D728">
        <v>55</v>
      </c>
      <c r="E728" t="s">
        <v>63</v>
      </c>
      <c r="F728" t="s">
        <v>93</v>
      </c>
      <c r="G728" t="s">
        <v>49</v>
      </c>
      <c r="H728" t="s">
        <v>31</v>
      </c>
      <c r="I728" t="s">
        <v>32</v>
      </c>
      <c r="J728" s="1">
        <v>45176</v>
      </c>
      <c r="K728">
        <v>3</v>
      </c>
      <c r="L728">
        <v>43097707</v>
      </c>
      <c r="M728">
        <v>4543655</v>
      </c>
      <c r="N728" t="s">
        <v>33</v>
      </c>
      <c r="O728">
        <v>4.62</v>
      </c>
      <c r="P728">
        <v>48</v>
      </c>
      <c r="Q728">
        <v>3</v>
      </c>
      <c r="R728">
        <v>3</v>
      </c>
      <c r="S728">
        <v>2</v>
      </c>
      <c r="T728" t="s">
        <v>34</v>
      </c>
      <c r="U728" t="s">
        <v>34</v>
      </c>
      <c r="V728" t="s">
        <v>44</v>
      </c>
      <c r="W728" t="s">
        <v>33</v>
      </c>
      <c r="X728" t="s">
        <v>45</v>
      </c>
      <c r="Z728" t="str">
        <f>IF(Table1[[#This Row],[Age]]&lt;30,"20-29",IF(Table1[[#This Row],[Age]]&lt;40,"30-39",IF(Table1[[#This Row],[Age]]&lt;50,"40-49","50+")))</f>
        <v>50+</v>
      </c>
      <c r="AA728" t="str">
        <f>IF(Table1[[#This Row],[Salary]]&lt;20000000,"low",IF(Table1[[#This Row],[Salary]]&lt;40000000,"medium","high"))</f>
        <v>high</v>
      </c>
      <c r="AB728">
        <f>YEAR(Table1[[#This Row],[Hire Date]])</f>
        <v>2023</v>
      </c>
      <c r="AC728" t="str">
        <f>TEXT(Table1[[#This Row],[Hire Date]],"mmmm")</f>
        <v>سپتامبر</v>
      </c>
      <c r="AD728" t="str">
        <f>IF(Table1[[#This Row],[Resigned]]="yes","former","active")</f>
        <v>active</v>
      </c>
    </row>
    <row r="729" spans="1:30" x14ac:dyDescent="0.3">
      <c r="A729" t="s">
        <v>1523</v>
      </c>
      <c r="B729" t="s">
        <v>1524</v>
      </c>
      <c r="C729" t="s">
        <v>39</v>
      </c>
      <c r="D729">
        <v>23</v>
      </c>
      <c r="E729" t="s">
        <v>110</v>
      </c>
      <c r="F729" t="s">
        <v>120</v>
      </c>
      <c r="G729" t="s">
        <v>30</v>
      </c>
      <c r="H729" t="s">
        <v>42</v>
      </c>
      <c r="I729" t="s">
        <v>65</v>
      </c>
      <c r="J729" s="1">
        <v>42744</v>
      </c>
      <c r="K729">
        <v>9</v>
      </c>
      <c r="L729">
        <v>13790072</v>
      </c>
      <c r="M729">
        <v>8810546</v>
      </c>
      <c r="N729" t="s">
        <v>34</v>
      </c>
      <c r="O729">
        <v>3.98</v>
      </c>
      <c r="P729">
        <v>49</v>
      </c>
      <c r="Q729">
        <v>2</v>
      </c>
      <c r="R729">
        <v>4</v>
      </c>
      <c r="S729">
        <v>3</v>
      </c>
      <c r="T729" t="s">
        <v>33</v>
      </c>
      <c r="U729" t="s">
        <v>34</v>
      </c>
      <c r="V729" t="s">
        <v>59</v>
      </c>
      <c r="W729" t="s">
        <v>33</v>
      </c>
      <c r="X729" t="s">
        <v>45</v>
      </c>
      <c r="Z729" t="str">
        <f>IF(Table1[[#This Row],[Age]]&lt;30,"20-29",IF(Table1[[#This Row],[Age]]&lt;40,"30-39",IF(Table1[[#This Row],[Age]]&lt;50,"40-49","50+")))</f>
        <v>20-29</v>
      </c>
      <c r="AA729" t="str">
        <f>IF(Table1[[#This Row],[Salary]]&lt;20000000,"low",IF(Table1[[#This Row],[Salary]]&lt;40000000,"medium","high"))</f>
        <v>low</v>
      </c>
      <c r="AB729">
        <f>YEAR(Table1[[#This Row],[Hire Date]])</f>
        <v>2017</v>
      </c>
      <c r="AC729" t="str">
        <f>TEXT(Table1[[#This Row],[Hire Date]],"mmmm")</f>
        <v>ژانويه</v>
      </c>
      <c r="AD729" t="str">
        <f>IF(Table1[[#This Row],[Resigned]]="yes","former","active")</f>
        <v>active</v>
      </c>
    </row>
    <row r="730" spans="1:30" x14ac:dyDescent="0.3">
      <c r="A730" t="s">
        <v>1525</v>
      </c>
      <c r="B730" t="s">
        <v>1526</v>
      </c>
      <c r="C730" t="s">
        <v>39</v>
      </c>
      <c r="D730">
        <v>22</v>
      </c>
      <c r="E730" t="s">
        <v>56</v>
      </c>
      <c r="F730" t="s">
        <v>84</v>
      </c>
      <c r="G730" t="s">
        <v>58</v>
      </c>
      <c r="H730" t="s">
        <v>42</v>
      </c>
      <c r="I730" t="s">
        <v>32</v>
      </c>
      <c r="J730" s="1">
        <v>43585</v>
      </c>
      <c r="K730">
        <v>7</v>
      </c>
      <c r="L730">
        <v>14743292</v>
      </c>
      <c r="M730">
        <v>3507481</v>
      </c>
      <c r="N730" t="s">
        <v>33</v>
      </c>
      <c r="O730">
        <v>3.71</v>
      </c>
      <c r="P730">
        <v>77</v>
      </c>
      <c r="Q730">
        <v>1</v>
      </c>
      <c r="R730">
        <v>1</v>
      </c>
      <c r="S730">
        <v>11</v>
      </c>
      <c r="T730" t="s">
        <v>34</v>
      </c>
      <c r="U730" t="s">
        <v>34</v>
      </c>
      <c r="V730" t="s">
        <v>51</v>
      </c>
      <c r="W730" t="s">
        <v>33</v>
      </c>
      <c r="X730" t="s">
        <v>36</v>
      </c>
      <c r="Z730" t="str">
        <f>IF(Table1[[#This Row],[Age]]&lt;30,"20-29",IF(Table1[[#This Row],[Age]]&lt;40,"30-39",IF(Table1[[#This Row],[Age]]&lt;50,"40-49","50+")))</f>
        <v>20-29</v>
      </c>
      <c r="AA730" t="str">
        <f>IF(Table1[[#This Row],[Salary]]&lt;20000000,"low",IF(Table1[[#This Row],[Salary]]&lt;40000000,"medium","high"))</f>
        <v>low</v>
      </c>
      <c r="AB730">
        <f>YEAR(Table1[[#This Row],[Hire Date]])</f>
        <v>2019</v>
      </c>
      <c r="AC730" t="str">
        <f>TEXT(Table1[[#This Row],[Hire Date]],"mmmm")</f>
        <v>آوريل</v>
      </c>
      <c r="AD730" t="str">
        <f>IF(Table1[[#This Row],[Resigned]]="yes","former","active")</f>
        <v>active</v>
      </c>
    </row>
    <row r="731" spans="1:30" x14ac:dyDescent="0.3">
      <c r="A731" t="s">
        <v>1527</v>
      </c>
      <c r="B731" t="s">
        <v>1528</v>
      </c>
      <c r="C731" t="s">
        <v>27</v>
      </c>
      <c r="D731">
        <v>32</v>
      </c>
      <c r="E731" t="s">
        <v>63</v>
      </c>
      <c r="F731" t="s">
        <v>93</v>
      </c>
      <c r="G731" t="s">
        <v>58</v>
      </c>
      <c r="H731" t="s">
        <v>42</v>
      </c>
      <c r="I731" t="s">
        <v>43</v>
      </c>
      <c r="J731" s="1">
        <v>44970</v>
      </c>
      <c r="K731">
        <v>3</v>
      </c>
      <c r="L731">
        <v>52955589</v>
      </c>
      <c r="M731">
        <v>8325288</v>
      </c>
      <c r="N731" t="s">
        <v>33</v>
      </c>
      <c r="O731">
        <v>3.12</v>
      </c>
      <c r="P731">
        <v>24</v>
      </c>
      <c r="Q731">
        <v>3</v>
      </c>
      <c r="R731">
        <v>2</v>
      </c>
      <c r="S731">
        <v>10</v>
      </c>
      <c r="T731" t="s">
        <v>33</v>
      </c>
      <c r="U731" t="s">
        <v>34</v>
      </c>
      <c r="V731" t="s">
        <v>35</v>
      </c>
      <c r="W731" t="s">
        <v>34</v>
      </c>
      <c r="X731" t="s">
        <v>52</v>
      </c>
      <c r="Z731" t="str">
        <f>IF(Table1[[#This Row],[Age]]&lt;30,"20-29",IF(Table1[[#This Row],[Age]]&lt;40,"30-39",IF(Table1[[#This Row],[Age]]&lt;50,"40-49","50+")))</f>
        <v>30-39</v>
      </c>
      <c r="AA731" t="str">
        <f>IF(Table1[[#This Row],[Salary]]&lt;20000000,"low",IF(Table1[[#This Row],[Salary]]&lt;40000000,"medium","high"))</f>
        <v>high</v>
      </c>
      <c r="AB731">
        <f>YEAR(Table1[[#This Row],[Hire Date]])</f>
        <v>2023</v>
      </c>
      <c r="AC731" t="str">
        <f>TEXT(Table1[[#This Row],[Hire Date]],"mmmm")</f>
        <v>فوريه</v>
      </c>
      <c r="AD731" t="str">
        <f>IF(Table1[[#This Row],[Resigned]]="yes","former","active")</f>
        <v>active</v>
      </c>
    </row>
    <row r="732" spans="1:30" x14ac:dyDescent="0.3">
      <c r="A732" t="s">
        <v>1529</v>
      </c>
      <c r="B732" t="s">
        <v>1530</v>
      </c>
      <c r="C732" t="s">
        <v>39</v>
      </c>
      <c r="D732">
        <v>24</v>
      </c>
      <c r="E732" t="s">
        <v>28</v>
      </c>
      <c r="F732" t="s">
        <v>80</v>
      </c>
      <c r="G732" t="s">
        <v>30</v>
      </c>
      <c r="H732" t="s">
        <v>42</v>
      </c>
      <c r="I732" t="s">
        <v>43</v>
      </c>
      <c r="J732" s="1">
        <v>45482</v>
      </c>
      <c r="K732">
        <v>2</v>
      </c>
      <c r="L732">
        <v>57009630</v>
      </c>
      <c r="M732">
        <v>524640</v>
      </c>
      <c r="N732" t="s">
        <v>33</v>
      </c>
      <c r="O732">
        <v>3.45</v>
      </c>
      <c r="P732">
        <v>43</v>
      </c>
      <c r="Q732">
        <v>5</v>
      </c>
      <c r="R732">
        <v>1</v>
      </c>
      <c r="S732">
        <v>1</v>
      </c>
      <c r="T732" t="s">
        <v>33</v>
      </c>
      <c r="U732" t="s">
        <v>34</v>
      </c>
      <c r="V732" t="s">
        <v>44</v>
      </c>
      <c r="W732" t="s">
        <v>34</v>
      </c>
      <c r="X732" t="s">
        <v>36</v>
      </c>
      <c r="Z732" t="str">
        <f>IF(Table1[[#This Row],[Age]]&lt;30,"20-29",IF(Table1[[#This Row],[Age]]&lt;40,"30-39",IF(Table1[[#This Row],[Age]]&lt;50,"40-49","50+")))</f>
        <v>20-29</v>
      </c>
      <c r="AA732" t="str">
        <f>IF(Table1[[#This Row],[Salary]]&lt;20000000,"low",IF(Table1[[#This Row],[Salary]]&lt;40000000,"medium","high"))</f>
        <v>high</v>
      </c>
      <c r="AB732">
        <f>YEAR(Table1[[#This Row],[Hire Date]])</f>
        <v>2024</v>
      </c>
      <c r="AC732" t="str">
        <f>TEXT(Table1[[#This Row],[Hire Date]],"mmmm")</f>
        <v>ژوئيه</v>
      </c>
      <c r="AD732" t="str">
        <f>IF(Table1[[#This Row],[Resigned]]="yes","former","active")</f>
        <v>active</v>
      </c>
    </row>
    <row r="733" spans="1:30" x14ac:dyDescent="0.3">
      <c r="A733" t="s">
        <v>1531</v>
      </c>
      <c r="B733" t="s">
        <v>1532</v>
      </c>
      <c r="C733" t="s">
        <v>27</v>
      </c>
      <c r="D733">
        <v>46</v>
      </c>
      <c r="E733" t="s">
        <v>40</v>
      </c>
      <c r="F733" t="s">
        <v>41</v>
      </c>
      <c r="G733" t="s">
        <v>49</v>
      </c>
      <c r="H733" t="s">
        <v>31</v>
      </c>
      <c r="I733" t="s">
        <v>32</v>
      </c>
      <c r="J733" s="1">
        <v>44197</v>
      </c>
      <c r="K733">
        <v>5</v>
      </c>
      <c r="L733">
        <v>55637214</v>
      </c>
      <c r="M733">
        <v>7150374</v>
      </c>
      <c r="N733" t="s">
        <v>34</v>
      </c>
      <c r="O733">
        <v>4.32</v>
      </c>
      <c r="P733">
        <v>46</v>
      </c>
      <c r="Q733">
        <v>2</v>
      </c>
      <c r="R733">
        <v>4</v>
      </c>
      <c r="S733">
        <v>2</v>
      </c>
      <c r="T733" t="s">
        <v>34</v>
      </c>
      <c r="U733" t="s">
        <v>33</v>
      </c>
      <c r="V733" t="s">
        <v>70</v>
      </c>
      <c r="W733" t="s">
        <v>33</v>
      </c>
      <c r="X733" t="s">
        <v>45</v>
      </c>
      <c r="Y733" t="s">
        <v>53</v>
      </c>
      <c r="Z733" t="str">
        <f>IF(Table1[[#This Row],[Age]]&lt;30,"20-29",IF(Table1[[#This Row],[Age]]&lt;40,"30-39",IF(Table1[[#This Row],[Age]]&lt;50,"40-49","50+")))</f>
        <v>40-49</v>
      </c>
      <c r="AA733" t="str">
        <f>IF(Table1[[#This Row],[Salary]]&lt;20000000,"low",IF(Table1[[#This Row],[Salary]]&lt;40000000,"medium","high"))</f>
        <v>high</v>
      </c>
      <c r="AB733">
        <f>YEAR(Table1[[#This Row],[Hire Date]])</f>
        <v>2021</v>
      </c>
      <c r="AC733" t="str">
        <f>TEXT(Table1[[#This Row],[Hire Date]],"mmmm")</f>
        <v>ژانويه</v>
      </c>
      <c r="AD733" t="str">
        <f>IF(Table1[[#This Row],[Resigned]]="yes","former","active")</f>
        <v>former</v>
      </c>
    </row>
    <row r="734" spans="1:30" x14ac:dyDescent="0.3">
      <c r="A734" t="s">
        <v>1533</v>
      </c>
      <c r="B734" t="s">
        <v>1534</v>
      </c>
      <c r="C734" t="s">
        <v>27</v>
      </c>
      <c r="D734">
        <v>43</v>
      </c>
      <c r="E734" t="s">
        <v>73</v>
      </c>
      <c r="F734" t="s">
        <v>127</v>
      </c>
      <c r="G734" t="s">
        <v>30</v>
      </c>
      <c r="H734" t="s">
        <v>42</v>
      </c>
      <c r="I734" t="s">
        <v>43</v>
      </c>
      <c r="J734" s="1">
        <v>43772</v>
      </c>
      <c r="K734">
        <v>7</v>
      </c>
      <c r="L734">
        <v>31377629</v>
      </c>
      <c r="M734">
        <v>989607</v>
      </c>
      <c r="N734" t="s">
        <v>34</v>
      </c>
      <c r="O734">
        <v>3.31</v>
      </c>
      <c r="P734">
        <v>68</v>
      </c>
      <c r="Q734">
        <v>3</v>
      </c>
      <c r="R734">
        <v>4</v>
      </c>
      <c r="S734">
        <v>7</v>
      </c>
      <c r="T734" t="s">
        <v>33</v>
      </c>
      <c r="U734" t="s">
        <v>34</v>
      </c>
      <c r="V734" t="s">
        <v>70</v>
      </c>
      <c r="W734" t="s">
        <v>34</v>
      </c>
      <c r="X734" t="s">
        <v>36</v>
      </c>
      <c r="Z734" t="str">
        <f>IF(Table1[[#This Row],[Age]]&lt;30,"20-29",IF(Table1[[#This Row],[Age]]&lt;40,"30-39",IF(Table1[[#This Row],[Age]]&lt;50,"40-49","50+")))</f>
        <v>40-49</v>
      </c>
      <c r="AA734" t="str">
        <f>IF(Table1[[#This Row],[Salary]]&lt;20000000,"low",IF(Table1[[#This Row],[Salary]]&lt;40000000,"medium","high"))</f>
        <v>medium</v>
      </c>
      <c r="AB734">
        <f>YEAR(Table1[[#This Row],[Hire Date]])</f>
        <v>2019</v>
      </c>
      <c r="AC734" t="str">
        <f>TEXT(Table1[[#This Row],[Hire Date]],"mmmm")</f>
        <v>نوامبر</v>
      </c>
      <c r="AD734" t="str">
        <f>IF(Table1[[#This Row],[Resigned]]="yes","former","active")</f>
        <v>active</v>
      </c>
    </row>
    <row r="735" spans="1:30" x14ac:dyDescent="0.3">
      <c r="A735" t="s">
        <v>1535</v>
      </c>
      <c r="B735" t="s">
        <v>1536</v>
      </c>
      <c r="C735" t="s">
        <v>39</v>
      </c>
      <c r="D735">
        <v>57</v>
      </c>
      <c r="E735" t="s">
        <v>40</v>
      </c>
      <c r="F735" t="s">
        <v>41</v>
      </c>
      <c r="G735" t="s">
        <v>30</v>
      </c>
      <c r="H735" t="s">
        <v>31</v>
      </c>
      <c r="I735" t="s">
        <v>32</v>
      </c>
      <c r="J735" s="1">
        <v>43339</v>
      </c>
      <c r="K735">
        <v>8</v>
      </c>
      <c r="L735">
        <v>51542089</v>
      </c>
      <c r="M735">
        <v>6768517</v>
      </c>
      <c r="N735" t="s">
        <v>34</v>
      </c>
      <c r="O735">
        <v>4.3099999999999996</v>
      </c>
      <c r="P735">
        <v>4</v>
      </c>
      <c r="Q735">
        <v>2</v>
      </c>
      <c r="R735">
        <v>2</v>
      </c>
      <c r="S735">
        <v>11</v>
      </c>
      <c r="T735" t="s">
        <v>34</v>
      </c>
      <c r="U735" t="s">
        <v>34</v>
      </c>
      <c r="V735" t="s">
        <v>44</v>
      </c>
      <c r="W735" t="s">
        <v>34</v>
      </c>
      <c r="X735" t="s">
        <v>52</v>
      </c>
      <c r="Z735" t="str">
        <f>IF(Table1[[#This Row],[Age]]&lt;30,"20-29",IF(Table1[[#This Row],[Age]]&lt;40,"30-39",IF(Table1[[#This Row],[Age]]&lt;50,"40-49","50+")))</f>
        <v>50+</v>
      </c>
      <c r="AA735" t="str">
        <f>IF(Table1[[#This Row],[Salary]]&lt;20000000,"low",IF(Table1[[#This Row],[Salary]]&lt;40000000,"medium","high"))</f>
        <v>high</v>
      </c>
      <c r="AB735">
        <f>YEAR(Table1[[#This Row],[Hire Date]])</f>
        <v>2018</v>
      </c>
      <c r="AC735" t="str">
        <f>TEXT(Table1[[#This Row],[Hire Date]],"mmmm")</f>
        <v>اوت</v>
      </c>
      <c r="AD735" t="str">
        <f>IF(Table1[[#This Row],[Resigned]]="yes","former","active")</f>
        <v>active</v>
      </c>
    </row>
    <row r="736" spans="1:30" x14ac:dyDescent="0.3">
      <c r="A736" t="s">
        <v>1537</v>
      </c>
      <c r="B736" t="s">
        <v>1538</v>
      </c>
      <c r="C736" t="s">
        <v>39</v>
      </c>
      <c r="D736">
        <v>53</v>
      </c>
      <c r="E736" t="s">
        <v>73</v>
      </c>
      <c r="F736" t="s">
        <v>127</v>
      </c>
      <c r="G736" t="s">
        <v>49</v>
      </c>
      <c r="H736" t="s">
        <v>31</v>
      </c>
      <c r="I736" t="s">
        <v>43</v>
      </c>
      <c r="J736" s="1">
        <v>43175</v>
      </c>
      <c r="K736">
        <v>8</v>
      </c>
      <c r="L736">
        <v>36670367</v>
      </c>
      <c r="M736">
        <v>7112295</v>
      </c>
      <c r="N736" t="s">
        <v>33</v>
      </c>
      <c r="O736">
        <v>2.82</v>
      </c>
      <c r="P736">
        <v>44</v>
      </c>
      <c r="Q736">
        <v>3</v>
      </c>
      <c r="R736">
        <v>4</v>
      </c>
      <c r="S736">
        <v>18</v>
      </c>
      <c r="T736" t="s">
        <v>34</v>
      </c>
      <c r="U736" t="s">
        <v>33</v>
      </c>
      <c r="V736" t="s">
        <v>44</v>
      </c>
      <c r="W736" t="s">
        <v>33</v>
      </c>
      <c r="X736" t="s">
        <v>52</v>
      </c>
      <c r="Y736" t="s">
        <v>75</v>
      </c>
      <c r="Z736" t="str">
        <f>IF(Table1[[#This Row],[Age]]&lt;30,"20-29",IF(Table1[[#This Row],[Age]]&lt;40,"30-39",IF(Table1[[#This Row],[Age]]&lt;50,"40-49","50+")))</f>
        <v>50+</v>
      </c>
      <c r="AA736" t="str">
        <f>IF(Table1[[#This Row],[Salary]]&lt;20000000,"low",IF(Table1[[#This Row],[Salary]]&lt;40000000,"medium","high"))</f>
        <v>medium</v>
      </c>
      <c r="AB736">
        <f>YEAR(Table1[[#This Row],[Hire Date]])</f>
        <v>2018</v>
      </c>
      <c r="AC736" t="str">
        <f>TEXT(Table1[[#This Row],[Hire Date]],"mmmm")</f>
        <v>مارس</v>
      </c>
      <c r="AD736" t="str">
        <f>IF(Table1[[#This Row],[Resigned]]="yes","former","active")</f>
        <v>former</v>
      </c>
    </row>
    <row r="737" spans="1:30" x14ac:dyDescent="0.3">
      <c r="A737" t="s">
        <v>1539</v>
      </c>
      <c r="B737" t="s">
        <v>1540</v>
      </c>
      <c r="C737" t="s">
        <v>39</v>
      </c>
      <c r="D737">
        <v>28</v>
      </c>
      <c r="E737" t="s">
        <v>28</v>
      </c>
      <c r="F737" t="s">
        <v>80</v>
      </c>
      <c r="G737" t="s">
        <v>30</v>
      </c>
      <c r="H737" t="s">
        <v>31</v>
      </c>
      <c r="I737" t="s">
        <v>81</v>
      </c>
      <c r="J737" s="1">
        <v>43501</v>
      </c>
      <c r="K737">
        <v>7</v>
      </c>
      <c r="L737">
        <v>53307650</v>
      </c>
      <c r="M737">
        <v>9722160</v>
      </c>
      <c r="N737" t="s">
        <v>34</v>
      </c>
      <c r="O737">
        <v>4.3899999999999997</v>
      </c>
      <c r="P737">
        <v>69</v>
      </c>
      <c r="Q737">
        <v>1</v>
      </c>
      <c r="R737">
        <v>2</v>
      </c>
      <c r="S737">
        <v>2</v>
      </c>
      <c r="T737" t="s">
        <v>34</v>
      </c>
      <c r="U737" t="s">
        <v>33</v>
      </c>
      <c r="V737" t="s">
        <v>70</v>
      </c>
      <c r="W737" t="s">
        <v>34</v>
      </c>
      <c r="X737" t="s">
        <v>36</v>
      </c>
      <c r="Y737" t="s">
        <v>53</v>
      </c>
      <c r="Z737" t="str">
        <f>IF(Table1[[#This Row],[Age]]&lt;30,"20-29",IF(Table1[[#This Row],[Age]]&lt;40,"30-39",IF(Table1[[#This Row],[Age]]&lt;50,"40-49","50+")))</f>
        <v>20-29</v>
      </c>
      <c r="AA737" t="str">
        <f>IF(Table1[[#This Row],[Salary]]&lt;20000000,"low",IF(Table1[[#This Row],[Salary]]&lt;40000000,"medium","high"))</f>
        <v>high</v>
      </c>
      <c r="AB737">
        <f>YEAR(Table1[[#This Row],[Hire Date]])</f>
        <v>2019</v>
      </c>
      <c r="AC737" t="str">
        <f>TEXT(Table1[[#This Row],[Hire Date]],"mmmm")</f>
        <v>فوريه</v>
      </c>
      <c r="AD737" t="str">
        <f>IF(Table1[[#This Row],[Resigned]]="yes","former","active")</f>
        <v>former</v>
      </c>
    </row>
    <row r="738" spans="1:30" x14ac:dyDescent="0.3">
      <c r="A738" t="s">
        <v>1541</v>
      </c>
      <c r="B738" t="s">
        <v>1542</v>
      </c>
      <c r="C738" t="s">
        <v>39</v>
      </c>
      <c r="D738">
        <v>56</v>
      </c>
      <c r="E738" t="s">
        <v>110</v>
      </c>
      <c r="F738" t="s">
        <v>111</v>
      </c>
      <c r="G738" t="s">
        <v>58</v>
      </c>
      <c r="H738" t="s">
        <v>42</v>
      </c>
      <c r="I738" t="s">
        <v>81</v>
      </c>
      <c r="J738" s="1">
        <v>44904</v>
      </c>
      <c r="K738">
        <v>4</v>
      </c>
      <c r="L738">
        <v>43856206</v>
      </c>
      <c r="M738">
        <v>7129434</v>
      </c>
      <c r="N738" t="s">
        <v>33</v>
      </c>
      <c r="O738">
        <v>4.51</v>
      </c>
      <c r="P738">
        <v>4</v>
      </c>
      <c r="Q738">
        <v>3</v>
      </c>
      <c r="R738">
        <v>4</v>
      </c>
      <c r="S738">
        <v>13</v>
      </c>
      <c r="T738" t="s">
        <v>33</v>
      </c>
      <c r="U738" t="s">
        <v>34</v>
      </c>
      <c r="V738" t="s">
        <v>44</v>
      </c>
      <c r="W738" t="s">
        <v>34</v>
      </c>
      <c r="X738" t="s">
        <v>45</v>
      </c>
      <c r="Z738" t="str">
        <f>IF(Table1[[#This Row],[Age]]&lt;30,"20-29",IF(Table1[[#This Row],[Age]]&lt;40,"30-39",IF(Table1[[#This Row],[Age]]&lt;50,"40-49","50+")))</f>
        <v>50+</v>
      </c>
      <c r="AA738" t="str">
        <f>IF(Table1[[#This Row],[Salary]]&lt;20000000,"low",IF(Table1[[#This Row],[Salary]]&lt;40000000,"medium","high"))</f>
        <v>high</v>
      </c>
      <c r="AB738">
        <f>YEAR(Table1[[#This Row],[Hire Date]])</f>
        <v>2022</v>
      </c>
      <c r="AC738" t="str">
        <f>TEXT(Table1[[#This Row],[Hire Date]],"mmmm")</f>
        <v>دسامبر</v>
      </c>
      <c r="AD738" t="str">
        <f>IF(Table1[[#This Row],[Resigned]]="yes","former","active")</f>
        <v>active</v>
      </c>
    </row>
    <row r="739" spans="1:30" x14ac:dyDescent="0.3">
      <c r="A739" t="s">
        <v>1543</v>
      </c>
      <c r="B739" t="s">
        <v>1544</v>
      </c>
      <c r="C739" t="s">
        <v>39</v>
      </c>
      <c r="D739">
        <v>37</v>
      </c>
      <c r="E739" t="s">
        <v>63</v>
      </c>
      <c r="F739" t="s">
        <v>93</v>
      </c>
      <c r="G739" t="s">
        <v>49</v>
      </c>
      <c r="H739" t="s">
        <v>42</v>
      </c>
      <c r="I739" t="s">
        <v>43</v>
      </c>
      <c r="J739" s="1">
        <v>43571</v>
      </c>
      <c r="K739">
        <v>7</v>
      </c>
      <c r="L739">
        <v>41219538</v>
      </c>
      <c r="M739">
        <v>66637</v>
      </c>
      <c r="N739" t="s">
        <v>33</v>
      </c>
      <c r="O739">
        <v>3.25</v>
      </c>
      <c r="P739">
        <v>69</v>
      </c>
      <c r="Q739">
        <v>3</v>
      </c>
      <c r="R739">
        <v>1</v>
      </c>
      <c r="S739">
        <v>10</v>
      </c>
      <c r="T739" t="s">
        <v>33</v>
      </c>
      <c r="U739" t="s">
        <v>34</v>
      </c>
      <c r="V739" t="s">
        <v>51</v>
      </c>
      <c r="W739" t="s">
        <v>33</v>
      </c>
      <c r="X739" t="s">
        <v>52</v>
      </c>
      <c r="Z739" t="str">
        <f>IF(Table1[[#This Row],[Age]]&lt;30,"20-29",IF(Table1[[#This Row],[Age]]&lt;40,"30-39",IF(Table1[[#This Row],[Age]]&lt;50,"40-49","50+")))</f>
        <v>30-39</v>
      </c>
      <c r="AA739" t="str">
        <f>IF(Table1[[#This Row],[Salary]]&lt;20000000,"low",IF(Table1[[#This Row],[Salary]]&lt;40000000,"medium","high"))</f>
        <v>high</v>
      </c>
      <c r="AB739">
        <f>YEAR(Table1[[#This Row],[Hire Date]])</f>
        <v>2019</v>
      </c>
      <c r="AC739" t="str">
        <f>TEXT(Table1[[#This Row],[Hire Date]],"mmmm")</f>
        <v>آوريل</v>
      </c>
      <c r="AD739" t="str">
        <f>IF(Table1[[#This Row],[Resigned]]="yes","former","active")</f>
        <v>active</v>
      </c>
    </row>
    <row r="740" spans="1:30" x14ac:dyDescent="0.3">
      <c r="A740" t="s">
        <v>1545</v>
      </c>
      <c r="B740" t="s">
        <v>1546</v>
      </c>
      <c r="C740" t="s">
        <v>39</v>
      </c>
      <c r="D740">
        <v>23</v>
      </c>
      <c r="E740" t="s">
        <v>56</v>
      </c>
      <c r="F740" t="s">
        <v>57</v>
      </c>
      <c r="G740" t="s">
        <v>30</v>
      </c>
      <c r="H740" t="s">
        <v>42</v>
      </c>
      <c r="I740" t="s">
        <v>50</v>
      </c>
      <c r="J740" s="1">
        <v>45661</v>
      </c>
      <c r="K740">
        <v>1</v>
      </c>
      <c r="L740">
        <v>47273626</v>
      </c>
      <c r="M740">
        <v>485175</v>
      </c>
      <c r="N740" t="s">
        <v>34</v>
      </c>
      <c r="O740">
        <v>4.1500000000000004</v>
      </c>
      <c r="P740">
        <v>72</v>
      </c>
      <c r="Q740">
        <v>4</v>
      </c>
      <c r="R740">
        <v>2</v>
      </c>
      <c r="S740">
        <v>4</v>
      </c>
      <c r="T740" t="s">
        <v>34</v>
      </c>
      <c r="U740" t="s">
        <v>34</v>
      </c>
      <c r="V740" t="s">
        <v>70</v>
      </c>
      <c r="W740" t="s">
        <v>34</v>
      </c>
      <c r="X740" t="s">
        <v>52</v>
      </c>
      <c r="Z740" t="str">
        <f>IF(Table1[[#This Row],[Age]]&lt;30,"20-29",IF(Table1[[#This Row],[Age]]&lt;40,"30-39",IF(Table1[[#This Row],[Age]]&lt;50,"40-49","50+")))</f>
        <v>20-29</v>
      </c>
      <c r="AA740" t="str">
        <f>IF(Table1[[#This Row],[Salary]]&lt;20000000,"low",IF(Table1[[#This Row],[Salary]]&lt;40000000,"medium","high"))</f>
        <v>high</v>
      </c>
      <c r="AB740">
        <f>YEAR(Table1[[#This Row],[Hire Date]])</f>
        <v>2025</v>
      </c>
      <c r="AC740" t="str">
        <f>TEXT(Table1[[#This Row],[Hire Date]],"mmmm")</f>
        <v>ژانويه</v>
      </c>
      <c r="AD740" t="str">
        <f>IF(Table1[[#This Row],[Resigned]]="yes","former","active")</f>
        <v>active</v>
      </c>
    </row>
    <row r="741" spans="1:30" x14ac:dyDescent="0.3">
      <c r="A741" t="s">
        <v>1547</v>
      </c>
      <c r="B741" t="s">
        <v>1548</v>
      </c>
      <c r="C741" t="s">
        <v>27</v>
      </c>
      <c r="D741">
        <v>47</v>
      </c>
      <c r="E741" t="s">
        <v>56</v>
      </c>
      <c r="F741" t="s">
        <v>57</v>
      </c>
      <c r="G741" t="s">
        <v>30</v>
      </c>
      <c r="H741" t="s">
        <v>31</v>
      </c>
      <c r="I741" t="s">
        <v>43</v>
      </c>
      <c r="J741" s="1">
        <v>42938</v>
      </c>
      <c r="K741">
        <v>9</v>
      </c>
      <c r="L741">
        <v>48803126</v>
      </c>
      <c r="M741">
        <v>4531825</v>
      </c>
      <c r="N741" t="s">
        <v>34</v>
      </c>
      <c r="O741">
        <v>2.8</v>
      </c>
      <c r="P741">
        <v>58</v>
      </c>
      <c r="Q741">
        <v>3</v>
      </c>
      <c r="R741">
        <v>3</v>
      </c>
      <c r="S741">
        <v>18</v>
      </c>
      <c r="T741" t="s">
        <v>33</v>
      </c>
      <c r="U741" t="s">
        <v>34</v>
      </c>
      <c r="V741" t="s">
        <v>35</v>
      </c>
      <c r="W741" t="s">
        <v>34</v>
      </c>
      <c r="X741" t="s">
        <v>36</v>
      </c>
      <c r="Z741" t="str">
        <f>IF(Table1[[#This Row],[Age]]&lt;30,"20-29",IF(Table1[[#This Row],[Age]]&lt;40,"30-39",IF(Table1[[#This Row],[Age]]&lt;50,"40-49","50+")))</f>
        <v>40-49</v>
      </c>
      <c r="AA741" t="str">
        <f>IF(Table1[[#This Row],[Salary]]&lt;20000000,"low",IF(Table1[[#This Row],[Salary]]&lt;40000000,"medium","high"))</f>
        <v>high</v>
      </c>
      <c r="AB741">
        <f>YEAR(Table1[[#This Row],[Hire Date]])</f>
        <v>2017</v>
      </c>
      <c r="AC741" t="str">
        <f>TEXT(Table1[[#This Row],[Hire Date]],"mmmm")</f>
        <v>ژوئيه</v>
      </c>
      <c r="AD741" t="str">
        <f>IF(Table1[[#This Row],[Resigned]]="yes","former","active")</f>
        <v>active</v>
      </c>
    </row>
    <row r="742" spans="1:30" x14ac:dyDescent="0.3">
      <c r="A742" t="s">
        <v>1549</v>
      </c>
      <c r="B742" t="s">
        <v>1550</v>
      </c>
      <c r="C742" t="s">
        <v>39</v>
      </c>
      <c r="D742">
        <v>27</v>
      </c>
      <c r="E742" t="s">
        <v>56</v>
      </c>
      <c r="F742" t="s">
        <v>84</v>
      </c>
      <c r="G742" t="s">
        <v>49</v>
      </c>
      <c r="H742" t="s">
        <v>42</v>
      </c>
      <c r="I742" t="s">
        <v>43</v>
      </c>
      <c r="J742" s="1">
        <v>45191</v>
      </c>
      <c r="K742">
        <v>3</v>
      </c>
      <c r="L742">
        <v>56999797</v>
      </c>
      <c r="M742">
        <v>4562682</v>
      </c>
      <c r="N742" t="s">
        <v>34</v>
      </c>
      <c r="O742">
        <v>2.58</v>
      </c>
      <c r="P742">
        <v>46</v>
      </c>
      <c r="Q742">
        <v>2</v>
      </c>
      <c r="R742">
        <v>1</v>
      </c>
      <c r="S742">
        <v>5</v>
      </c>
      <c r="T742" t="s">
        <v>34</v>
      </c>
      <c r="U742" t="s">
        <v>34</v>
      </c>
      <c r="V742" t="s">
        <v>70</v>
      </c>
      <c r="W742" t="s">
        <v>33</v>
      </c>
      <c r="X742" t="s">
        <v>52</v>
      </c>
      <c r="Z742" t="str">
        <f>IF(Table1[[#This Row],[Age]]&lt;30,"20-29",IF(Table1[[#This Row],[Age]]&lt;40,"30-39",IF(Table1[[#This Row],[Age]]&lt;50,"40-49","50+")))</f>
        <v>20-29</v>
      </c>
      <c r="AA742" t="str">
        <f>IF(Table1[[#This Row],[Salary]]&lt;20000000,"low",IF(Table1[[#This Row],[Salary]]&lt;40000000,"medium","high"))</f>
        <v>high</v>
      </c>
      <c r="AB742">
        <f>YEAR(Table1[[#This Row],[Hire Date]])</f>
        <v>2023</v>
      </c>
      <c r="AC742" t="str">
        <f>TEXT(Table1[[#This Row],[Hire Date]],"mmmm")</f>
        <v>سپتامبر</v>
      </c>
      <c r="AD742" t="str">
        <f>IF(Table1[[#This Row],[Resigned]]="yes","former","active")</f>
        <v>active</v>
      </c>
    </row>
    <row r="743" spans="1:30" x14ac:dyDescent="0.3">
      <c r="A743" t="s">
        <v>1551</v>
      </c>
      <c r="B743" t="s">
        <v>1552</v>
      </c>
      <c r="C743" t="s">
        <v>39</v>
      </c>
      <c r="D743">
        <v>58</v>
      </c>
      <c r="E743" t="s">
        <v>110</v>
      </c>
      <c r="F743" t="s">
        <v>111</v>
      </c>
      <c r="G743" t="s">
        <v>58</v>
      </c>
      <c r="H743" t="s">
        <v>42</v>
      </c>
      <c r="I743" t="s">
        <v>32</v>
      </c>
      <c r="J743" s="1">
        <v>44432</v>
      </c>
      <c r="K743">
        <v>5</v>
      </c>
      <c r="L743">
        <v>35225671</v>
      </c>
      <c r="M743">
        <v>8622530</v>
      </c>
      <c r="N743" t="s">
        <v>34</v>
      </c>
      <c r="O743">
        <v>2.56</v>
      </c>
      <c r="P743">
        <v>17</v>
      </c>
      <c r="Q743">
        <v>4</v>
      </c>
      <c r="R743">
        <v>1</v>
      </c>
      <c r="S743">
        <v>2</v>
      </c>
      <c r="T743" t="s">
        <v>33</v>
      </c>
      <c r="U743" t="s">
        <v>34</v>
      </c>
      <c r="V743" t="s">
        <v>59</v>
      </c>
      <c r="W743" t="s">
        <v>34</v>
      </c>
      <c r="X743" t="s">
        <v>45</v>
      </c>
      <c r="Z743" t="str">
        <f>IF(Table1[[#This Row],[Age]]&lt;30,"20-29",IF(Table1[[#This Row],[Age]]&lt;40,"30-39",IF(Table1[[#This Row],[Age]]&lt;50,"40-49","50+")))</f>
        <v>50+</v>
      </c>
      <c r="AA743" t="str">
        <f>IF(Table1[[#This Row],[Salary]]&lt;20000000,"low",IF(Table1[[#This Row],[Salary]]&lt;40000000,"medium","high"))</f>
        <v>medium</v>
      </c>
      <c r="AB743">
        <f>YEAR(Table1[[#This Row],[Hire Date]])</f>
        <v>2021</v>
      </c>
      <c r="AC743" t="str">
        <f>TEXT(Table1[[#This Row],[Hire Date]],"mmmm")</f>
        <v>اوت</v>
      </c>
      <c r="AD743" t="str">
        <f>IF(Table1[[#This Row],[Resigned]]="yes","former","active")</f>
        <v>active</v>
      </c>
    </row>
    <row r="744" spans="1:30" x14ac:dyDescent="0.3">
      <c r="A744" t="s">
        <v>1553</v>
      </c>
      <c r="B744" t="s">
        <v>1554</v>
      </c>
      <c r="C744" t="s">
        <v>39</v>
      </c>
      <c r="D744">
        <v>58</v>
      </c>
      <c r="E744" t="s">
        <v>28</v>
      </c>
      <c r="F744" t="s">
        <v>80</v>
      </c>
      <c r="G744" t="s">
        <v>58</v>
      </c>
      <c r="H744" t="s">
        <v>42</v>
      </c>
      <c r="I744" t="s">
        <v>50</v>
      </c>
      <c r="J744" s="1">
        <v>43891</v>
      </c>
      <c r="K744">
        <v>6</v>
      </c>
      <c r="L744">
        <v>40713210</v>
      </c>
      <c r="M744">
        <v>3593597</v>
      </c>
      <c r="N744" t="s">
        <v>34</v>
      </c>
      <c r="O744">
        <v>4.3099999999999996</v>
      </c>
      <c r="P744">
        <v>49</v>
      </c>
      <c r="Q744">
        <v>5</v>
      </c>
      <c r="R744">
        <v>4</v>
      </c>
      <c r="S744">
        <v>8</v>
      </c>
      <c r="T744" t="s">
        <v>33</v>
      </c>
      <c r="U744" t="s">
        <v>33</v>
      </c>
      <c r="V744" t="s">
        <v>59</v>
      </c>
      <c r="W744" t="s">
        <v>33</v>
      </c>
      <c r="X744" t="s">
        <v>36</v>
      </c>
      <c r="Y744" t="s">
        <v>75</v>
      </c>
      <c r="Z744" t="str">
        <f>IF(Table1[[#This Row],[Age]]&lt;30,"20-29",IF(Table1[[#This Row],[Age]]&lt;40,"30-39",IF(Table1[[#This Row],[Age]]&lt;50,"40-49","50+")))</f>
        <v>50+</v>
      </c>
      <c r="AA744" t="str">
        <f>IF(Table1[[#This Row],[Salary]]&lt;20000000,"low",IF(Table1[[#This Row],[Salary]]&lt;40000000,"medium","high"))</f>
        <v>high</v>
      </c>
      <c r="AB744">
        <f>YEAR(Table1[[#This Row],[Hire Date]])</f>
        <v>2020</v>
      </c>
      <c r="AC744" t="str">
        <f>TEXT(Table1[[#This Row],[Hire Date]],"mmmm")</f>
        <v>مارس</v>
      </c>
      <c r="AD744" t="str">
        <f>IF(Table1[[#This Row],[Resigned]]="yes","former","active")</f>
        <v>former</v>
      </c>
    </row>
    <row r="745" spans="1:30" x14ac:dyDescent="0.3">
      <c r="A745" t="s">
        <v>1555</v>
      </c>
      <c r="B745" t="s">
        <v>1556</v>
      </c>
      <c r="C745" t="s">
        <v>27</v>
      </c>
      <c r="D745">
        <v>54</v>
      </c>
      <c r="E745" t="s">
        <v>56</v>
      </c>
      <c r="F745" t="s">
        <v>84</v>
      </c>
      <c r="G745" t="s">
        <v>49</v>
      </c>
      <c r="H745" t="s">
        <v>31</v>
      </c>
      <c r="I745" t="s">
        <v>50</v>
      </c>
      <c r="J745" s="1">
        <v>44622</v>
      </c>
      <c r="K745">
        <v>4</v>
      </c>
      <c r="L745">
        <v>49707995</v>
      </c>
      <c r="M745">
        <v>6765760</v>
      </c>
      <c r="N745" t="s">
        <v>33</v>
      </c>
      <c r="O745">
        <v>2.95</v>
      </c>
      <c r="P745">
        <v>65</v>
      </c>
      <c r="Q745">
        <v>1</v>
      </c>
      <c r="R745">
        <v>1</v>
      </c>
      <c r="S745">
        <v>15</v>
      </c>
      <c r="T745" t="s">
        <v>34</v>
      </c>
      <c r="U745" t="s">
        <v>33</v>
      </c>
      <c r="V745" t="s">
        <v>35</v>
      </c>
      <c r="W745" t="s">
        <v>34</v>
      </c>
      <c r="X745" t="s">
        <v>36</v>
      </c>
      <c r="Y745" t="s">
        <v>53</v>
      </c>
      <c r="Z745" t="str">
        <f>IF(Table1[[#This Row],[Age]]&lt;30,"20-29",IF(Table1[[#This Row],[Age]]&lt;40,"30-39",IF(Table1[[#This Row],[Age]]&lt;50,"40-49","50+")))</f>
        <v>50+</v>
      </c>
      <c r="AA745" t="str">
        <f>IF(Table1[[#This Row],[Salary]]&lt;20000000,"low",IF(Table1[[#This Row],[Salary]]&lt;40000000,"medium","high"))</f>
        <v>high</v>
      </c>
      <c r="AB745">
        <f>YEAR(Table1[[#This Row],[Hire Date]])</f>
        <v>2022</v>
      </c>
      <c r="AC745" t="str">
        <f>TEXT(Table1[[#This Row],[Hire Date]],"mmmm")</f>
        <v>مارس</v>
      </c>
      <c r="AD745" t="str">
        <f>IF(Table1[[#This Row],[Resigned]]="yes","former","active")</f>
        <v>former</v>
      </c>
    </row>
    <row r="746" spans="1:30" x14ac:dyDescent="0.3">
      <c r="A746" t="s">
        <v>1557</v>
      </c>
      <c r="B746" t="s">
        <v>1558</v>
      </c>
      <c r="C746" t="s">
        <v>27</v>
      </c>
      <c r="D746">
        <v>36</v>
      </c>
      <c r="E746" t="s">
        <v>73</v>
      </c>
      <c r="F746" t="s">
        <v>127</v>
      </c>
      <c r="G746" t="s">
        <v>30</v>
      </c>
      <c r="H746" t="s">
        <v>31</v>
      </c>
      <c r="I746" t="s">
        <v>81</v>
      </c>
      <c r="J746" s="1">
        <v>43039</v>
      </c>
      <c r="K746">
        <v>9</v>
      </c>
      <c r="L746">
        <v>36205524</v>
      </c>
      <c r="M746">
        <v>9162917</v>
      </c>
      <c r="N746" t="s">
        <v>33</v>
      </c>
      <c r="O746">
        <v>2.64</v>
      </c>
      <c r="P746">
        <v>18</v>
      </c>
      <c r="Q746">
        <v>3</v>
      </c>
      <c r="R746">
        <v>3</v>
      </c>
      <c r="S746">
        <v>4</v>
      </c>
      <c r="T746" t="s">
        <v>33</v>
      </c>
      <c r="U746" t="s">
        <v>34</v>
      </c>
      <c r="V746" t="s">
        <v>35</v>
      </c>
      <c r="W746" t="s">
        <v>33</v>
      </c>
      <c r="X746" t="s">
        <v>45</v>
      </c>
      <c r="Z746" t="str">
        <f>IF(Table1[[#This Row],[Age]]&lt;30,"20-29",IF(Table1[[#This Row],[Age]]&lt;40,"30-39",IF(Table1[[#This Row],[Age]]&lt;50,"40-49","50+")))</f>
        <v>30-39</v>
      </c>
      <c r="AA746" t="str">
        <f>IF(Table1[[#This Row],[Salary]]&lt;20000000,"low",IF(Table1[[#This Row],[Salary]]&lt;40000000,"medium","high"))</f>
        <v>medium</v>
      </c>
      <c r="AB746">
        <f>YEAR(Table1[[#This Row],[Hire Date]])</f>
        <v>2017</v>
      </c>
      <c r="AC746" t="str">
        <f>TEXT(Table1[[#This Row],[Hire Date]],"mmmm")</f>
        <v>اُكتبر</v>
      </c>
      <c r="AD746" t="str">
        <f>IF(Table1[[#This Row],[Resigned]]="yes","former","active")</f>
        <v>active</v>
      </c>
    </row>
    <row r="747" spans="1:30" x14ac:dyDescent="0.3">
      <c r="A747" t="s">
        <v>1559</v>
      </c>
      <c r="B747" t="s">
        <v>1560</v>
      </c>
      <c r="C747" t="s">
        <v>39</v>
      </c>
      <c r="D747">
        <v>35</v>
      </c>
      <c r="E747" t="s">
        <v>110</v>
      </c>
      <c r="F747" t="s">
        <v>111</v>
      </c>
      <c r="G747" t="s">
        <v>30</v>
      </c>
      <c r="H747" t="s">
        <v>42</v>
      </c>
      <c r="I747" t="s">
        <v>65</v>
      </c>
      <c r="J747" s="1">
        <v>45674</v>
      </c>
      <c r="K747">
        <v>1</v>
      </c>
      <c r="L747">
        <v>18550040</v>
      </c>
      <c r="M747">
        <v>2428762</v>
      </c>
      <c r="N747" t="s">
        <v>34</v>
      </c>
      <c r="O747">
        <v>3.97</v>
      </c>
      <c r="P747">
        <v>56</v>
      </c>
      <c r="Q747">
        <v>2</v>
      </c>
      <c r="R747">
        <v>5</v>
      </c>
      <c r="S747">
        <v>1</v>
      </c>
      <c r="T747" t="s">
        <v>33</v>
      </c>
      <c r="U747" t="s">
        <v>34</v>
      </c>
      <c r="V747" t="s">
        <v>70</v>
      </c>
      <c r="W747" t="s">
        <v>33</v>
      </c>
      <c r="X747" t="s">
        <v>52</v>
      </c>
      <c r="Z747" t="str">
        <f>IF(Table1[[#This Row],[Age]]&lt;30,"20-29",IF(Table1[[#This Row],[Age]]&lt;40,"30-39",IF(Table1[[#This Row],[Age]]&lt;50,"40-49","50+")))</f>
        <v>30-39</v>
      </c>
      <c r="AA747" t="str">
        <f>IF(Table1[[#This Row],[Salary]]&lt;20000000,"low",IF(Table1[[#This Row],[Salary]]&lt;40000000,"medium","high"))</f>
        <v>low</v>
      </c>
      <c r="AB747">
        <f>YEAR(Table1[[#This Row],[Hire Date]])</f>
        <v>2025</v>
      </c>
      <c r="AC747" t="str">
        <f>TEXT(Table1[[#This Row],[Hire Date]],"mmmm")</f>
        <v>ژانويه</v>
      </c>
      <c r="AD747" t="str">
        <f>IF(Table1[[#This Row],[Resigned]]="yes","former","active")</f>
        <v>active</v>
      </c>
    </row>
    <row r="748" spans="1:30" x14ac:dyDescent="0.3">
      <c r="A748" t="s">
        <v>1561</v>
      </c>
      <c r="B748" t="s">
        <v>1562</v>
      </c>
      <c r="C748" t="s">
        <v>39</v>
      </c>
      <c r="D748">
        <v>34</v>
      </c>
      <c r="E748" t="s">
        <v>28</v>
      </c>
      <c r="F748" t="s">
        <v>80</v>
      </c>
      <c r="G748" t="s">
        <v>49</v>
      </c>
      <c r="H748" t="s">
        <v>42</v>
      </c>
      <c r="I748" t="s">
        <v>43</v>
      </c>
      <c r="J748" s="1">
        <v>44988</v>
      </c>
      <c r="K748">
        <v>3</v>
      </c>
      <c r="L748">
        <v>15349081</v>
      </c>
      <c r="M748">
        <v>2528722</v>
      </c>
      <c r="N748" t="s">
        <v>33</v>
      </c>
      <c r="O748">
        <v>3.13</v>
      </c>
      <c r="P748">
        <v>56</v>
      </c>
      <c r="Q748">
        <v>2</v>
      </c>
      <c r="R748">
        <v>2</v>
      </c>
      <c r="S748">
        <v>15</v>
      </c>
      <c r="T748" t="s">
        <v>34</v>
      </c>
      <c r="U748" t="s">
        <v>34</v>
      </c>
      <c r="V748" t="s">
        <v>44</v>
      </c>
      <c r="W748" t="s">
        <v>34</v>
      </c>
      <c r="X748" t="s">
        <v>45</v>
      </c>
      <c r="Z748" t="str">
        <f>IF(Table1[[#This Row],[Age]]&lt;30,"20-29",IF(Table1[[#This Row],[Age]]&lt;40,"30-39",IF(Table1[[#This Row],[Age]]&lt;50,"40-49","50+")))</f>
        <v>30-39</v>
      </c>
      <c r="AA748" t="str">
        <f>IF(Table1[[#This Row],[Salary]]&lt;20000000,"low",IF(Table1[[#This Row],[Salary]]&lt;40000000,"medium","high"))</f>
        <v>low</v>
      </c>
      <c r="AB748">
        <f>YEAR(Table1[[#This Row],[Hire Date]])</f>
        <v>2023</v>
      </c>
      <c r="AC748" t="str">
        <f>TEXT(Table1[[#This Row],[Hire Date]],"mmmm")</f>
        <v>مارس</v>
      </c>
      <c r="AD748" t="str">
        <f>IF(Table1[[#This Row],[Resigned]]="yes","former","active")</f>
        <v>active</v>
      </c>
    </row>
    <row r="749" spans="1:30" x14ac:dyDescent="0.3">
      <c r="A749" t="s">
        <v>1563</v>
      </c>
      <c r="B749" t="s">
        <v>1564</v>
      </c>
      <c r="C749" t="s">
        <v>27</v>
      </c>
      <c r="D749">
        <v>57</v>
      </c>
      <c r="E749" t="s">
        <v>56</v>
      </c>
      <c r="F749" t="s">
        <v>84</v>
      </c>
      <c r="G749" t="s">
        <v>58</v>
      </c>
      <c r="H749" t="s">
        <v>31</v>
      </c>
      <c r="I749" t="s">
        <v>43</v>
      </c>
      <c r="J749" s="1">
        <v>43264</v>
      </c>
      <c r="K749">
        <v>8</v>
      </c>
      <c r="L749">
        <v>48684953</v>
      </c>
      <c r="M749">
        <v>1491655</v>
      </c>
      <c r="N749" t="s">
        <v>33</v>
      </c>
      <c r="O749">
        <v>4.5199999999999996</v>
      </c>
      <c r="P749">
        <v>44</v>
      </c>
      <c r="Q749">
        <v>5</v>
      </c>
      <c r="R749">
        <v>2</v>
      </c>
      <c r="S749">
        <v>14</v>
      </c>
      <c r="T749" t="s">
        <v>33</v>
      </c>
      <c r="U749" t="s">
        <v>33</v>
      </c>
      <c r="V749" t="s">
        <v>44</v>
      </c>
      <c r="W749" t="s">
        <v>34</v>
      </c>
      <c r="X749" t="s">
        <v>36</v>
      </c>
      <c r="Y749" t="s">
        <v>162</v>
      </c>
      <c r="Z749" t="str">
        <f>IF(Table1[[#This Row],[Age]]&lt;30,"20-29",IF(Table1[[#This Row],[Age]]&lt;40,"30-39",IF(Table1[[#This Row],[Age]]&lt;50,"40-49","50+")))</f>
        <v>50+</v>
      </c>
      <c r="AA749" t="str">
        <f>IF(Table1[[#This Row],[Salary]]&lt;20000000,"low",IF(Table1[[#This Row],[Salary]]&lt;40000000,"medium","high"))</f>
        <v>high</v>
      </c>
      <c r="AB749">
        <f>YEAR(Table1[[#This Row],[Hire Date]])</f>
        <v>2018</v>
      </c>
      <c r="AC749" t="str">
        <f>TEXT(Table1[[#This Row],[Hire Date]],"mmmm")</f>
        <v>ژوئن</v>
      </c>
      <c r="AD749" t="str">
        <f>IF(Table1[[#This Row],[Resigned]]="yes","former","active")</f>
        <v>former</v>
      </c>
    </row>
    <row r="750" spans="1:30" x14ac:dyDescent="0.3">
      <c r="A750" t="s">
        <v>1565</v>
      </c>
      <c r="B750" t="s">
        <v>1566</v>
      </c>
      <c r="C750" t="s">
        <v>39</v>
      </c>
      <c r="D750">
        <v>24</v>
      </c>
      <c r="E750" t="s">
        <v>56</v>
      </c>
      <c r="F750" t="s">
        <v>57</v>
      </c>
      <c r="G750" t="s">
        <v>58</v>
      </c>
      <c r="H750" t="s">
        <v>31</v>
      </c>
      <c r="I750" t="s">
        <v>50</v>
      </c>
      <c r="J750" s="1">
        <v>43705</v>
      </c>
      <c r="K750">
        <v>7</v>
      </c>
      <c r="L750">
        <v>17742844</v>
      </c>
      <c r="M750">
        <v>2558559</v>
      </c>
      <c r="N750" t="s">
        <v>33</v>
      </c>
      <c r="O750">
        <v>3.42</v>
      </c>
      <c r="P750">
        <v>63</v>
      </c>
      <c r="Q750">
        <v>1</v>
      </c>
      <c r="R750">
        <v>4</v>
      </c>
      <c r="S750">
        <v>10</v>
      </c>
      <c r="T750" t="s">
        <v>33</v>
      </c>
      <c r="U750" t="s">
        <v>34</v>
      </c>
      <c r="V750" t="s">
        <v>70</v>
      </c>
      <c r="W750" t="s">
        <v>34</v>
      </c>
      <c r="X750" t="s">
        <v>45</v>
      </c>
      <c r="Z750" t="str">
        <f>IF(Table1[[#This Row],[Age]]&lt;30,"20-29",IF(Table1[[#This Row],[Age]]&lt;40,"30-39",IF(Table1[[#This Row],[Age]]&lt;50,"40-49","50+")))</f>
        <v>20-29</v>
      </c>
      <c r="AA750" t="str">
        <f>IF(Table1[[#This Row],[Salary]]&lt;20000000,"low",IF(Table1[[#This Row],[Salary]]&lt;40000000,"medium","high"))</f>
        <v>low</v>
      </c>
      <c r="AB750">
        <f>YEAR(Table1[[#This Row],[Hire Date]])</f>
        <v>2019</v>
      </c>
      <c r="AC750" t="str">
        <f>TEXT(Table1[[#This Row],[Hire Date]],"mmmm")</f>
        <v>اوت</v>
      </c>
      <c r="AD750" t="str">
        <f>IF(Table1[[#This Row],[Resigned]]="yes","former","active")</f>
        <v>active</v>
      </c>
    </row>
    <row r="751" spans="1:30" x14ac:dyDescent="0.3">
      <c r="A751" t="s">
        <v>1567</v>
      </c>
      <c r="B751" t="s">
        <v>1568</v>
      </c>
      <c r="C751" t="s">
        <v>27</v>
      </c>
      <c r="D751">
        <v>51</v>
      </c>
      <c r="E751" t="s">
        <v>73</v>
      </c>
      <c r="F751" t="s">
        <v>74</v>
      </c>
      <c r="G751" t="s">
        <v>58</v>
      </c>
      <c r="H751" t="s">
        <v>42</v>
      </c>
      <c r="I751" t="s">
        <v>32</v>
      </c>
      <c r="J751" s="1">
        <v>44397</v>
      </c>
      <c r="K751">
        <v>5</v>
      </c>
      <c r="L751">
        <v>15496442</v>
      </c>
      <c r="M751">
        <v>7484452</v>
      </c>
      <c r="N751" t="s">
        <v>33</v>
      </c>
      <c r="O751">
        <v>4.0599999999999996</v>
      </c>
      <c r="P751">
        <v>62</v>
      </c>
      <c r="Q751">
        <v>4</v>
      </c>
      <c r="R751">
        <v>3</v>
      </c>
      <c r="S751">
        <v>13</v>
      </c>
      <c r="T751" t="s">
        <v>33</v>
      </c>
      <c r="U751" t="s">
        <v>33</v>
      </c>
      <c r="V751" t="s">
        <v>59</v>
      </c>
      <c r="W751" t="s">
        <v>33</v>
      </c>
      <c r="X751" t="s">
        <v>36</v>
      </c>
      <c r="Y751" t="s">
        <v>60</v>
      </c>
      <c r="Z751" t="str">
        <f>IF(Table1[[#This Row],[Age]]&lt;30,"20-29",IF(Table1[[#This Row],[Age]]&lt;40,"30-39",IF(Table1[[#This Row],[Age]]&lt;50,"40-49","50+")))</f>
        <v>50+</v>
      </c>
      <c r="AA751" t="str">
        <f>IF(Table1[[#This Row],[Salary]]&lt;20000000,"low",IF(Table1[[#This Row],[Salary]]&lt;40000000,"medium","high"))</f>
        <v>low</v>
      </c>
      <c r="AB751">
        <f>YEAR(Table1[[#This Row],[Hire Date]])</f>
        <v>2021</v>
      </c>
      <c r="AC751" t="str">
        <f>TEXT(Table1[[#This Row],[Hire Date]],"mmmm")</f>
        <v>ژوئيه</v>
      </c>
      <c r="AD751" t="str">
        <f>IF(Table1[[#This Row],[Resigned]]="yes","former","active")</f>
        <v>former</v>
      </c>
    </row>
    <row r="752" spans="1:30" x14ac:dyDescent="0.3">
      <c r="A752" t="s">
        <v>1569</v>
      </c>
      <c r="B752" t="s">
        <v>1570</v>
      </c>
      <c r="C752" t="s">
        <v>39</v>
      </c>
      <c r="D752">
        <v>23</v>
      </c>
      <c r="E752" t="s">
        <v>28</v>
      </c>
      <c r="F752" t="s">
        <v>29</v>
      </c>
      <c r="G752" t="s">
        <v>30</v>
      </c>
      <c r="H752" t="s">
        <v>31</v>
      </c>
      <c r="I752" t="s">
        <v>81</v>
      </c>
      <c r="J752" s="1">
        <v>43809</v>
      </c>
      <c r="K752">
        <v>7</v>
      </c>
      <c r="L752">
        <v>24417333</v>
      </c>
      <c r="M752">
        <v>205033</v>
      </c>
      <c r="N752" t="s">
        <v>33</v>
      </c>
      <c r="O752">
        <v>3.37</v>
      </c>
      <c r="P752">
        <v>32</v>
      </c>
      <c r="Q752">
        <v>4</v>
      </c>
      <c r="R752">
        <v>4</v>
      </c>
      <c r="S752">
        <v>13</v>
      </c>
      <c r="T752" t="s">
        <v>34</v>
      </c>
      <c r="U752" t="s">
        <v>33</v>
      </c>
      <c r="V752" t="s">
        <v>35</v>
      </c>
      <c r="W752" t="s">
        <v>34</v>
      </c>
      <c r="X752" t="s">
        <v>45</v>
      </c>
      <c r="Y752" t="s">
        <v>53</v>
      </c>
      <c r="Z752" t="str">
        <f>IF(Table1[[#This Row],[Age]]&lt;30,"20-29",IF(Table1[[#This Row],[Age]]&lt;40,"30-39",IF(Table1[[#This Row],[Age]]&lt;50,"40-49","50+")))</f>
        <v>20-29</v>
      </c>
      <c r="AA752" t="str">
        <f>IF(Table1[[#This Row],[Salary]]&lt;20000000,"low",IF(Table1[[#This Row],[Salary]]&lt;40000000,"medium","high"))</f>
        <v>medium</v>
      </c>
      <c r="AB752">
        <f>YEAR(Table1[[#This Row],[Hire Date]])</f>
        <v>2019</v>
      </c>
      <c r="AC752" t="str">
        <f>TEXT(Table1[[#This Row],[Hire Date]],"mmmm")</f>
        <v>دسامبر</v>
      </c>
      <c r="AD752" t="str">
        <f>IF(Table1[[#This Row],[Resigned]]="yes","former","active")</f>
        <v>former</v>
      </c>
    </row>
    <row r="753" spans="1:30" x14ac:dyDescent="0.3">
      <c r="A753" t="s">
        <v>1571</v>
      </c>
      <c r="B753" t="s">
        <v>1572</v>
      </c>
      <c r="C753" t="s">
        <v>39</v>
      </c>
      <c r="D753">
        <v>33</v>
      </c>
      <c r="E753" t="s">
        <v>73</v>
      </c>
      <c r="F753" t="s">
        <v>127</v>
      </c>
      <c r="G753" t="s">
        <v>58</v>
      </c>
      <c r="H753" t="s">
        <v>31</v>
      </c>
      <c r="I753" t="s">
        <v>43</v>
      </c>
      <c r="J753" s="1">
        <v>44233</v>
      </c>
      <c r="K753">
        <v>5</v>
      </c>
      <c r="L753">
        <v>55175193</v>
      </c>
      <c r="M753">
        <v>6505801</v>
      </c>
      <c r="N753" t="s">
        <v>33</v>
      </c>
      <c r="O753">
        <v>4.87</v>
      </c>
      <c r="P753">
        <v>60</v>
      </c>
      <c r="Q753">
        <v>2</v>
      </c>
      <c r="R753">
        <v>1</v>
      </c>
      <c r="S753">
        <v>16</v>
      </c>
      <c r="T753" t="s">
        <v>33</v>
      </c>
      <c r="U753" t="s">
        <v>34</v>
      </c>
      <c r="V753" t="s">
        <v>44</v>
      </c>
      <c r="W753" t="s">
        <v>33</v>
      </c>
      <c r="X753" t="s">
        <v>45</v>
      </c>
      <c r="Z753" t="str">
        <f>IF(Table1[[#This Row],[Age]]&lt;30,"20-29",IF(Table1[[#This Row],[Age]]&lt;40,"30-39",IF(Table1[[#This Row],[Age]]&lt;50,"40-49","50+")))</f>
        <v>30-39</v>
      </c>
      <c r="AA753" t="str">
        <f>IF(Table1[[#This Row],[Salary]]&lt;20000000,"low",IF(Table1[[#This Row],[Salary]]&lt;40000000,"medium","high"))</f>
        <v>high</v>
      </c>
      <c r="AB753">
        <f>YEAR(Table1[[#This Row],[Hire Date]])</f>
        <v>2021</v>
      </c>
      <c r="AC753" t="str">
        <f>TEXT(Table1[[#This Row],[Hire Date]],"mmmm")</f>
        <v>فوريه</v>
      </c>
      <c r="AD753" t="str">
        <f>IF(Table1[[#This Row],[Resigned]]="yes","former","active")</f>
        <v>active</v>
      </c>
    </row>
    <row r="754" spans="1:30" x14ac:dyDescent="0.3">
      <c r="A754" t="s">
        <v>1573</v>
      </c>
      <c r="B754" t="s">
        <v>1574</v>
      </c>
      <c r="C754" t="s">
        <v>39</v>
      </c>
      <c r="D754">
        <v>25</v>
      </c>
      <c r="E754" t="s">
        <v>63</v>
      </c>
      <c r="F754" t="s">
        <v>93</v>
      </c>
      <c r="G754" t="s">
        <v>58</v>
      </c>
      <c r="H754" t="s">
        <v>42</v>
      </c>
      <c r="I754" t="s">
        <v>65</v>
      </c>
      <c r="J754" s="1">
        <v>42696</v>
      </c>
      <c r="K754">
        <v>10</v>
      </c>
      <c r="L754">
        <v>37384840</v>
      </c>
      <c r="M754">
        <v>4335818</v>
      </c>
      <c r="N754" t="s">
        <v>34</v>
      </c>
      <c r="O754">
        <v>3.94</v>
      </c>
      <c r="P754">
        <v>29</v>
      </c>
      <c r="Q754">
        <v>3</v>
      </c>
      <c r="R754">
        <v>5</v>
      </c>
      <c r="S754">
        <v>8</v>
      </c>
      <c r="T754" t="s">
        <v>34</v>
      </c>
      <c r="U754" t="s">
        <v>34</v>
      </c>
      <c r="V754" t="s">
        <v>44</v>
      </c>
      <c r="W754" t="s">
        <v>33</v>
      </c>
      <c r="X754" t="s">
        <v>45</v>
      </c>
      <c r="Z754" t="str">
        <f>IF(Table1[[#This Row],[Age]]&lt;30,"20-29",IF(Table1[[#This Row],[Age]]&lt;40,"30-39",IF(Table1[[#This Row],[Age]]&lt;50,"40-49","50+")))</f>
        <v>20-29</v>
      </c>
      <c r="AA754" t="str">
        <f>IF(Table1[[#This Row],[Salary]]&lt;20000000,"low",IF(Table1[[#This Row],[Salary]]&lt;40000000,"medium","high"))</f>
        <v>medium</v>
      </c>
      <c r="AB754">
        <f>YEAR(Table1[[#This Row],[Hire Date]])</f>
        <v>2016</v>
      </c>
      <c r="AC754" t="str">
        <f>TEXT(Table1[[#This Row],[Hire Date]],"mmmm")</f>
        <v>نوامبر</v>
      </c>
      <c r="AD754" t="str">
        <f>IF(Table1[[#This Row],[Resigned]]="yes","former","active")</f>
        <v>active</v>
      </c>
    </row>
    <row r="755" spans="1:30" x14ac:dyDescent="0.3">
      <c r="A755" t="s">
        <v>1575</v>
      </c>
      <c r="B755" t="s">
        <v>1576</v>
      </c>
      <c r="C755" t="s">
        <v>39</v>
      </c>
      <c r="D755">
        <v>56</v>
      </c>
      <c r="E755" t="s">
        <v>40</v>
      </c>
      <c r="F755" t="s">
        <v>48</v>
      </c>
      <c r="G755" t="s">
        <v>30</v>
      </c>
      <c r="H755" t="s">
        <v>42</v>
      </c>
      <c r="I755" t="s">
        <v>50</v>
      </c>
      <c r="J755" s="1">
        <v>43208</v>
      </c>
      <c r="K755">
        <v>8</v>
      </c>
      <c r="L755">
        <v>48446809</v>
      </c>
      <c r="M755">
        <v>7364363</v>
      </c>
      <c r="N755" t="s">
        <v>34</v>
      </c>
      <c r="O755">
        <v>3.09</v>
      </c>
      <c r="P755">
        <v>69</v>
      </c>
      <c r="Q755">
        <v>1</v>
      </c>
      <c r="R755">
        <v>3</v>
      </c>
      <c r="S755">
        <v>4</v>
      </c>
      <c r="T755" t="s">
        <v>33</v>
      </c>
      <c r="U755" t="s">
        <v>34</v>
      </c>
      <c r="V755" t="s">
        <v>59</v>
      </c>
      <c r="W755" t="s">
        <v>34</v>
      </c>
      <c r="X755" t="s">
        <v>45</v>
      </c>
      <c r="Z755" t="str">
        <f>IF(Table1[[#This Row],[Age]]&lt;30,"20-29",IF(Table1[[#This Row],[Age]]&lt;40,"30-39",IF(Table1[[#This Row],[Age]]&lt;50,"40-49","50+")))</f>
        <v>50+</v>
      </c>
      <c r="AA755" t="str">
        <f>IF(Table1[[#This Row],[Salary]]&lt;20000000,"low",IF(Table1[[#This Row],[Salary]]&lt;40000000,"medium","high"))</f>
        <v>high</v>
      </c>
      <c r="AB755">
        <f>YEAR(Table1[[#This Row],[Hire Date]])</f>
        <v>2018</v>
      </c>
      <c r="AC755" t="str">
        <f>TEXT(Table1[[#This Row],[Hire Date]],"mmmm")</f>
        <v>آوريل</v>
      </c>
      <c r="AD755" t="str">
        <f>IF(Table1[[#This Row],[Resigned]]="yes","former","active")</f>
        <v>active</v>
      </c>
    </row>
    <row r="756" spans="1:30" x14ac:dyDescent="0.3">
      <c r="A756" t="s">
        <v>1577</v>
      </c>
      <c r="B756" t="s">
        <v>1578</v>
      </c>
      <c r="C756" t="s">
        <v>27</v>
      </c>
      <c r="D756">
        <v>34</v>
      </c>
      <c r="E756" t="s">
        <v>63</v>
      </c>
      <c r="F756" t="s">
        <v>64</v>
      </c>
      <c r="G756" t="s">
        <v>30</v>
      </c>
      <c r="H756" t="s">
        <v>31</v>
      </c>
      <c r="I756" t="s">
        <v>32</v>
      </c>
      <c r="J756" s="1">
        <v>45644</v>
      </c>
      <c r="K756">
        <v>2</v>
      </c>
      <c r="L756">
        <v>20410001</v>
      </c>
      <c r="M756">
        <v>7788868</v>
      </c>
      <c r="N756" t="s">
        <v>33</v>
      </c>
      <c r="O756">
        <v>4.68</v>
      </c>
      <c r="P756">
        <v>64</v>
      </c>
      <c r="Q756">
        <v>4</v>
      </c>
      <c r="R756">
        <v>2</v>
      </c>
      <c r="S756">
        <v>7</v>
      </c>
      <c r="T756" t="s">
        <v>33</v>
      </c>
      <c r="U756" t="s">
        <v>34</v>
      </c>
      <c r="V756" t="s">
        <v>51</v>
      </c>
      <c r="W756" t="s">
        <v>33</v>
      </c>
      <c r="X756" t="s">
        <v>45</v>
      </c>
      <c r="Z756" t="str">
        <f>IF(Table1[[#This Row],[Age]]&lt;30,"20-29",IF(Table1[[#This Row],[Age]]&lt;40,"30-39",IF(Table1[[#This Row],[Age]]&lt;50,"40-49","50+")))</f>
        <v>30-39</v>
      </c>
      <c r="AA756" t="str">
        <f>IF(Table1[[#This Row],[Salary]]&lt;20000000,"low",IF(Table1[[#This Row],[Salary]]&lt;40000000,"medium","high"))</f>
        <v>medium</v>
      </c>
      <c r="AB756">
        <f>YEAR(Table1[[#This Row],[Hire Date]])</f>
        <v>2024</v>
      </c>
      <c r="AC756" t="str">
        <f>TEXT(Table1[[#This Row],[Hire Date]],"mmmm")</f>
        <v>دسامبر</v>
      </c>
      <c r="AD756" t="str">
        <f>IF(Table1[[#This Row],[Resigned]]="yes","former","active")</f>
        <v>active</v>
      </c>
    </row>
    <row r="757" spans="1:30" x14ac:dyDescent="0.3">
      <c r="A757" t="s">
        <v>1579</v>
      </c>
      <c r="B757" t="s">
        <v>1580</v>
      </c>
      <c r="C757" t="s">
        <v>39</v>
      </c>
      <c r="D757">
        <v>24</v>
      </c>
      <c r="E757" t="s">
        <v>63</v>
      </c>
      <c r="F757" t="s">
        <v>64</v>
      </c>
      <c r="G757" t="s">
        <v>49</v>
      </c>
      <c r="H757" t="s">
        <v>42</v>
      </c>
      <c r="I757" t="s">
        <v>81</v>
      </c>
      <c r="J757" s="1">
        <v>43726</v>
      </c>
      <c r="K757">
        <v>7</v>
      </c>
      <c r="L757">
        <v>33671570</v>
      </c>
      <c r="M757">
        <v>3986911</v>
      </c>
      <c r="N757" t="s">
        <v>33</v>
      </c>
      <c r="O757">
        <v>3.21</v>
      </c>
      <c r="P757">
        <v>38</v>
      </c>
      <c r="Q757">
        <v>1</v>
      </c>
      <c r="R757">
        <v>1</v>
      </c>
      <c r="S757">
        <v>20</v>
      </c>
      <c r="T757" t="s">
        <v>33</v>
      </c>
      <c r="U757" t="s">
        <v>34</v>
      </c>
      <c r="V757" t="s">
        <v>44</v>
      </c>
      <c r="W757" t="s">
        <v>34</v>
      </c>
      <c r="X757" t="s">
        <v>36</v>
      </c>
      <c r="Z757" t="str">
        <f>IF(Table1[[#This Row],[Age]]&lt;30,"20-29",IF(Table1[[#This Row],[Age]]&lt;40,"30-39",IF(Table1[[#This Row],[Age]]&lt;50,"40-49","50+")))</f>
        <v>20-29</v>
      </c>
      <c r="AA757" t="str">
        <f>IF(Table1[[#This Row],[Salary]]&lt;20000000,"low",IF(Table1[[#This Row],[Salary]]&lt;40000000,"medium","high"))</f>
        <v>medium</v>
      </c>
      <c r="AB757">
        <f>YEAR(Table1[[#This Row],[Hire Date]])</f>
        <v>2019</v>
      </c>
      <c r="AC757" t="str">
        <f>TEXT(Table1[[#This Row],[Hire Date]],"mmmm")</f>
        <v>سپتامبر</v>
      </c>
      <c r="AD757" t="str">
        <f>IF(Table1[[#This Row],[Resigned]]="yes","former","active")</f>
        <v>active</v>
      </c>
    </row>
    <row r="758" spans="1:30" x14ac:dyDescent="0.3">
      <c r="A758" t="s">
        <v>1581</v>
      </c>
      <c r="B758" t="s">
        <v>1582</v>
      </c>
      <c r="C758" t="s">
        <v>27</v>
      </c>
      <c r="D758">
        <v>51</v>
      </c>
      <c r="E758" t="s">
        <v>63</v>
      </c>
      <c r="F758" t="s">
        <v>64</v>
      </c>
      <c r="G758" t="s">
        <v>49</v>
      </c>
      <c r="H758" t="s">
        <v>31</v>
      </c>
      <c r="I758" t="s">
        <v>43</v>
      </c>
      <c r="J758" s="1">
        <v>45414</v>
      </c>
      <c r="K758">
        <v>2</v>
      </c>
      <c r="L758">
        <v>53563232</v>
      </c>
      <c r="M758">
        <v>6938328</v>
      </c>
      <c r="N758" t="s">
        <v>33</v>
      </c>
      <c r="O758">
        <v>4.13</v>
      </c>
      <c r="P758">
        <v>48</v>
      </c>
      <c r="Q758">
        <v>3</v>
      </c>
      <c r="R758">
        <v>3</v>
      </c>
      <c r="S758">
        <v>9</v>
      </c>
      <c r="T758" t="s">
        <v>33</v>
      </c>
      <c r="U758" t="s">
        <v>34</v>
      </c>
      <c r="V758" t="s">
        <v>44</v>
      </c>
      <c r="W758" t="s">
        <v>34</v>
      </c>
      <c r="X758" t="s">
        <v>52</v>
      </c>
      <c r="Z758" t="str">
        <f>IF(Table1[[#This Row],[Age]]&lt;30,"20-29",IF(Table1[[#This Row],[Age]]&lt;40,"30-39",IF(Table1[[#This Row],[Age]]&lt;50,"40-49","50+")))</f>
        <v>50+</v>
      </c>
      <c r="AA758" t="str">
        <f>IF(Table1[[#This Row],[Salary]]&lt;20000000,"low",IF(Table1[[#This Row],[Salary]]&lt;40000000,"medium","high"))</f>
        <v>high</v>
      </c>
      <c r="AB758">
        <f>YEAR(Table1[[#This Row],[Hire Date]])</f>
        <v>2024</v>
      </c>
      <c r="AC758" t="str">
        <f>TEXT(Table1[[#This Row],[Hire Date]],"mmmm")</f>
        <v>مه</v>
      </c>
      <c r="AD758" t="str">
        <f>IF(Table1[[#This Row],[Resigned]]="yes","former","active")</f>
        <v>active</v>
      </c>
    </row>
    <row r="759" spans="1:30" x14ac:dyDescent="0.3">
      <c r="A759" t="s">
        <v>1583</v>
      </c>
      <c r="B759" t="s">
        <v>1584</v>
      </c>
      <c r="C759" t="s">
        <v>27</v>
      </c>
      <c r="D759">
        <v>48</v>
      </c>
      <c r="E759" t="s">
        <v>110</v>
      </c>
      <c r="F759" t="s">
        <v>111</v>
      </c>
      <c r="G759" t="s">
        <v>49</v>
      </c>
      <c r="H759" t="s">
        <v>31</v>
      </c>
      <c r="I759" t="s">
        <v>43</v>
      </c>
      <c r="J759" s="1">
        <v>44902</v>
      </c>
      <c r="K759">
        <v>4</v>
      </c>
      <c r="L759">
        <v>50207880</v>
      </c>
      <c r="M759">
        <v>1598587</v>
      </c>
      <c r="N759" t="s">
        <v>34</v>
      </c>
      <c r="O759">
        <v>3.34</v>
      </c>
      <c r="P759">
        <v>39</v>
      </c>
      <c r="Q759">
        <v>2</v>
      </c>
      <c r="R759">
        <v>5</v>
      </c>
      <c r="S759">
        <v>20</v>
      </c>
      <c r="T759" t="s">
        <v>33</v>
      </c>
      <c r="U759" t="s">
        <v>34</v>
      </c>
      <c r="V759" t="s">
        <v>59</v>
      </c>
      <c r="W759" t="s">
        <v>34</v>
      </c>
      <c r="X759" t="s">
        <v>45</v>
      </c>
      <c r="Z759" t="str">
        <f>IF(Table1[[#This Row],[Age]]&lt;30,"20-29",IF(Table1[[#This Row],[Age]]&lt;40,"30-39",IF(Table1[[#This Row],[Age]]&lt;50,"40-49","50+")))</f>
        <v>40-49</v>
      </c>
      <c r="AA759" t="str">
        <f>IF(Table1[[#This Row],[Salary]]&lt;20000000,"low",IF(Table1[[#This Row],[Salary]]&lt;40000000,"medium","high"))</f>
        <v>high</v>
      </c>
      <c r="AB759">
        <f>YEAR(Table1[[#This Row],[Hire Date]])</f>
        <v>2022</v>
      </c>
      <c r="AC759" t="str">
        <f>TEXT(Table1[[#This Row],[Hire Date]],"mmmm")</f>
        <v>دسامبر</v>
      </c>
      <c r="AD759" t="str">
        <f>IF(Table1[[#This Row],[Resigned]]="yes","former","active")</f>
        <v>active</v>
      </c>
    </row>
    <row r="760" spans="1:30" x14ac:dyDescent="0.3">
      <c r="A760" t="s">
        <v>1585</v>
      </c>
      <c r="B760" t="s">
        <v>1586</v>
      </c>
      <c r="C760" t="s">
        <v>39</v>
      </c>
      <c r="D760">
        <v>22</v>
      </c>
      <c r="E760" t="s">
        <v>110</v>
      </c>
      <c r="F760" t="s">
        <v>111</v>
      </c>
      <c r="G760" t="s">
        <v>30</v>
      </c>
      <c r="H760" t="s">
        <v>42</v>
      </c>
      <c r="I760" t="s">
        <v>32</v>
      </c>
      <c r="J760" s="1">
        <v>43568</v>
      </c>
      <c r="K760">
        <v>7</v>
      </c>
      <c r="L760">
        <v>41949496</v>
      </c>
      <c r="M760">
        <v>9914221</v>
      </c>
      <c r="N760" t="s">
        <v>33</v>
      </c>
      <c r="O760">
        <v>4.1900000000000004</v>
      </c>
      <c r="P760">
        <v>60</v>
      </c>
      <c r="Q760">
        <v>5</v>
      </c>
      <c r="R760">
        <v>3</v>
      </c>
      <c r="S760">
        <v>15</v>
      </c>
      <c r="T760" t="s">
        <v>33</v>
      </c>
      <c r="U760" t="s">
        <v>34</v>
      </c>
      <c r="V760" t="s">
        <v>44</v>
      </c>
      <c r="W760" t="s">
        <v>33</v>
      </c>
      <c r="X760" t="s">
        <v>45</v>
      </c>
      <c r="Z760" t="str">
        <f>IF(Table1[[#This Row],[Age]]&lt;30,"20-29",IF(Table1[[#This Row],[Age]]&lt;40,"30-39",IF(Table1[[#This Row],[Age]]&lt;50,"40-49","50+")))</f>
        <v>20-29</v>
      </c>
      <c r="AA760" t="str">
        <f>IF(Table1[[#This Row],[Salary]]&lt;20000000,"low",IF(Table1[[#This Row],[Salary]]&lt;40000000,"medium","high"))</f>
        <v>high</v>
      </c>
      <c r="AB760">
        <f>YEAR(Table1[[#This Row],[Hire Date]])</f>
        <v>2019</v>
      </c>
      <c r="AC760" t="str">
        <f>TEXT(Table1[[#This Row],[Hire Date]],"mmmm")</f>
        <v>آوريل</v>
      </c>
      <c r="AD760" t="str">
        <f>IF(Table1[[#This Row],[Resigned]]="yes","former","active")</f>
        <v>active</v>
      </c>
    </row>
    <row r="761" spans="1:30" x14ac:dyDescent="0.3">
      <c r="A761" t="s">
        <v>1587</v>
      </c>
      <c r="B761" t="s">
        <v>1588</v>
      </c>
      <c r="C761" t="s">
        <v>39</v>
      </c>
      <c r="D761">
        <v>53</v>
      </c>
      <c r="E761" t="s">
        <v>40</v>
      </c>
      <c r="F761" t="s">
        <v>48</v>
      </c>
      <c r="G761" t="s">
        <v>30</v>
      </c>
      <c r="H761" t="s">
        <v>42</v>
      </c>
      <c r="I761" t="s">
        <v>65</v>
      </c>
      <c r="J761" s="1">
        <v>45191</v>
      </c>
      <c r="K761">
        <v>3</v>
      </c>
      <c r="L761">
        <v>21037787</v>
      </c>
      <c r="M761">
        <v>9463112</v>
      </c>
      <c r="N761" t="s">
        <v>34</v>
      </c>
      <c r="O761">
        <v>3.1</v>
      </c>
      <c r="P761">
        <v>36</v>
      </c>
      <c r="Q761">
        <v>4</v>
      </c>
      <c r="R761">
        <v>4</v>
      </c>
      <c r="S761">
        <v>15</v>
      </c>
      <c r="T761" t="s">
        <v>34</v>
      </c>
      <c r="U761" t="s">
        <v>34</v>
      </c>
      <c r="V761" t="s">
        <v>59</v>
      </c>
      <c r="W761" t="s">
        <v>34</v>
      </c>
      <c r="X761" t="s">
        <v>45</v>
      </c>
      <c r="Z761" t="str">
        <f>IF(Table1[[#This Row],[Age]]&lt;30,"20-29",IF(Table1[[#This Row],[Age]]&lt;40,"30-39",IF(Table1[[#This Row],[Age]]&lt;50,"40-49","50+")))</f>
        <v>50+</v>
      </c>
      <c r="AA761" t="str">
        <f>IF(Table1[[#This Row],[Salary]]&lt;20000000,"low",IF(Table1[[#This Row],[Salary]]&lt;40000000,"medium","high"))</f>
        <v>medium</v>
      </c>
      <c r="AB761">
        <f>YEAR(Table1[[#This Row],[Hire Date]])</f>
        <v>2023</v>
      </c>
      <c r="AC761" t="str">
        <f>TEXT(Table1[[#This Row],[Hire Date]],"mmmm")</f>
        <v>سپتامبر</v>
      </c>
      <c r="AD761" t="str">
        <f>IF(Table1[[#This Row],[Resigned]]="yes","former","active")</f>
        <v>active</v>
      </c>
    </row>
    <row r="762" spans="1:30" x14ac:dyDescent="0.3">
      <c r="A762" t="s">
        <v>1589</v>
      </c>
      <c r="B762" t="s">
        <v>1590</v>
      </c>
      <c r="C762" t="s">
        <v>27</v>
      </c>
      <c r="D762">
        <v>52</v>
      </c>
      <c r="E762" t="s">
        <v>56</v>
      </c>
      <c r="F762" t="s">
        <v>84</v>
      </c>
      <c r="G762" t="s">
        <v>30</v>
      </c>
      <c r="H762" t="s">
        <v>42</v>
      </c>
      <c r="I762" t="s">
        <v>65</v>
      </c>
      <c r="J762" s="1">
        <v>45798</v>
      </c>
      <c r="K762">
        <v>1</v>
      </c>
      <c r="L762">
        <v>36700644</v>
      </c>
      <c r="M762">
        <v>607134</v>
      </c>
      <c r="N762" t="s">
        <v>34</v>
      </c>
      <c r="O762">
        <v>3.08</v>
      </c>
      <c r="P762">
        <v>43</v>
      </c>
      <c r="Q762">
        <v>2</v>
      </c>
      <c r="R762">
        <v>2</v>
      </c>
      <c r="S762">
        <v>11</v>
      </c>
      <c r="T762" t="s">
        <v>34</v>
      </c>
      <c r="U762" t="s">
        <v>34</v>
      </c>
      <c r="V762" t="s">
        <v>59</v>
      </c>
      <c r="W762" t="s">
        <v>33</v>
      </c>
      <c r="X762" t="s">
        <v>36</v>
      </c>
      <c r="Z762" t="str">
        <f>IF(Table1[[#This Row],[Age]]&lt;30,"20-29",IF(Table1[[#This Row],[Age]]&lt;40,"30-39",IF(Table1[[#This Row],[Age]]&lt;50,"40-49","50+")))</f>
        <v>50+</v>
      </c>
      <c r="AA762" t="str">
        <f>IF(Table1[[#This Row],[Salary]]&lt;20000000,"low",IF(Table1[[#This Row],[Salary]]&lt;40000000,"medium","high"))</f>
        <v>medium</v>
      </c>
      <c r="AB762">
        <f>YEAR(Table1[[#This Row],[Hire Date]])</f>
        <v>2025</v>
      </c>
      <c r="AC762" t="str">
        <f>TEXT(Table1[[#This Row],[Hire Date]],"mmmm")</f>
        <v>مه</v>
      </c>
      <c r="AD762" t="str">
        <f>IF(Table1[[#This Row],[Resigned]]="yes","former","active")</f>
        <v>active</v>
      </c>
    </row>
    <row r="763" spans="1:30" x14ac:dyDescent="0.3">
      <c r="A763" t="s">
        <v>1591</v>
      </c>
      <c r="B763" t="s">
        <v>1592</v>
      </c>
      <c r="C763" t="s">
        <v>39</v>
      </c>
      <c r="D763">
        <v>46</v>
      </c>
      <c r="E763" t="s">
        <v>63</v>
      </c>
      <c r="F763" t="s">
        <v>64</v>
      </c>
      <c r="G763" t="s">
        <v>58</v>
      </c>
      <c r="H763" t="s">
        <v>31</v>
      </c>
      <c r="I763" t="s">
        <v>65</v>
      </c>
      <c r="J763" s="1">
        <v>44355</v>
      </c>
      <c r="K763">
        <v>5</v>
      </c>
      <c r="L763">
        <v>42934726</v>
      </c>
      <c r="M763">
        <v>6087297</v>
      </c>
      <c r="N763" t="s">
        <v>33</v>
      </c>
      <c r="O763">
        <v>3.98</v>
      </c>
      <c r="P763">
        <v>5</v>
      </c>
      <c r="Q763">
        <v>3</v>
      </c>
      <c r="R763">
        <v>3</v>
      </c>
      <c r="S763">
        <v>11</v>
      </c>
      <c r="T763" t="s">
        <v>34</v>
      </c>
      <c r="U763" t="s">
        <v>34</v>
      </c>
      <c r="V763" t="s">
        <v>51</v>
      </c>
      <c r="W763" t="s">
        <v>34</v>
      </c>
      <c r="X763" t="s">
        <v>52</v>
      </c>
      <c r="Z763" t="str">
        <f>IF(Table1[[#This Row],[Age]]&lt;30,"20-29",IF(Table1[[#This Row],[Age]]&lt;40,"30-39",IF(Table1[[#This Row],[Age]]&lt;50,"40-49","50+")))</f>
        <v>40-49</v>
      </c>
      <c r="AA763" t="str">
        <f>IF(Table1[[#This Row],[Salary]]&lt;20000000,"low",IF(Table1[[#This Row],[Salary]]&lt;40000000,"medium","high"))</f>
        <v>high</v>
      </c>
      <c r="AB763">
        <f>YEAR(Table1[[#This Row],[Hire Date]])</f>
        <v>2021</v>
      </c>
      <c r="AC763" t="str">
        <f>TEXT(Table1[[#This Row],[Hire Date]],"mmmm")</f>
        <v>ژوئن</v>
      </c>
      <c r="AD763" t="str">
        <f>IF(Table1[[#This Row],[Resigned]]="yes","former","active")</f>
        <v>active</v>
      </c>
    </row>
    <row r="764" spans="1:30" x14ac:dyDescent="0.3">
      <c r="A764" t="s">
        <v>1593</v>
      </c>
      <c r="B764" t="s">
        <v>1594</v>
      </c>
      <c r="C764" t="s">
        <v>39</v>
      </c>
      <c r="D764">
        <v>42</v>
      </c>
      <c r="E764" t="s">
        <v>110</v>
      </c>
      <c r="F764" t="s">
        <v>111</v>
      </c>
      <c r="G764" t="s">
        <v>58</v>
      </c>
      <c r="H764" t="s">
        <v>42</v>
      </c>
      <c r="I764" t="s">
        <v>43</v>
      </c>
      <c r="J764" s="1">
        <v>45029</v>
      </c>
      <c r="K764">
        <v>3</v>
      </c>
      <c r="L764">
        <v>45892466</v>
      </c>
      <c r="M764">
        <v>748574</v>
      </c>
      <c r="N764" t="s">
        <v>34</v>
      </c>
      <c r="O764">
        <v>2.71</v>
      </c>
      <c r="P764">
        <v>60</v>
      </c>
      <c r="Q764">
        <v>2</v>
      </c>
      <c r="R764">
        <v>2</v>
      </c>
      <c r="S764">
        <v>3</v>
      </c>
      <c r="T764" t="s">
        <v>33</v>
      </c>
      <c r="U764" t="s">
        <v>34</v>
      </c>
      <c r="V764" t="s">
        <v>44</v>
      </c>
      <c r="W764" t="s">
        <v>33</v>
      </c>
      <c r="X764" t="s">
        <v>45</v>
      </c>
      <c r="Z764" t="str">
        <f>IF(Table1[[#This Row],[Age]]&lt;30,"20-29",IF(Table1[[#This Row],[Age]]&lt;40,"30-39",IF(Table1[[#This Row],[Age]]&lt;50,"40-49","50+")))</f>
        <v>40-49</v>
      </c>
      <c r="AA764" t="str">
        <f>IF(Table1[[#This Row],[Salary]]&lt;20000000,"low",IF(Table1[[#This Row],[Salary]]&lt;40000000,"medium","high"))</f>
        <v>high</v>
      </c>
      <c r="AB764">
        <f>YEAR(Table1[[#This Row],[Hire Date]])</f>
        <v>2023</v>
      </c>
      <c r="AC764" t="str">
        <f>TEXT(Table1[[#This Row],[Hire Date]],"mmmm")</f>
        <v>آوريل</v>
      </c>
      <c r="AD764" t="str">
        <f>IF(Table1[[#This Row],[Resigned]]="yes","former","active")</f>
        <v>active</v>
      </c>
    </row>
    <row r="765" spans="1:30" x14ac:dyDescent="0.3">
      <c r="A765" t="s">
        <v>1595</v>
      </c>
      <c r="B765" t="s">
        <v>1596</v>
      </c>
      <c r="C765" t="s">
        <v>39</v>
      </c>
      <c r="D765">
        <v>36</v>
      </c>
      <c r="E765" t="s">
        <v>73</v>
      </c>
      <c r="F765" t="s">
        <v>127</v>
      </c>
      <c r="G765" t="s">
        <v>58</v>
      </c>
      <c r="H765" t="s">
        <v>31</v>
      </c>
      <c r="I765" t="s">
        <v>65</v>
      </c>
      <c r="J765" s="1">
        <v>43904</v>
      </c>
      <c r="K765">
        <v>6</v>
      </c>
      <c r="L765">
        <v>41113632</v>
      </c>
      <c r="M765">
        <v>7577554</v>
      </c>
      <c r="N765" t="s">
        <v>34</v>
      </c>
      <c r="O765">
        <v>4.33</v>
      </c>
      <c r="P765">
        <v>46</v>
      </c>
      <c r="Q765">
        <v>5</v>
      </c>
      <c r="R765">
        <v>2</v>
      </c>
      <c r="S765">
        <v>8</v>
      </c>
      <c r="T765" t="s">
        <v>33</v>
      </c>
      <c r="U765" t="s">
        <v>34</v>
      </c>
      <c r="V765" t="s">
        <v>59</v>
      </c>
      <c r="W765" t="s">
        <v>33</v>
      </c>
      <c r="X765" t="s">
        <v>36</v>
      </c>
      <c r="Z765" t="str">
        <f>IF(Table1[[#This Row],[Age]]&lt;30,"20-29",IF(Table1[[#This Row],[Age]]&lt;40,"30-39",IF(Table1[[#This Row],[Age]]&lt;50,"40-49","50+")))</f>
        <v>30-39</v>
      </c>
      <c r="AA765" t="str">
        <f>IF(Table1[[#This Row],[Salary]]&lt;20000000,"low",IF(Table1[[#This Row],[Salary]]&lt;40000000,"medium","high"))</f>
        <v>high</v>
      </c>
      <c r="AB765">
        <f>YEAR(Table1[[#This Row],[Hire Date]])</f>
        <v>2020</v>
      </c>
      <c r="AC765" t="str">
        <f>TEXT(Table1[[#This Row],[Hire Date]],"mmmm")</f>
        <v>مارس</v>
      </c>
      <c r="AD765" t="str">
        <f>IF(Table1[[#This Row],[Resigned]]="yes","former","active")</f>
        <v>active</v>
      </c>
    </row>
    <row r="766" spans="1:30" x14ac:dyDescent="0.3">
      <c r="A766" t="s">
        <v>1597</v>
      </c>
      <c r="B766" t="s">
        <v>1598</v>
      </c>
      <c r="C766" t="s">
        <v>39</v>
      </c>
      <c r="D766">
        <v>38</v>
      </c>
      <c r="E766" t="s">
        <v>110</v>
      </c>
      <c r="F766" t="s">
        <v>111</v>
      </c>
      <c r="G766" t="s">
        <v>58</v>
      </c>
      <c r="H766" t="s">
        <v>31</v>
      </c>
      <c r="I766" t="s">
        <v>43</v>
      </c>
      <c r="J766" s="1">
        <v>44913</v>
      </c>
      <c r="K766">
        <v>4</v>
      </c>
      <c r="L766">
        <v>56487484</v>
      </c>
      <c r="M766">
        <v>3797587</v>
      </c>
      <c r="N766" t="s">
        <v>33</v>
      </c>
      <c r="O766">
        <v>3.49</v>
      </c>
      <c r="P766">
        <v>11</v>
      </c>
      <c r="Q766">
        <v>2</v>
      </c>
      <c r="R766">
        <v>1</v>
      </c>
      <c r="S766">
        <v>8</v>
      </c>
      <c r="T766" t="s">
        <v>33</v>
      </c>
      <c r="U766" t="s">
        <v>33</v>
      </c>
      <c r="V766" t="s">
        <v>70</v>
      </c>
      <c r="W766" t="s">
        <v>33</v>
      </c>
      <c r="X766" t="s">
        <v>36</v>
      </c>
      <c r="Y766" t="s">
        <v>162</v>
      </c>
      <c r="Z766" t="str">
        <f>IF(Table1[[#This Row],[Age]]&lt;30,"20-29",IF(Table1[[#This Row],[Age]]&lt;40,"30-39",IF(Table1[[#This Row],[Age]]&lt;50,"40-49","50+")))</f>
        <v>30-39</v>
      </c>
      <c r="AA766" t="str">
        <f>IF(Table1[[#This Row],[Salary]]&lt;20000000,"low",IF(Table1[[#This Row],[Salary]]&lt;40000000,"medium","high"))</f>
        <v>high</v>
      </c>
      <c r="AB766">
        <f>YEAR(Table1[[#This Row],[Hire Date]])</f>
        <v>2022</v>
      </c>
      <c r="AC766" t="str">
        <f>TEXT(Table1[[#This Row],[Hire Date]],"mmmm")</f>
        <v>دسامبر</v>
      </c>
      <c r="AD766" t="str">
        <f>IF(Table1[[#This Row],[Resigned]]="yes","former","active")</f>
        <v>former</v>
      </c>
    </row>
    <row r="767" spans="1:30" x14ac:dyDescent="0.3">
      <c r="A767" t="s">
        <v>1599</v>
      </c>
      <c r="B767" t="s">
        <v>1600</v>
      </c>
      <c r="C767" t="s">
        <v>39</v>
      </c>
      <c r="D767">
        <v>25</v>
      </c>
      <c r="E767" t="s">
        <v>28</v>
      </c>
      <c r="F767" t="s">
        <v>80</v>
      </c>
      <c r="G767" t="s">
        <v>30</v>
      </c>
      <c r="H767" t="s">
        <v>42</v>
      </c>
      <c r="I767" t="s">
        <v>32</v>
      </c>
      <c r="J767" s="1">
        <v>45154</v>
      </c>
      <c r="K767">
        <v>3</v>
      </c>
      <c r="L767">
        <v>12662222</v>
      </c>
      <c r="M767">
        <v>3322765</v>
      </c>
      <c r="N767" t="s">
        <v>33</v>
      </c>
      <c r="O767">
        <v>4.4800000000000004</v>
      </c>
      <c r="P767">
        <v>8</v>
      </c>
      <c r="Q767">
        <v>2</v>
      </c>
      <c r="R767">
        <v>2</v>
      </c>
      <c r="S767">
        <v>14</v>
      </c>
      <c r="T767" t="s">
        <v>33</v>
      </c>
      <c r="U767" t="s">
        <v>34</v>
      </c>
      <c r="V767" t="s">
        <v>70</v>
      </c>
      <c r="W767" t="s">
        <v>34</v>
      </c>
      <c r="X767" t="s">
        <v>36</v>
      </c>
      <c r="Z767" t="str">
        <f>IF(Table1[[#This Row],[Age]]&lt;30,"20-29",IF(Table1[[#This Row],[Age]]&lt;40,"30-39",IF(Table1[[#This Row],[Age]]&lt;50,"40-49","50+")))</f>
        <v>20-29</v>
      </c>
      <c r="AA767" t="str">
        <f>IF(Table1[[#This Row],[Salary]]&lt;20000000,"low",IF(Table1[[#This Row],[Salary]]&lt;40000000,"medium","high"))</f>
        <v>low</v>
      </c>
      <c r="AB767">
        <f>YEAR(Table1[[#This Row],[Hire Date]])</f>
        <v>2023</v>
      </c>
      <c r="AC767" t="str">
        <f>TEXT(Table1[[#This Row],[Hire Date]],"mmmm")</f>
        <v>اوت</v>
      </c>
      <c r="AD767" t="str">
        <f>IF(Table1[[#This Row],[Resigned]]="yes","former","active")</f>
        <v>active</v>
      </c>
    </row>
    <row r="768" spans="1:30" x14ac:dyDescent="0.3">
      <c r="A768" t="s">
        <v>1601</v>
      </c>
      <c r="B768" t="s">
        <v>1602</v>
      </c>
      <c r="C768" t="s">
        <v>27</v>
      </c>
      <c r="D768">
        <v>33</v>
      </c>
      <c r="E768" t="s">
        <v>56</v>
      </c>
      <c r="F768" t="s">
        <v>84</v>
      </c>
      <c r="G768" t="s">
        <v>49</v>
      </c>
      <c r="H768" t="s">
        <v>42</v>
      </c>
      <c r="I768" t="s">
        <v>81</v>
      </c>
      <c r="J768" s="1">
        <v>43574</v>
      </c>
      <c r="K768">
        <v>7</v>
      </c>
      <c r="L768">
        <v>36918357</v>
      </c>
      <c r="M768">
        <v>2196638</v>
      </c>
      <c r="N768" t="s">
        <v>34</v>
      </c>
      <c r="O768">
        <v>2.59</v>
      </c>
      <c r="P768">
        <v>6</v>
      </c>
      <c r="Q768">
        <v>3</v>
      </c>
      <c r="R768">
        <v>4</v>
      </c>
      <c r="S768">
        <v>14</v>
      </c>
      <c r="T768" t="s">
        <v>34</v>
      </c>
      <c r="U768" t="s">
        <v>34</v>
      </c>
      <c r="V768" t="s">
        <v>70</v>
      </c>
      <c r="W768" t="s">
        <v>33</v>
      </c>
      <c r="X768" t="s">
        <v>45</v>
      </c>
      <c r="Z768" t="str">
        <f>IF(Table1[[#This Row],[Age]]&lt;30,"20-29",IF(Table1[[#This Row],[Age]]&lt;40,"30-39",IF(Table1[[#This Row],[Age]]&lt;50,"40-49","50+")))</f>
        <v>30-39</v>
      </c>
      <c r="AA768" t="str">
        <f>IF(Table1[[#This Row],[Salary]]&lt;20000000,"low",IF(Table1[[#This Row],[Salary]]&lt;40000000,"medium","high"))</f>
        <v>medium</v>
      </c>
      <c r="AB768">
        <f>YEAR(Table1[[#This Row],[Hire Date]])</f>
        <v>2019</v>
      </c>
      <c r="AC768" t="str">
        <f>TEXT(Table1[[#This Row],[Hire Date]],"mmmm")</f>
        <v>آوريل</v>
      </c>
      <c r="AD768" t="str">
        <f>IF(Table1[[#This Row],[Resigned]]="yes","former","active")</f>
        <v>active</v>
      </c>
    </row>
    <row r="769" spans="1:30" x14ac:dyDescent="0.3">
      <c r="A769" t="s">
        <v>1603</v>
      </c>
      <c r="B769" t="s">
        <v>1604</v>
      </c>
      <c r="C769" t="s">
        <v>39</v>
      </c>
      <c r="D769">
        <v>40</v>
      </c>
      <c r="E769" t="s">
        <v>28</v>
      </c>
      <c r="F769" t="s">
        <v>80</v>
      </c>
      <c r="G769" t="s">
        <v>58</v>
      </c>
      <c r="H769" t="s">
        <v>31</v>
      </c>
      <c r="I769" t="s">
        <v>81</v>
      </c>
      <c r="J769" s="1">
        <v>43309</v>
      </c>
      <c r="K769">
        <v>8</v>
      </c>
      <c r="L769">
        <v>33803173</v>
      </c>
      <c r="M769">
        <v>7275087</v>
      </c>
      <c r="N769" t="s">
        <v>33</v>
      </c>
      <c r="O769">
        <v>3.19</v>
      </c>
      <c r="P769">
        <v>21</v>
      </c>
      <c r="Q769">
        <v>4</v>
      </c>
      <c r="R769">
        <v>2</v>
      </c>
      <c r="S769">
        <v>17</v>
      </c>
      <c r="T769" t="s">
        <v>33</v>
      </c>
      <c r="U769" t="s">
        <v>34</v>
      </c>
      <c r="V769" t="s">
        <v>44</v>
      </c>
      <c r="W769" t="s">
        <v>33</v>
      </c>
      <c r="X769" t="s">
        <v>52</v>
      </c>
      <c r="Z769" t="str">
        <f>IF(Table1[[#This Row],[Age]]&lt;30,"20-29",IF(Table1[[#This Row],[Age]]&lt;40,"30-39",IF(Table1[[#This Row],[Age]]&lt;50,"40-49","50+")))</f>
        <v>40-49</v>
      </c>
      <c r="AA769" t="str">
        <f>IF(Table1[[#This Row],[Salary]]&lt;20000000,"low",IF(Table1[[#This Row],[Salary]]&lt;40000000,"medium","high"))</f>
        <v>medium</v>
      </c>
      <c r="AB769">
        <f>YEAR(Table1[[#This Row],[Hire Date]])</f>
        <v>2018</v>
      </c>
      <c r="AC769" t="str">
        <f>TEXT(Table1[[#This Row],[Hire Date]],"mmmm")</f>
        <v>ژوئيه</v>
      </c>
      <c r="AD769" t="str">
        <f>IF(Table1[[#This Row],[Resigned]]="yes","former","active")</f>
        <v>active</v>
      </c>
    </row>
    <row r="770" spans="1:30" x14ac:dyDescent="0.3">
      <c r="A770" t="s">
        <v>1605</v>
      </c>
      <c r="B770" t="s">
        <v>1606</v>
      </c>
      <c r="C770" t="s">
        <v>27</v>
      </c>
      <c r="D770">
        <v>54</v>
      </c>
      <c r="E770" t="s">
        <v>56</v>
      </c>
      <c r="F770" t="s">
        <v>57</v>
      </c>
      <c r="G770" t="s">
        <v>58</v>
      </c>
      <c r="H770" t="s">
        <v>42</v>
      </c>
      <c r="I770" t="s">
        <v>43</v>
      </c>
      <c r="J770" s="1">
        <v>42598</v>
      </c>
      <c r="K770">
        <v>10</v>
      </c>
      <c r="L770">
        <v>40469076</v>
      </c>
      <c r="M770">
        <v>9136645</v>
      </c>
      <c r="N770" t="s">
        <v>34</v>
      </c>
      <c r="O770">
        <v>3.03</v>
      </c>
      <c r="P770">
        <v>64</v>
      </c>
      <c r="Q770">
        <v>5</v>
      </c>
      <c r="R770">
        <v>3</v>
      </c>
      <c r="S770">
        <v>2</v>
      </c>
      <c r="T770" t="s">
        <v>34</v>
      </c>
      <c r="U770" t="s">
        <v>33</v>
      </c>
      <c r="V770" t="s">
        <v>59</v>
      </c>
      <c r="W770" t="s">
        <v>34</v>
      </c>
      <c r="X770" t="s">
        <v>45</v>
      </c>
      <c r="Y770" t="s">
        <v>53</v>
      </c>
      <c r="Z770" t="str">
        <f>IF(Table1[[#This Row],[Age]]&lt;30,"20-29",IF(Table1[[#This Row],[Age]]&lt;40,"30-39",IF(Table1[[#This Row],[Age]]&lt;50,"40-49","50+")))</f>
        <v>50+</v>
      </c>
      <c r="AA770" t="str">
        <f>IF(Table1[[#This Row],[Salary]]&lt;20000000,"low",IF(Table1[[#This Row],[Salary]]&lt;40000000,"medium","high"))</f>
        <v>high</v>
      </c>
      <c r="AB770">
        <f>YEAR(Table1[[#This Row],[Hire Date]])</f>
        <v>2016</v>
      </c>
      <c r="AC770" t="str">
        <f>TEXT(Table1[[#This Row],[Hire Date]],"mmmm")</f>
        <v>اوت</v>
      </c>
      <c r="AD770" t="str">
        <f>IF(Table1[[#This Row],[Resigned]]="yes","former","active")</f>
        <v>former</v>
      </c>
    </row>
    <row r="771" spans="1:30" x14ac:dyDescent="0.3">
      <c r="A771" t="s">
        <v>1607</v>
      </c>
      <c r="B771" t="s">
        <v>1608</v>
      </c>
      <c r="C771" t="s">
        <v>27</v>
      </c>
      <c r="D771">
        <v>53</v>
      </c>
      <c r="E771" t="s">
        <v>73</v>
      </c>
      <c r="F771" t="s">
        <v>127</v>
      </c>
      <c r="G771" t="s">
        <v>58</v>
      </c>
      <c r="H771" t="s">
        <v>31</v>
      </c>
      <c r="I771" t="s">
        <v>50</v>
      </c>
      <c r="J771" s="1">
        <v>43558</v>
      </c>
      <c r="K771">
        <v>7</v>
      </c>
      <c r="L771">
        <v>21312219</v>
      </c>
      <c r="M771">
        <v>5698427</v>
      </c>
      <c r="N771" t="s">
        <v>33</v>
      </c>
      <c r="O771">
        <v>2.69</v>
      </c>
      <c r="P771">
        <v>69</v>
      </c>
      <c r="Q771">
        <v>2</v>
      </c>
      <c r="R771">
        <v>1</v>
      </c>
      <c r="S771">
        <v>6</v>
      </c>
      <c r="T771" t="s">
        <v>34</v>
      </c>
      <c r="U771" t="s">
        <v>34</v>
      </c>
      <c r="V771" t="s">
        <v>35</v>
      </c>
      <c r="W771" t="s">
        <v>33</v>
      </c>
      <c r="X771" t="s">
        <v>45</v>
      </c>
      <c r="Z771" t="str">
        <f>IF(Table1[[#This Row],[Age]]&lt;30,"20-29",IF(Table1[[#This Row],[Age]]&lt;40,"30-39",IF(Table1[[#This Row],[Age]]&lt;50,"40-49","50+")))</f>
        <v>50+</v>
      </c>
      <c r="AA771" t="str">
        <f>IF(Table1[[#This Row],[Salary]]&lt;20000000,"low",IF(Table1[[#This Row],[Salary]]&lt;40000000,"medium","high"))</f>
        <v>medium</v>
      </c>
      <c r="AB771">
        <f>YEAR(Table1[[#This Row],[Hire Date]])</f>
        <v>2019</v>
      </c>
      <c r="AC771" t="str">
        <f>TEXT(Table1[[#This Row],[Hire Date]],"mmmm")</f>
        <v>آوريل</v>
      </c>
      <c r="AD771" t="str">
        <f>IF(Table1[[#This Row],[Resigned]]="yes","former","active")</f>
        <v>active</v>
      </c>
    </row>
    <row r="772" spans="1:30" x14ac:dyDescent="0.3">
      <c r="A772" t="s">
        <v>1609</v>
      </c>
      <c r="B772" t="s">
        <v>1610</v>
      </c>
      <c r="C772" t="s">
        <v>27</v>
      </c>
      <c r="D772">
        <v>36</v>
      </c>
      <c r="E772" t="s">
        <v>56</v>
      </c>
      <c r="F772" t="s">
        <v>57</v>
      </c>
      <c r="G772" t="s">
        <v>30</v>
      </c>
      <c r="H772" t="s">
        <v>42</v>
      </c>
      <c r="I772" t="s">
        <v>50</v>
      </c>
      <c r="J772" s="1">
        <v>43491</v>
      </c>
      <c r="K772">
        <v>7</v>
      </c>
      <c r="L772">
        <v>22329857</v>
      </c>
      <c r="M772">
        <v>1960395</v>
      </c>
      <c r="N772" t="s">
        <v>33</v>
      </c>
      <c r="O772">
        <v>3.86</v>
      </c>
      <c r="P772">
        <v>80</v>
      </c>
      <c r="Q772">
        <v>2</v>
      </c>
      <c r="R772">
        <v>4</v>
      </c>
      <c r="S772">
        <v>17</v>
      </c>
      <c r="T772" t="s">
        <v>34</v>
      </c>
      <c r="U772" t="s">
        <v>34</v>
      </c>
      <c r="V772" t="s">
        <v>70</v>
      </c>
      <c r="W772" t="s">
        <v>33</v>
      </c>
      <c r="X772" t="s">
        <v>45</v>
      </c>
      <c r="Z772" t="str">
        <f>IF(Table1[[#This Row],[Age]]&lt;30,"20-29",IF(Table1[[#This Row],[Age]]&lt;40,"30-39",IF(Table1[[#This Row],[Age]]&lt;50,"40-49","50+")))</f>
        <v>30-39</v>
      </c>
      <c r="AA772" t="str">
        <f>IF(Table1[[#This Row],[Salary]]&lt;20000000,"low",IF(Table1[[#This Row],[Salary]]&lt;40000000,"medium","high"))</f>
        <v>medium</v>
      </c>
      <c r="AB772">
        <f>YEAR(Table1[[#This Row],[Hire Date]])</f>
        <v>2019</v>
      </c>
      <c r="AC772" t="str">
        <f>TEXT(Table1[[#This Row],[Hire Date]],"mmmm")</f>
        <v>ژانويه</v>
      </c>
      <c r="AD772" t="str">
        <f>IF(Table1[[#This Row],[Resigned]]="yes","former","active")</f>
        <v>active</v>
      </c>
    </row>
    <row r="773" spans="1:30" x14ac:dyDescent="0.3">
      <c r="A773" t="s">
        <v>1611</v>
      </c>
      <c r="B773" t="s">
        <v>1612</v>
      </c>
      <c r="C773" t="s">
        <v>39</v>
      </c>
      <c r="D773">
        <v>52</v>
      </c>
      <c r="E773" t="s">
        <v>56</v>
      </c>
      <c r="F773" t="s">
        <v>57</v>
      </c>
      <c r="G773" t="s">
        <v>58</v>
      </c>
      <c r="H773" t="s">
        <v>31</v>
      </c>
      <c r="I773" t="s">
        <v>81</v>
      </c>
      <c r="J773" s="1">
        <v>44264</v>
      </c>
      <c r="K773">
        <v>5</v>
      </c>
      <c r="L773">
        <v>30076195</v>
      </c>
      <c r="M773">
        <v>1667757</v>
      </c>
      <c r="N773" t="s">
        <v>34</v>
      </c>
      <c r="O773">
        <v>3.5</v>
      </c>
      <c r="P773">
        <v>47</v>
      </c>
      <c r="Q773">
        <v>5</v>
      </c>
      <c r="R773">
        <v>1</v>
      </c>
      <c r="S773">
        <v>14</v>
      </c>
      <c r="T773" t="s">
        <v>34</v>
      </c>
      <c r="U773" t="s">
        <v>33</v>
      </c>
      <c r="V773" t="s">
        <v>51</v>
      </c>
      <c r="W773" t="s">
        <v>34</v>
      </c>
      <c r="X773" t="s">
        <v>52</v>
      </c>
      <c r="Y773" t="s">
        <v>162</v>
      </c>
      <c r="Z773" t="str">
        <f>IF(Table1[[#This Row],[Age]]&lt;30,"20-29",IF(Table1[[#This Row],[Age]]&lt;40,"30-39",IF(Table1[[#This Row],[Age]]&lt;50,"40-49","50+")))</f>
        <v>50+</v>
      </c>
      <c r="AA773" t="str">
        <f>IF(Table1[[#This Row],[Salary]]&lt;20000000,"low",IF(Table1[[#This Row],[Salary]]&lt;40000000,"medium","high"))</f>
        <v>medium</v>
      </c>
      <c r="AB773">
        <f>YEAR(Table1[[#This Row],[Hire Date]])</f>
        <v>2021</v>
      </c>
      <c r="AC773" t="str">
        <f>TEXT(Table1[[#This Row],[Hire Date]],"mmmm")</f>
        <v>مارس</v>
      </c>
      <c r="AD773" t="str">
        <f>IF(Table1[[#This Row],[Resigned]]="yes","former","active")</f>
        <v>former</v>
      </c>
    </row>
    <row r="774" spans="1:30" x14ac:dyDescent="0.3">
      <c r="A774" t="s">
        <v>1613</v>
      </c>
      <c r="B774" t="s">
        <v>1614</v>
      </c>
      <c r="C774" t="s">
        <v>27</v>
      </c>
      <c r="D774">
        <v>26</v>
      </c>
      <c r="E774" t="s">
        <v>56</v>
      </c>
      <c r="F774" t="s">
        <v>57</v>
      </c>
      <c r="G774" t="s">
        <v>58</v>
      </c>
      <c r="H774" t="s">
        <v>42</v>
      </c>
      <c r="I774" t="s">
        <v>81</v>
      </c>
      <c r="J774" s="1">
        <v>42562</v>
      </c>
      <c r="K774">
        <v>10</v>
      </c>
      <c r="L774">
        <v>32017319</v>
      </c>
      <c r="M774">
        <v>7924381</v>
      </c>
      <c r="N774" t="s">
        <v>33</v>
      </c>
      <c r="O774">
        <v>2.94</v>
      </c>
      <c r="P774">
        <v>46</v>
      </c>
      <c r="Q774">
        <v>3</v>
      </c>
      <c r="R774">
        <v>3</v>
      </c>
      <c r="S774">
        <v>20</v>
      </c>
      <c r="T774" t="s">
        <v>33</v>
      </c>
      <c r="U774" t="s">
        <v>33</v>
      </c>
      <c r="V774" t="s">
        <v>44</v>
      </c>
      <c r="W774" t="s">
        <v>33</v>
      </c>
      <c r="X774" t="s">
        <v>36</v>
      </c>
      <c r="Y774" t="s">
        <v>75</v>
      </c>
      <c r="Z774" t="str">
        <f>IF(Table1[[#This Row],[Age]]&lt;30,"20-29",IF(Table1[[#This Row],[Age]]&lt;40,"30-39",IF(Table1[[#This Row],[Age]]&lt;50,"40-49","50+")))</f>
        <v>20-29</v>
      </c>
      <c r="AA774" t="str">
        <f>IF(Table1[[#This Row],[Salary]]&lt;20000000,"low",IF(Table1[[#This Row],[Salary]]&lt;40000000,"medium","high"))</f>
        <v>medium</v>
      </c>
      <c r="AB774">
        <f>YEAR(Table1[[#This Row],[Hire Date]])</f>
        <v>2016</v>
      </c>
      <c r="AC774" t="str">
        <f>TEXT(Table1[[#This Row],[Hire Date]],"mmmm")</f>
        <v>ژوئيه</v>
      </c>
      <c r="AD774" t="str">
        <f>IF(Table1[[#This Row],[Resigned]]="yes","former","active")</f>
        <v>former</v>
      </c>
    </row>
    <row r="775" spans="1:30" x14ac:dyDescent="0.3">
      <c r="A775" t="s">
        <v>1615</v>
      </c>
      <c r="B775" t="s">
        <v>1616</v>
      </c>
      <c r="C775" t="s">
        <v>27</v>
      </c>
      <c r="D775">
        <v>43</v>
      </c>
      <c r="E775" t="s">
        <v>56</v>
      </c>
      <c r="F775" t="s">
        <v>84</v>
      </c>
      <c r="G775" t="s">
        <v>30</v>
      </c>
      <c r="H775" t="s">
        <v>31</v>
      </c>
      <c r="I775" t="s">
        <v>81</v>
      </c>
      <c r="J775" s="1">
        <v>45625</v>
      </c>
      <c r="K775">
        <v>2</v>
      </c>
      <c r="L775">
        <v>40176441</v>
      </c>
      <c r="M775">
        <v>4969335</v>
      </c>
      <c r="N775" t="s">
        <v>33</v>
      </c>
      <c r="O775">
        <v>4.12</v>
      </c>
      <c r="P775">
        <v>68</v>
      </c>
      <c r="Q775">
        <v>4</v>
      </c>
      <c r="R775">
        <v>1</v>
      </c>
      <c r="S775">
        <v>6</v>
      </c>
      <c r="T775" t="s">
        <v>33</v>
      </c>
      <c r="U775" t="s">
        <v>34</v>
      </c>
      <c r="V775" t="s">
        <v>51</v>
      </c>
      <c r="W775" t="s">
        <v>34</v>
      </c>
      <c r="X775" t="s">
        <v>52</v>
      </c>
      <c r="Z775" t="str">
        <f>IF(Table1[[#This Row],[Age]]&lt;30,"20-29",IF(Table1[[#This Row],[Age]]&lt;40,"30-39",IF(Table1[[#This Row],[Age]]&lt;50,"40-49","50+")))</f>
        <v>40-49</v>
      </c>
      <c r="AA775" t="str">
        <f>IF(Table1[[#This Row],[Salary]]&lt;20000000,"low",IF(Table1[[#This Row],[Salary]]&lt;40000000,"medium","high"))</f>
        <v>high</v>
      </c>
      <c r="AB775">
        <f>YEAR(Table1[[#This Row],[Hire Date]])</f>
        <v>2024</v>
      </c>
      <c r="AC775" t="str">
        <f>TEXT(Table1[[#This Row],[Hire Date]],"mmmm")</f>
        <v>نوامبر</v>
      </c>
      <c r="AD775" t="str">
        <f>IF(Table1[[#This Row],[Resigned]]="yes","former","active")</f>
        <v>active</v>
      </c>
    </row>
    <row r="776" spans="1:30" x14ac:dyDescent="0.3">
      <c r="A776" t="s">
        <v>1617</v>
      </c>
      <c r="B776" t="s">
        <v>1618</v>
      </c>
      <c r="C776" t="s">
        <v>39</v>
      </c>
      <c r="D776">
        <v>44</v>
      </c>
      <c r="E776" t="s">
        <v>40</v>
      </c>
      <c r="F776" t="s">
        <v>48</v>
      </c>
      <c r="G776" t="s">
        <v>49</v>
      </c>
      <c r="H776" t="s">
        <v>31</v>
      </c>
      <c r="I776" t="s">
        <v>43</v>
      </c>
      <c r="J776" s="1">
        <v>45161</v>
      </c>
      <c r="K776">
        <v>3</v>
      </c>
      <c r="L776">
        <v>34502769</v>
      </c>
      <c r="M776">
        <v>34719</v>
      </c>
      <c r="N776" t="s">
        <v>34</v>
      </c>
      <c r="O776">
        <v>3.24</v>
      </c>
      <c r="P776">
        <v>16</v>
      </c>
      <c r="Q776">
        <v>3</v>
      </c>
      <c r="R776">
        <v>5</v>
      </c>
      <c r="S776">
        <v>7</v>
      </c>
      <c r="T776" t="s">
        <v>34</v>
      </c>
      <c r="U776" t="s">
        <v>34</v>
      </c>
      <c r="V776" t="s">
        <v>70</v>
      </c>
      <c r="W776" t="s">
        <v>34</v>
      </c>
      <c r="X776" t="s">
        <v>45</v>
      </c>
      <c r="Z776" t="str">
        <f>IF(Table1[[#This Row],[Age]]&lt;30,"20-29",IF(Table1[[#This Row],[Age]]&lt;40,"30-39",IF(Table1[[#This Row],[Age]]&lt;50,"40-49","50+")))</f>
        <v>40-49</v>
      </c>
      <c r="AA776" t="str">
        <f>IF(Table1[[#This Row],[Salary]]&lt;20000000,"low",IF(Table1[[#This Row],[Salary]]&lt;40000000,"medium","high"))</f>
        <v>medium</v>
      </c>
      <c r="AB776">
        <f>YEAR(Table1[[#This Row],[Hire Date]])</f>
        <v>2023</v>
      </c>
      <c r="AC776" t="str">
        <f>TEXT(Table1[[#This Row],[Hire Date]],"mmmm")</f>
        <v>اوت</v>
      </c>
      <c r="AD776" t="str">
        <f>IF(Table1[[#This Row],[Resigned]]="yes","former","active")</f>
        <v>active</v>
      </c>
    </row>
    <row r="777" spans="1:30" x14ac:dyDescent="0.3">
      <c r="A777" t="s">
        <v>1619</v>
      </c>
      <c r="B777" t="s">
        <v>1620</v>
      </c>
      <c r="C777" t="s">
        <v>27</v>
      </c>
      <c r="D777">
        <v>41</v>
      </c>
      <c r="E777" t="s">
        <v>28</v>
      </c>
      <c r="F777" t="s">
        <v>29</v>
      </c>
      <c r="G777" t="s">
        <v>30</v>
      </c>
      <c r="H777" t="s">
        <v>42</v>
      </c>
      <c r="I777" t="s">
        <v>81</v>
      </c>
      <c r="J777" s="1">
        <v>43746</v>
      </c>
      <c r="K777">
        <v>7</v>
      </c>
      <c r="L777">
        <v>50115382</v>
      </c>
      <c r="M777">
        <v>2133545</v>
      </c>
      <c r="N777" t="s">
        <v>33</v>
      </c>
      <c r="O777">
        <v>3.43</v>
      </c>
      <c r="P777">
        <v>18</v>
      </c>
      <c r="Q777">
        <v>5</v>
      </c>
      <c r="R777">
        <v>3</v>
      </c>
      <c r="S777">
        <v>19</v>
      </c>
      <c r="T777" t="s">
        <v>34</v>
      </c>
      <c r="U777" t="s">
        <v>34</v>
      </c>
      <c r="V777" t="s">
        <v>44</v>
      </c>
      <c r="W777" t="s">
        <v>33</v>
      </c>
      <c r="X777" t="s">
        <v>52</v>
      </c>
      <c r="Z777" t="str">
        <f>IF(Table1[[#This Row],[Age]]&lt;30,"20-29",IF(Table1[[#This Row],[Age]]&lt;40,"30-39",IF(Table1[[#This Row],[Age]]&lt;50,"40-49","50+")))</f>
        <v>40-49</v>
      </c>
      <c r="AA777" t="str">
        <f>IF(Table1[[#This Row],[Salary]]&lt;20000000,"low",IF(Table1[[#This Row],[Salary]]&lt;40000000,"medium","high"))</f>
        <v>high</v>
      </c>
      <c r="AB777">
        <f>YEAR(Table1[[#This Row],[Hire Date]])</f>
        <v>2019</v>
      </c>
      <c r="AC777" t="str">
        <f>TEXT(Table1[[#This Row],[Hire Date]],"mmmm")</f>
        <v>اُكتبر</v>
      </c>
      <c r="AD777" t="str">
        <f>IF(Table1[[#This Row],[Resigned]]="yes","former","active")</f>
        <v>active</v>
      </c>
    </row>
    <row r="778" spans="1:30" x14ac:dyDescent="0.3">
      <c r="A778" t="s">
        <v>1621</v>
      </c>
      <c r="B778" t="s">
        <v>1622</v>
      </c>
      <c r="C778" t="s">
        <v>39</v>
      </c>
      <c r="D778">
        <v>30</v>
      </c>
      <c r="E778" t="s">
        <v>73</v>
      </c>
      <c r="F778" t="s">
        <v>127</v>
      </c>
      <c r="G778" t="s">
        <v>58</v>
      </c>
      <c r="H778" t="s">
        <v>42</v>
      </c>
      <c r="I778" t="s">
        <v>81</v>
      </c>
      <c r="J778" s="1">
        <v>43361</v>
      </c>
      <c r="K778">
        <v>8</v>
      </c>
      <c r="L778">
        <v>20082550</v>
      </c>
      <c r="M778">
        <v>6707008</v>
      </c>
      <c r="N778" t="s">
        <v>34</v>
      </c>
      <c r="O778">
        <v>4.21</v>
      </c>
      <c r="P778">
        <v>63</v>
      </c>
      <c r="Q778">
        <v>5</v>
      </c>
      <c r="R778">
        <v>2</v>
      </c>
      <c r="S778">
        <v>20</v>
      </c>
      <c r="T778" t="s">
        <v>33</v>
      </c>
      <c r="U778" t="s">
        <v>34</v>
      </c>
      <c r="V778" t="s">
        <v>59</v>
      </c>
      <c r="W778" t="s">
        <v>33</v>
      </c>
      <c r="X778" t="s">
        <v>45</v>
      </c>
      <c r="Z778" t="str">
        <f>IF(Table1[[#This Row],[Age]]&lt;30,"20-29",IF(Table1[[#This Row],[Age]]&lt;40,"30-39",IF(Table1[[#This Row],[Age]]&lt;50,"40-49","50+")))</f>
        <v>30-39</v>
      </c>
      <c r="AA778" t="str">
        <f>IF(Table1[[#This Row],[Salary]]&lt;20000000,"low",IF(Table1[[#This Row],[Salary]]&lt;40000000,"medium","high"))</f>
        <v>medium</v>
      </c>
      <c r="AB778">
        <f>YEAR(Table1[[#This Row],[Hire Date]])</f>
        <v>2018</v>
      </c>
      <c r="AC778" t="str">
        <f>TEXT(Table1[[#This Row],[Hire Date]],"mmmm")</f>
        <v>سپتامبر</v>
      </c>
      <c r="AD778" t="str">
        <f>IF(Table1[[#This Row],[Resigned]]="yes","former","active")</f>
        <v>active</v>
      </c>
    </row>
    <row r="779" spans="1:30" x14ac:dyDescent="0.3">
      <c r="A779" t="s">
        <v>1623</v>
      </c>
      <c r="B779" t="s">
        <v>1624</v>
      </c>
      <c r="C779" t="s">
        <v>27</v>
      </c>
      <c r="D779">
        <v>31</v>
      </c>
      <c r="E779" t="s">
        <v>73</v>
      </c>
      <c r="F779" t="s">
        <v>74</v>
      </c>
      <c r="G779" t="s">
        <v>49</v>
      </c>
      <c r="H779" t="s">
        <v>31</v>
      </c>
      <c r="I779" t="s">
        <v>65</v>
      </c>
      <c r="J779" s="1">
        <v>44621</v>
      </c>
      <c r="K779">
        <v>4</v>
      </c>
      <c r="L779">
        <v>26878494</v>
      </c>
      <c r="M779">
        <v>5137792</v>
      </c>
      <c r="N779" t="s">
        <v>34</v>
      </c>
      <c r="O779">
        <v>3.72</v>
      </c>
      <c r="P779">
        <v>50</v>
      </c>
      <c r="Q779">
        <v>3</v>
      </c>
      <c r="R779">
        <v>4</v>
      </c>
      <c r="S779">
        <v>3</v>
      </c>
      <c r="T779" t="s">
        <v>33</v>
      </c>
      <c r="U779" t="s">
        <v>34</v>
      </c>
      <c r="V779" t="s">
        <v>59</v>
      </c>
      <c r="W779" t="s">
        <v>33</v>
      </c>
      <c r="X779" t="s">
        <v>45</v>
      </c>
      <c r="Z779" t="str">
        <f>IF(Table1[[#This Row],[Age]]&lt;30,"20-29",IF(Table1[[#This Row],[Age]]&lt;40,"30-39",IF(Table1[[#This Row],[Age]]&lt;50,"40-49","50+")))</f>
        <v>30-39</v>
      </c>
      <c r="AA779" t="str">
        <f>IF(Table1[[#This Row],[Salary]]&lt;20000000,"low",IF(Table1[[#This Row],[Salary]]&lt;40000000,"medium","high"))</f>
        <v>medium</v>
      </c>
      <c r="AB779">
        <f>YEAR(Table1[[#This Row],[Hire Date]])</f>
        <v>2022</v>
      </c>
      <c r="AC779" t="str">
        <f>TEXT(Table1[[#This Row],[Hire Date]],"mmmm")</f>
        <v>مارس</v>
      </c>
      <c r="AD779" t="str">
        <f>IF(Table1[[#This Row],[Resigned]]="yes","former","active")</f>
        <v>active</v>
      </c>
    </row>
    <row r="780" spans="1:30" x14ac:dyDescent="0.3">
      <c r="A780" t="s">
        <v>1625</v>
      </c>
      <c r="B780" t="s">
        <v>1626</v>
      </c>
      <c r="C780" t="s">
        <v>39</v>
      </c>
      <c r="D780">
        <v>25</v>
      </c>
      <c r="E780" t="s">
        <v>28</v>
      </c>
      <c r="F780" t="s">
        <v>80</v>
      </c>
      <c r="G780" t="s">
        <v>49</v>
      </c>
      <c r="H780" t="s">
        <v>42</v>
      </c>
      <c r="I780" t="s">
        <v>43</v>
      </c>
      <c r="J780" s="1">
        <v>43920</v>
      </c>
      <c r="K780">
        <v>6</v>
      </c>
      <c r="L780">
        <v>38473083</v>
      </c>
      <c r="M780">
        <v>9351823</v>
      </c>
      <c r="N780" t="s">
        <v>34</v>
      </c>
      <c r="O780">
        <v>4.24</v>
      </c>
      <c r="P780">
        <v>52</v>
      </c>
      <c r="Q780">
        <v>3</v>
      </c>
      <c r="R780">
        <v>3</v>
      </c>
      <c r="S780">
        <v>5</v>
      </c>
      <c r="T780" t="s">
        <v>33</v>
      </c>
      <c r="U780" t="s">
        <v>34</v>
      </c>
      <c r="V780" t="s">
        <v>51</v>
      </c>
      <c r="W780" t="s">
        <v>33</v>
      </c>
      <c r="X780" t="s">
        <v>52</v>
      </c>
      <c r="Z780" t="str">
        <f>IF(Table1[[#This Row],[Age]]&lt;30,"20-29",IF(Table1[[#This Row],[Age]]&lt;40,"30-39",IF(Table1[[#This Row],[Age]]&lt;50,"40-49","50+")))</f>
        <v>20-29</v>
      </c>
      <c r="AA780" t="str">
        <f>IF(Table1[[#This Row],[Salary]]&lt;20000000,"low",IF(Table1[[#This Row],[Salary]]&lt;40000000,"medium","high"))</f>
        <v>medium</v>
      </c>
      <c r="AB780">
        <f>YEAR(Table1[[#This Row],[Hire Date]])</f>
        <v>2020</v>
      </c>
      <c r="AC780" t="str">
        <f>TEXT(Table1[[#This Row],[Hire Date]],"mmmm")</f>
        <v>مارس</v>
      </c>
      <c r="AD780" t="str">
        <f>IF(Table1[[#This Row],[Resigned]]="yes","former","active")</f>
        <v>active</v>
      </c>
    </row>
    <row r="781" spans="1:30" x14ac:dyDescent="0.3">
      <c r="A781" t="s">
        <v>1627</v>
      </c>
      <c r="B781" t="s">
        <v>1628</v>
      </c>
      <c r="C781" t="s">
        <v>39</v>
      </c>
      <c r="D781">
        <v>25</v>
      </c>
      <c r="E781" t="s">
        <v>40</v>
      </c>
      <c r="F781" t="s">
        <v>41</v>
      </c>
      <c r="G781" t="s">
        <v>49</v>
      </c>
      <c r="H781" t="s">
        <v>42</v>
      </c>
      <c r="I781" t="s">
        <v>65</v>
      </c>
      <c r="J781" s="1">
        <v>44485</v>
      </c>
      <c r="K781">
        <v>5</v>
      </c>
      <c r="L781">
        <v>46704345</v>
      </c>
      <c r="M781">
        <v>6556074</v>
      </c>
      <c r="N781" t="s">
        <v>33</v>
      </c>
      <c r="O781">
        <v>4.9800000000000004</v>
      </c>
      <c r="P781">
        <v>46</v>
      </c>
      <c r="Q781">
        <v>5</v>
      </c>
      <c r="R781">
        <v>3</v>
      </c>
      <c r="S781">
        <v>4</v>
      </c>
      <c r="T781" t="s">
        <v>33</v>
      </c>
      <c r="U781" t="s">
        <v>34</v>
      </c>
      <c r="V781" t="s">
        <v>35</v>
      </c>
      <c r="W781" t="s">
        <v>34</v>
      </c>
      <c r="X781" t="s">
        <v>36</v>
      </c>
      <c r="Z781" t="str">
        <f>IF(Table1[[#This Row],[Age]]&lt;30,"20-29",IF(Table1[[#This Row],[Age]]&lt;40,"30-39",IF(Table1[[#This Row],[Age]]&lt;50,"40-49","50+")))</f>
        <v>20-29</v>
      </c>
      <c r="AA781" t="str">
        <f>IF(Table1[[#This Row],[Salary]]&lt;20000000,"low",IF(Table1[[#This Row],[Salary]]&lt;40000000,"medium","high"))</f>
        <v>high</v>
      </c>
      <c r="AB781">
        <f>YEAR(Table1[[#This Row],[Hire Date]])</f>
        <v>2021</v>
      </c>
      <c r="AC781" t="str">
        <f>TEXT(Table1[[#This Row],[Hire Date]],"mmmm")</f>
        <v>اُكتبر</v>
      </c>
      <c r="AD781" t="str">
        <f>IF(Table1[[#This Row],[Resigned]]="yes","former","active")</f>
        <v>active</v>
      </c>
    </row>
    <row r="782" spans="1:30" x14ac:dyDescent="0.3">
      <c r="A782" t="s">
        <v>1629</v>
      </c>
      <c r="B782" t="s">
        <v>1630</v>
      </c>
      <c r="C782" t="s">
        <v>39</v>
      </c>
      <c r="D782">
        <v>53</v>
      </c>
      <c r="E782" t="s">
        <v>40</v>
      </c>
      <c r="F782" t="s">
        <v>41</v>
      </c>
      <c r="G782" t="s">
        <v>58</v>
      </c>
      <c r="H782" t="s">
        <v>42</v>
      </c>
      <c r="I782" t="s">
        <v>43</v>
      </c>
      <c r="J782" s="1">
        <v>44660</v>
      </c>
      <c r="K782">
        <v>4</v>
      </c>
      <c r="L782">
        <v>29937772</v>
      </c>
      <c r="M782">
        <v>236682</v>
      </c>
      <c r="N782" t="s">
        <v>33</v>
      </c>
      <c r="O782">
        <v>4.09</v>
      </c>
      <c r="P782">
        <v>21</v>
      </c>
      <c r="Q782">
        <v>3</v>
      </c>
      <c r="R782">
        <v>2</v>
      </c>
      <c r="S782">
        <v>6</v>
      </c>
      <c r="T782" t="s">
        <v>33</v>
      </c>
      <c r="U782" t="s">
        <v>34</v>
      </c>
      <c r="V782" t="s">
        <v>51</v>
      </c>
      <c r="W782" t="s">
        <v>34</v>
      </c>
      <c r="X782" t="s">
        <v>52</v>
      </c>
      <c r="Z782" t="str">
        <f>IF(Table1[[#This Row],[Age]]&lt;30,"20-29",IF(Table1[[#This Row],[Age]]&lt;40,"30-39",IF(Table1[[#This Row],[Age]]&lt;50,"40-49","50+")))</f>
        <v>50+</v>
      </c>
      <c r="AA782" t="str">
        <f>IF(Table1[[#This Row],[Salary]]&lt;20000000,"low",IF(Table1[[#This Row],[Salary]]&lt;40000000,"medium","high"))</f>
        <v>medium</v>
      </c>
      <c r="AB782">
        <f>YEAR(Table1[[#This Row],[Hire Date]])</f>
        <v>2022</v>
      </c>
      <c r="AC782" t="str">
        <f>TEXT(Table1[[#This Row],[Hire Date]],"mmmm")</f>
        <v>آوريل</v>
      </c>
      <c r="AD782" t="str">
        <f>IF(Table1[[#This Row],[Resigned]]="yes","former","active")</f>
        <v>active</v>
      </c>
    </row>
    <row r="783" spans="1:30" x14ac:dyDescent="0.3">
      <c r="A783" t="s">
        <v>1631</v>
      </c>
      <c r="B783" t="s">
        <v>1632</v>
      </c>
      <c r="C783" t="s">
        <v>39</v>
      </c>
      <c r="D783">
        <v>36</v>
      </c>
      <c r="E783" t="s">
        <v>73</v>
      </c>
      <c r="F783" t="s">
        <v>74</v>
      </c>
      <c r="G783" t="s">
        <v>49</v>
      </c>
      <c r="H783" t="s">
        <v>31</v>
      </c>
      <c r="I783" t="s">
        <v>50</v>
      </c>
      <c r="J783" s="1">
        <v>43952</v>
      </c>
      <c r="K783">
        <v>6</v>
      </c>
      <c r="L783">
        <v>22660042</v>
      </c>
      <c r="M783">
        <v>5405312</v>
      </c>
      <c r="N783" t="s">
        <v>34</v>
      </c>
      <c r="O783">
        <v>4.8099999999999996</v>
      </c>
      <c r="P783">
        <v>37</v>
      </c>
      <c r="Q783">
        <v>4</v>
      </c>
      <c r="R783">
        <v>5</v>
      </c>
      <c r="S783">
        <v>0</v>
      </c>
      <c r="T783" t="s">
        <v>33</v>
      </c>
      <c r="U783" t="s">
        <v>34</v>
      </c>
      <c r="V783" t="s">
        <v>51</v>
      </c>
      <c r="W783" t="s">
        <v>34</v>
      </c>
      <c r="X783" t="s">
        <v>52</v>
      </c>
      <c r="Z783" t="str">
        <f>IF(Table1[[#This Row],[Age]]&lt;30,"20-29",IF(Table1[[#This Row],[Age]]&lt;40,"30-39",IF(Table1[[#This Row],[Age]]&lt;50,"40-49","50+")))</f>
        <v>30-39</v>
      </c>
      <c r="AA783" t="str">
        <f>IF(Table1[[#This Row],[Salary]]&lt;20000000,"low",IF(Table1[[#This Row],[Salary]]&lt;40000000,"medium","high"))</f>
        <v>medium</v>
      </c>
      <c r="AB783">
        <f>YEAR(Table1[[#This Row],[Hire Date]])</f>
        <v>2020</v>
      </c>
      <c r="AC783" t="str">
        <f>TEXT(Table1[[#This Row],[Hire Date]],"mmmm")</f>
        <v>مه</v>
      </c>
      <c r="AD783" t="str">
        <f>IF(Table1[[#This Row],[Resigned]]="yes","former","active")</f>
        <v>active</v>
      </c>
    </row>
    <row r="784" spans="1:30" x14ac:dyDescent="0.3">
      <c r="A784" t="s">
        <v>1633</v>
      </c>
      <c r="B784" t="s">
        <v>1634</v>
      </c>
      <c r="C784" t="s">
        <v>27</v>
      </c>
      <c r="D784">
        <v>36</v>
      </c>
      <c r="E784" t="s">
        <v>110</v>
      </c>
      <c r="F784" t="s">
        <v>111</v>
      </c>
      <c r="G784" t="s">
        <v>58</v>
      </c>
      <c r="H784" t="s">
        <v>42</v>
      </c>
      <c r="I784" t="s">
        <v>43</v>
      </c>
      <c r="J784" s="1">
        <v>43883</v>
      </c>
      <c r="K784">
        <v>6</v>
      </c>
      <c r="L784">
        <v>37456660</v>
      </c>
      <c r="M784">
        <v>3732720</v>
      </c>
      <c r="N784" t="s">
        <v>33</v>
      </c>
      <c r="O784">
        <v>4.29</v>
      </c>
      <c r="P784">
        <v>4</v>
      </c>
      <c r="Q784">
        <v>3</v>
      </c>
      <c r="R784">
        <v>5</v>
      </c>
      <c r="S784">
        <v>19</v>
      </c>
      <c r="T784" t="s">
        <v>34</v>
      </c>
      <c r="U784" t="s">
        <v>33</v>
      </c>
      <c r="V784" t="s">
        <v>44</v>
      </c>
      <c r="W784" t="s">
        <v>33</v>
      </c>
      <c r="X784" t="s">
        <v>36</v>
      </c>
      <c r="Y784" t="s">
        <v>53</v>
      </c>
      <c r="Z784" t="str">
        <f>IF(Table1[[#This Row],[Age]]&lt;30,"20-29",IF(Table1[[#This Row],[Age]]&lt;40,"30-39",IF(Table1[[#This Row],[Age]]&lt;50,"40-49","50+")))</f>
        <v>30-39</v>
      </c>
      <c r="AA784" t="str">
        <f>IF(Table1[[#This Row],[Salary]]&lt;20000000,"low",IF(Table1[[#This Row],[Salary]]&lt;40000000,"medium","high"))</f>
        <v>medium</v>
      </c>
      <c r="AB784">
        <f>YEAR(Table1[[#This Row],[Hire Date]])</f>
        <v>2020</v>
      </c>
      <c r="AC784" t="str">
        <f>TEXT(Table1[[#This Row],[Hire Date]],"mmmm")</f>
        <v>فوريه</v>
      </c>
      <c r="AD784" t="str">
        <f>IF(Table1[[#This Row],[Resigned]]="yes","former","active")</f>
        <v>former</v>
      </c>
    </row>
    <row r="785" spans="1:30" x14ac:dyDescent="0.3">
      <c r="A785" t="s">
        <v>1635</v>
      </c>
      <c r="B785" t="s">
        <v>1636</v>
      </c>
      <c r="C785" t="s">
        <v>39</v>
      </c>
      <c r="D785">
        <v>27</v>
      </c>
      <c r="E785" t="s">
        <v>63</v>
      </c>
      <c r="F785" t="s">
        <v>64</v>
      </c>
      <c r="G785" t="s">
        <v>30</v>
      </c>
      <c r="H785" t="s">
        <v>42</v>
      </c>
      <c r="I785" t="s">
        <v>65</v>
      </c>
      <c r="J785" s="1">
        <v>42802</v>
      </c>
      <c r="K785">
        <v>9</v>
      </c>
      <c r="L785">
        <v>45782813</v>
      </c>
      <c r="M785">
        <v>1829371</v>
      </c>
      <c r="N785" t="s">
        <v>33</v>
      </c>
      <c r="O785">
        <v>4.09</v>
      </c>
      <c r="P785">
        <v>63</v>
      </c>
      <c r="Q785">
        <v>2</v>
      </c>
      <c r="R785">
        <v>1</v>
      </c>
      <c r="S785">
        <v>3</v>
      </c>
      <c r="T785" t="s">
        <v>34</v>
      </c>
      <c r="U785" t="s">
        <v>33</v>
      </c>
      <c r="V785" t="s">
        <v>59</v>
      </c>
      <c r="W785" t="s">
        <v>34</v>
      </c>
      <c r="X785" t="s">
        <v>52</v>
      </c>
      <c r="Y785" t="s">
        <v>75</v>
      </c>
      <c r="Z785" t="str">
        <f>IF(Table1[[#This Row],[Age]]&lt;30,"20-29",IF(Table1[[#This Row],[Age]]&lt;40,"30-39",IF(Table1[[#This Row],[Age]]&lt;50,"40-49","50+")))</f>
        <v>20-29</v>
      </c>
      <c r="AA785" t="str">
        <f>IF(Table1[[#This Row],[Salary]]&lt;20000000,"low",IF(Table1[[#This Row],[Salary]]&lt;40000000,"medium","high"))</f>
        <v>high</v>
      </c>
      <c r="AB785">
        <f>YEAR(Table1[[#This Row],[Hire Date]])</f>
        <v>2017</v>
      </c>
      <c r="AC785" t="str">
        <f>TEXT(Table1[[#This Row],[Hire Date]],"mmmm")</f>
        <v>مارس</v>
      </c>
      <c r="AD785" t="str">
        <f>IF(Table1[[#This Row],[Resigned]]="yes","former","active")</f>
        <v>former</v>
      </c>
    </row>
    <row r="786" spans="1:30" x14ac:dyDescent="0.3">
      <c r="A786" t="s">
        <v>1637</v>
      </c>
      <c r="B786" t="s">
        <v>1638</v>
      </c>
      <c r="C786" t="s">
        <v>39</v>
      </c>
      <c r="D786">
        <v>52</v>
      </c>
      <c r="E786" t="s">
        <v>73</v>
      </c>
      <c r="F786" t="s">
        <v>74</v>
      </c>
      <c r="G786" t="s">
        <v>49</v>
      </c>
      <c r="H786" t="s">
        <v>42</v>
      </c>
      <c r="I786" t="s">
        <v>50</v>
      </c>
      <c r="J786" s="1">
        <v>44100</v>
      </c>
      <c r="K786">
        <v>6</v>
      </c>
      <c r="L786">
        <v>59642318</v>
      </c>
      <c r="M786">
        <v>9503319</v>
      </c>
      <c r="N786" t="s">
        <v>34</v>
      </c>
      <c r="O786">
        <v>4.37</v>
      </c>
      <c r="P786">
        <v>5</v>
      </c>
      <c r="Q786">
        <v>5</v>
      </c>
      <c r="R786">
        <v>4</v>
      </c>
      <c r="S786">
        <v>0</v>
      </c>
      <c r="T786" t="s">
        <v>34</v>
      </c>
      <c r="U786" t="s">
        <v>33</v>
      </c>
      <c r="V786" t="s">
        <v>51</v>
      </c>
      <c r="W786" t="s">
        <v>33</v>
      </c>
      <c r="X786" t="s">
        <v>52</v>
      </c>
      <c r="Y786" t="s">
        <v>53</v>
      </c>
      <c r="Z786" t="str">
        <f>IF(Table1[[#This Row],[Age]]&lt;30,"20-29",IF(Table1[[#This Row],[Age]]&lt;40,"30-39",IF(Table1[[#This Row],[Age]]&lt;50,"40-49","50+")))</f>
        <v>50+</v>
      </c>
      <c r="AA786" t="str">
        <f>IF(Table1[[#This Row],[Salary]]&lt;20000000,"low",IF(Table1[[#This Row],[Salary]]&lt;40000000,"medium","high"))</f>
        <v>high</v>
      </c>
      <c r="AB786">
        <f>YEAR(Table1[[#This Row],[Hire Date]])</f>
        <v>2020</v>
      </c>
      <c r="AC786" t="str">
        <f>TEXT(Table1[[#This Row],[Hire Date]],"mmmm")</f>
        <v>سپتامبر</v>
      </c>
      <c r="AD786" t="str">
        <f>IF(Table1[[#This Row],[Resigned]]="yes","former","active")</f>
        <v>former</v>
      </c>
    </row>
    <row r="787" spans="1:30" x14ac:dyDescent="0.3">
      <c r="A787" t="s">
        <v>1639</v>
      </c>
      <c r="B787" t="s">
        <v>1640</v>
      </c>
      <c r="C787" t="s">
        <v>39</v>
      </c>
      <c r="D787">
        <v>24</v>
      </c>
      <c r="E787" t="s">
        <v>63</v>
      </c>
      <c r="F787" t="s">
        <v>93</v>
      </c>
      <c r="G787" t="s">
        <v>58</v>
      </c>
      <c r="H787" t="s">
        <v>42</v>
      </c>
      <c r="I787" t="s">
        <v>81</v>
      </c>
      <c r="J787" s="1">
        <v>44761</v>
      </c>
      <c r="K787">
        <v>4</v>
      </c>
      <c r="L787">
        <v>41504894</v>
      </c>
      <c r="M787">
        <v>9656668</v>
      </c>
      <c r="N787" t="s">
        <v>34</v>
      </c>
      <c r="O787">
        <v>2.7</v>
      </c>
      <c r="P787">
        <v>11</v>
      </c>
      <c r="Q787">
        <v>2</v>
      </c>
      <c r="R787">
        <v>1</v>
      </c>
      <c r="S787">
        <v>10</v>
      </c>
      <c r="T787" t="s">
        <v>33</v>
      </c>
      <c r="U787" t="s">
        <v>34</v>
      </c>
      <c r="V787" t="s">
        <v>51</v>
      </c>
      <c r="W787" t="s">
        <v>34</v>
      </c>
      <c r="X787" t="s">
        <v>52</v>
      </c>
      <c r="Z787" t="str">
        <f>IF(Table1[[#This Row],[Age]]&lt;30,"20-29",IF(Table1[[#This Row],[Age]]&lt;40,"30-39",IF(Table1[[#This Row],[Age]]&lt;50,"40-49","50+")))</f>
        <v>20-29</v>
      </c>
      <c r="AA787" t="str">
        <f>IF(Table1[[#This Row],[Salary]]&lt;20000000,"low",IF(Table1[[#This Row],[Salary]]&lt;40000000,"medium","high"))</f>
        <v>high</v>
      </c>
      <c r="AB787">
        <f>YEAR(Table1[[#This Row],[Hire Date]])</f>
        <v>2022</v>
      </c>
      <c r="AC787" t="str">
        <f>TEXT(Table1[[#This Row],[Hire Date]],"mmmm")</f>
        <v>ژوئيه</v>
      </c>
      <c r="AD787" t="str">
        <f>IF(Table1[[#This Row],[Resigned]]="yes","former","active")</f>
        <v>active</v>
      </c>
    </row>
    <row r="788" spans="1:30" x14ac:dyDescent="0.3">
      <c r="A788" t="s">
        <v>1641</v>
      </c>
      <c r="B788" t="s">
        <v>1642</v>
      </c>
      <c r="C788" t="s">
        <v>27</v>
      </c>
      <c r="D788">
        <v>38</v>
      </c>
      <c r="E788" t="s">
        <v>73</v>
      </c>
      <c r="F788" t="s">
        <v>127</v>
      </c>
      <c r="G788" t="s">
        <v>30</v>
      </c>
      <c r="H788" t="s">
        <v>31</v>
      </c>
      <c r="I788" t="s">
        <v>50</v>
      </c>
      <c r="J788" s="1">
        <v>44905</v>
      </c>
      <c r="K788">
        <v>4</v>
      </c>
      <c r="L788">
        <v>28611298</v>
      </c>
      <c r="M788">
        <v>5937382</v>
      </c>
      <c r="N788" t="s">
        <v>34</v>
      </c>
      <c r="O788">
        <v>2.75</v>
      </c>
      <c r="P788">
        <v>68</v>
      </c>
      <c r="Q788">
        <v>4</v>
      </c>
      <c r="R788">
        <v>3</v>
      </c>
      <c r="S788">
        <v>0</v>
      </c>
      <c r="T788" t="s">
        <v>33</v>
      </c>
      <c r="U788" t="s">
        <v>34</v>
      </c>
      <c r="V788" t="s">
        <v>70</v>
      </c>
      <c r="W788" t="s">
        <v>33</v>
      </c>
      <c r="X788" t="s">
        <v>45</v>
      </c>
      <c r="Z788" t="str">
        <f>IF(Table1[[#This Row],[Age]]&lt;30,"20-29",IF(Table1[[#This Row],[Age]]&lt;40,"30-39",IF(Table1[[#This Row],[Age]]&lt;50,"40-49","50+")))</f>
        <v>30-39</v>
      </c>
      <c r="AA788" t="str">
        <f>IF(Table1[[#This Row],[Salary]]&lt;20000000,"low",IF(Table1[[#This Row],[Salary]]&lt;40000000,"medium","high"))</f>
        <v>medium</v>
      </c>
      <c r="AB788">
        <f>YEAR(Table1[[#This Row],[Hire Date]])</f>
        <v>2022</v>
      </c>
      <c r="AC788" t="str">
        <f>TEXT(Table1[[#This Row],[Hire Date]],"mmmm")</f>
        <v>دسامبر</v>
      </c>
      <c r="AD788" t="str">
        <f>IF(Table1[[#This Row],[Resigned]]="yes","former","active")</f>
        <v>active</v>
      </c>
    </row>
    <row r="789" spans="1:30" x14ac:dyDescent="0.3">
      <c r="A789" t="s">
        <v>1643</v>
      </c>
      <c r="B789" t="s">
        <v>1644</v>
      </c>
      <c r="C789" t="s">
        <v>39</v>
      </c>
      <c r="D789">
        <v>26</v>
      </c>
      <c r="E789" t="s">
        <v>63</v>
      </c>
      <c r="F789" t="s">
        <v>93</v>
      </c>
      <c r="G789" t="s">
        <v>49</v>
      </c>
      <c r="H789" t="s">
        <v>31</v>
      </c>
      <c r="I789" t="s">
        <v>32</v>
      </c>
      <c r="J789" s="1">
        <v>45634</v>
      </c>
      <c r="K789">
        <v>2</v>
      </c>
      <c r="L789">
        <v>37909068</v>
      </c>
      <c r="M789">
        <v>8112676</v>
      </c>
      <c r="N789" t="s">
        <v>33</v>
      </c>
      <c r="O789">
        <v>4.6900000000000004</v>
      </c>
      <c r="P789">
        <v>58</v>
      </c>
      <c r="Q789">
        <v>5</v>
      </c>
      <c r="R789">
        <v>4</v>
      </c>
      <c r="S789">
        <v>11</v>
      </c>
      <c r="T789" t="s">
        <v>33</v>
      </c>
      <c r="U789" t="s">
        <v>34</v>
      </c>
      <c r="V789" t="s">
        <v>51</v>
      </c>
      <c r="W789" t="s">
        <v>34</v>
      </c>
      <c r="X789" t="s">
        <v>45</v>
      </c>
      <c r="Z789" t="str">
        <f>IF(Table1[[#This Row],[Age]]&lt;30,"20-29",IF(Table1[[#This Row],[Age]]&lt;40,"30-39",IF(Table1[[#This Row],[Age]]&lt;50,"40-49","50+")))</f>
        <v>20-29</v>
      </c>
      <c r="AA789" t="str">
        <f>IF(Table1[[#This Row],[Salary]]&lt;20000000,"low",IF(Table1[[#This Row],[Salary]]&lt;40000000,"medium","high"))</f>
        <v>medium</v>
      </c>
      <c r="AB789">
        <f>YEAR(Table1[[#This Row],[Hire Date]])</f>
        <v>2024</v>
      </c>
      <c r="AC789" t="str">
        <f>TEXT(Table1[[#This Row],[Hire Date]],"mmmm")</f>
        <v>دسامبر</v>
      </c>
      <c r="AD789" t="str">
        <f>IF(Table1[[#This Row],[Resigned]]="yes","former","active")</f>
        <v>active</v>
      </c>
    </row>
    <row r="790" spans="1:30" x14ac:dyDescent="0.3">
      <c r="A790" t="s">
        <v>1645</v>
      </c>
      <c r="B790" t="s">
        <v>1646</v>
      </c>
      <c r="C790" t="s">
        <v>39</v>
      </c>
      <c r="D790">
        <v>43</v>
      </c>
      <c r="E790" t="s">
        <v>63</v>
      </c>
      <c r="F790" t="s">
        <v>64</v>
      </c>
      <c r="G790" t="s">
        <v>30</v>
      </c>
      <c r="H790" t="s">
        <v>42</v>
      </c>
      <c r="I790" t="s">
        <v>50</v>
      </c>
      <c r="J790" s="1">
        <v>44253</v>
      </c>
      <c r="K790">
        <v>5</v>
      </c>
      <c r="L790">
        <v>25262039</v>
      </c>
      <c r="M790">
        <v>9127144</v>
      </c>
      <c r="N790" t="s">
        <v>34</v>
      </c>
      <c r="O790">
        <v>3.88</v>
      </c>
      <c r="P790">
        <v>72</v>
      </c>
      <c r="Q790">
        <v>2</v>
      </c>
      <c r="R790">
        <v>2</v>
      </c>
      <c r="S790">
        <v>14</v>
      </c>
      <c r="T790" t="s">
        <v>33</v>
      </c>
      <c r="U790" t="s">
        <v>33</v>
      </c>
      <c r="V790" t="s">
        <v>70</v>
      </c>
      <c r="W790" t="s">
        <v>34</v>
      </c>
      <c r="X790" t="s">
        <v>52</v>
      </c>
      <c r="Y790" t="s">
        <v>60</v>
      </c>
      <c r="Z790" t="str">
        <f>IF(Table1[[#This Row],[Age]]&lt;30,"20-29",IF(Table1[[#This Row],[Age]]&lt;40,"30-39",IF(Table1[[#This Row],[Age]]&lt;50,"40-49","50+")))</f>
        <v>40-49</v>
      </c>
      <c r="AA790" t="str">
        <f>IF(Table1[[#This Row],[Salary]]&lt;20000000,"low",IF(Table1[[#This Row],[Salary]]&lt;40000000,"medium","high"))</f>
        <v>medium</v>
      </c>
      <c r="AB790">
        <f>YEAR(Table1[[#This Row],[Hire Date]])</f>
        <v>2021</v>
      </c>
      <c r="AC790" t="str">
        <f>TEXT(Table1[[#This Row],[Hire Date]],"mmmm")</f>
        <v>فوريه</v>
      </c>
      <c r="AD790" t="str">
        <f>IF(Table1[[#This Row],[Resigned]]="yes","former","active")</f>
        <v>former</v>
      </c>
    </row>
    <row r="791" spans="1:30" x14ac:dyDescent="0.3">
      <c r="A791" t="s">
        <v>1647</v>
      </c>
      <c r="B791" t="s">
        <v>1648</v>
      </c>
      <c r="C791" t="s">
        <v>39</v>
      </c>
      <c r="D791">
        <v>54</v>
      </c>
      <c r="E791" t="s">
        <v>28</v>
      </c>
      <c r="F791" t="s">
        <v>80</v>
      </c>
      <c r="G791" t="s">
        <v>58</v>
      </c>
      <c r="H791" t="s">
        <v>42</v>
      </c>
      <c r="I791" t="s">
        <v>50</v>
      </c>
      <c r="J791" s="1">
        <v>44773</v>
      </c>
      <c r="K791">
        <v>4</v>
      </c>
      <c r="L791">
        <v>15810022</v>
      </c>
      <c r="M791">
        <v>8067642</v>
      </c>
      <c r="N791" t="s">
        <v>34</v>
      </c>
      <c r="O791">
        <v>2.77</v>
      </c>
      <c r="P791">
        <v>33</v>
      </c>
      <c r="Q791">
        <v>4</v>
      </c>
      <c r="R791">
        <v>3</v>
      </c>
      <c r="S791">
        <v>14</v>
      </c>
      <c r="T791" t="s">
        <v>33</v>
      </c>
      <c r="U791" t="s">
        <v>33</v>
      </c>
      <c r="V791" t="s">
        <v>35</v>
      </c>
      <c r="W791" t="s">
        <v>33</v>
      </c>
      <c r="X791" t="s">
        <v>36</v>
      </c>
      <c r="Y791" t="s">
        <v>75</v>
      </c>
      <c r="Z791" t="str">
        <f>IF(Table1[[#This Row],[Age]]&lt;30,"20-29",IF(Table1[[#This Row],[Age]]&lt;40,"30-39",IF(Table1[[#This Row],[Age]]&lt;50,"40-49","50+")))</f>
        <v>50+</v>
      </c>
      <c r="AA791" t="str">
        <f>IF(Table1[[#This Row],[Salary]]&lt;20000000,"low",IF(Table1[[#This Row],[Salary]]&lt;40000000,"medium","high"))</f>
        <v>low</v>
      </c>
      <c r="AB791">
        <f>YEAR(Table1[[#This Row],[Hire Date]])</f>
        <v>2022</v>
      </c>
      <c r="AC791" t="str">
        <f>TEXT(Table1[[#This Row],[Hire Date]],"mmmm")</f>
        <v>ژوئيه</v>
      </c>
      <c r="AD791" t="str">
        <f>IF(Table1[[#This Row],[Resigned]]="yes","former","active")</f>
        <v>former</v>
      </c>
    </row>
    <row r="792" spans="1:30" x14ac:dyDescent="0.3">
      <c r="A792" t="s">
        <v>1649</v>
      </c>
      <c r="B792" t="s">
        <v>1650</v>
      </c>
      <c r="C792" t="s">
        <v>27</v>
      </c>
      <c r="D792">
        <v>22</v>
      </c>
      <c r="E792" t="s">
        <v>110</v>
      </c>
      <c r="F792" t="s">
        <v>111</v>
      </c>
      <c r="G792" t="s">
        <v>30</v>
      </c>
      <c r="H792" t="s">
        <v>31</v>
      </c>
      <c r="I792" t="s">
        <v>43</v>
      </c>
      <c r="J792" s="1">
        <v>45109</v>
      </c>
      <c r="K792">
        <v>3</v>
      </c>
      <c r="L792">
        <v>15325964</v>
      </c>
      <c r="M792">
        <v>8227108</v>
      </c>
      <c r="N792" t="s">
        <v>34</v>
      </c>
      <c r="O792">
        <v>2.63</v>
      </c>
      <c r="P792">
        <v>9</v>
      </c>
      <c r="Q792">
        <v>2</v>
      </c>
      <c r="R792">
        <v>3</v>
      </c>
      <c r="S792">
        <v>4</v>
      </c>
      <c r="T792" t="s">
        <v>34</v>
      </c>
      <c r="U792" t="s">
        <v>34</v>
      </c>
      <c r="V792" t="s">
        <v>59</v>
      </c>
      <c r="W792" t="s">
        <v>33</v>
      </c>
      <c r="X792" t="s">
        <v>36</v>
      </c>
      <c r="Z792" t="str">
        <f>IF(Table1[[#This Row],[Age]]&lt;30,"20-29",IF(Table1[[#This Row],[Age]]&lt;40,"30-39",IF(Table1[[#This Row],[Age]]&lt;50,"40-49","50+")))</f>
        <v>20-29</v>
      </c>
      <c r="AA792" t="str">
        <f>IF(Table1[[#This Row],[Salary]]&lt;20000000,"low",IF(Table1[[#This Row],[Salary]]&lt;40000000,"medium","high"))</f>
        <v>low</v>
      </c>
      <c r="AB792">
        <f>YEAR(Table1[[#This Row],[Hire Date]])</f>
        <v>2023</v>
      </c>
      <c r="AC792" t="str">
        <f>TEXT(Table1[[#This Row],[Hire Date]],"mmmm")</f>
        <v>ژوئيه</v>
      </c>
      <c r="AD792" t="str">
        <f>IF(Table1[[#This Row],[Resigned]]="yes","former","active")</f>
        <v>active</v>
      </c>
    </row>
    <row r="793" spans="1:30" x14ac:dyDescent="0.3">
      <c r="A793" t="s">
        <v>1651</v>
      </c>
      <c r="B793" t="s">
        <v>1652</v>
      </c>
      <c r="C793" t="s">
        <v>39</v>
      </c>
      <c r="D793">
        <v>54</v>
      </c>
      <c r="E793" t="s">
        <v>73</v>
      </c>
      <c r="F793" t="s">
        <v>127</v>
      </c>
      <c r="G793" t="s">
        <v>58</v>
      </c>
      <c r="H793" t="s">
        <v>42</v>
      </c>
      <c r="I793" t="s">
        <v>43</v>
      </c>
      <c r="J793" s="1">
        <v>43100</v>
      </c>
      <c r="K793">
        <v>9</v>
      </c>
      <c r="L793">
        <v>33065012</v>
      </c>
      <c r="M793">
        <v>3407307</v>
      </c>
      <c r="N793" t="s">
        <v>33</v>
      </c>
      <c r="O793">
        <v>4.42</v>
      </c>
      <c r="P793">
        <v>77</v>
      </c>
      <c r="Q793">
        <v>1</v>
      </c>
      <c r="R793">
        <v>1</v>
      </c>
      <c r="S793">
        <v>16</v>
      </c>
      <c r="T793" t="s">
        <v>34</v>
      </c>
      <c r="U793" t="s">
        <v>34</v>
      </c>
      <c r="V793" t="s">
        <v>59</v>
      </c>
      <c r="W793" t="s">
        <v>33</v>
      </c>
      <c r="X793" t="s">
        <v>45</v>
      </c>
      <c r="Z793" t="str">
        <f>IF(Table1[[#This Row],[Age]]&lt;30,"20-29",IF(Table1[[#This Row],[Age]]&lt;40,"30-39",IF(Table1[[#This Row],[Age]]&lt;50,"40-49","50+")))</f>
        <v>50+</v>
      </c>
      <c r="AA793" t="str">
        <f>IF(Table1[[#This Row],[Salary]]&lt;20000000,"low",IF(Table1[[#This Row],[Salary]]&lt;40000000,"medium","high"))</f>
        <v>medium</v>
      </c>
      <c r="AB793">
        <f>YEAR(Table1[[#This Row],[Hire Date]])</f>
        <v>2017</v>
      </c>
      <c r="AC793" t="str">
        <f>TEXT(Table1[[#This Row],[Hire Date]],"mmmm")</f>
        <v>دسامبر</v>
      </c>
      <c r="AD793" t="str">
        <f>IF(Table1[[#This Row],[Resigned]]="yes","former","active")</f>
        <v>active</v>
      </c>
    </row>
    <row r="794" spans="1:30" x14ac:dyDescent="0.3">
      <c r="A794" t="s">
        <v>1653</v>
      </c>
      <c r="B794" t="s">
        <v>1654</v>
      </c>
      <c r="C794" t="s">
        <v>27</v>
      </c>
      <c r="D794">
        <v>39</v>
      </c>
      <c r="E794" t="s">
        <v>73</v>
      </c>
      <c r="F794" t="s">
        <v>127</v>
      </c>
      <c r="G794" t="s">
        <v>30</v>
      </c>
      <c r="H794" t="s">
        <v>31</v>
      </c>
      <c r="I794" t="s">
        <v>65</v>
      </c>
      <c r="J794" s="1">
        <v>44083</v>
      </c>
      <c r="K794">
        <v>6</v>
      </c>
      <c r="L794">
        <v>52425111</v>
      </c>
      <c r="M794">
        <v>7301040</v>
      </c>
      <c r="N794" t="s">
        <v>34</v>
      </c>
      <c r="O794">
        <v>4.74</v>
      </c>
      <c r="P794">
        <v>20</v>
      </c>
      <c r="Q794">
        <v>1</v>
      </c>
      <c r="R794">
        <v>5</v>
      </c>
      <c r="S794">
        <v>17</v>
      </c>
      <c r="T794" t="s">
        <v>34</v>
      </c>
      <c r="U794" t="s">
        <v>34</v>
      </c>
      <c r="V794" t="s">
        <v>35</v>
      </c>
      <c r="W794" t="s">
        <v>34</v>
      </c>
      <c r="X794" t="s">
        <v>52</v>
      </c>
      <c r="Z794" t="str">
        <f>IF(Table1[[#This Row],[Age]]&lt;30,"20-29",IF(Table1[[#This Row],[Age]]&lt;40,"30-39",IF(Table1[[#This Row],[Age]]&lt;50,"40-49","50+")))</f>
        <v>30-39</v>
      </c>
      <c r="AA794" t="str">
        <f>IF(Table1[[#This Row],[Salary]]&lt;20000000,"low",IF(Table1[[#This Row],[Salary]]&lt;40000000,"medium","high"))</f>
        <v>high</v>
      </c>
      <c r="AB794">
        <f>YEAR(Table1[[#This Row],[Hire Date]])</f>
        <v>2020</v>
      </c>
      <c r="AC794" t="str">
        <f>TEXT(Table1[[#This Row],[Hire Date]],"mmmm")</f>
        <v>سپتامبر</v>
      </c>
      <c r="AD794" t="str">
        <f>IF(Table1[[#This Row],[Resigned]]="yes","former","active")</f>
        <v>active</v>
      </c>
    </row>
    <row r="795" spans="1:30" x14ac:dyDescent="0.3">
      <c r="A795" t="s">
        <v>1655</v>
      </c>
      <c r="B795" t="s">
        <v>1656</v>
      </c>
      <c r="C795" t="s">
        <v>39</v>
      </c>
      <c r="D795">
        <v>36</v>
      </c>
      <c r="E795" t="s">
        <v>63</v>
      </c>
      <c r="F795" t="s">
        <v>93</v>
      </c>
      <c r="G795" t="s">
        <v>49</v>
      </c>
      <c r="H795" t="s">
        <v>42</v>
      </c>
      <c r="I795" t="s">
        <v>43</v>
      </c>
      <c r="J795" s="1">
        <v>43016</v>
      </c>
      <c r="K795">
        <v>9</v>
      </c>
      <c r="L795">
        <v>18946865</v>
      </c>
      <c r="M795">
        <v>6550111</v>
      </c>
      <c r="N795" t="s">
        <v>33</v>
      </c>
      <c r="O795">
        <v>3.77</v>
      </c>
      <c r="P795">
        <v>27</v>
      </c>
      <c r="Q795">
        <v>2</v>
      </c>
      <c r="R795">
        <v>4</v>
      </c>
      <c r="S795">
        <v>0</v>
      </c>
      <c r="T795" t="s">
        <v>34</v>
      </c>
      <c r="U795" t="s">
        <v>34</v>
      </c>
      <c r="V795" t="s">
        <v>51</v>
      </c>
      <c r="W795" t="s">
        <v>34</v>
      </c>
      <c r="X795" t="s">
        <v>52</v>
      </c>
      <c r="Z795" t="str">
        <f>IF(Table1[[#This Row],[Age]]&lt;30,"20-29",IF(Table1[[#This Row],[Age]]&lt;40,"30-39",IF(Table1[[#This Row],[Age]]&lt;50,"40-49","50+")))</f>
        <v>30-39</v>
      </c>
      <c r="AA795" t="str">
        <f>IF(Table1[[#This Row],[Salary]]&lt;20000000,"low",IF(Table1[[#This Row],[Salary]]&lt;40000000,"medium","high"))</f>
        <v>low</v>
      </c>
      <c r="AB795">
        <f>YEAR(Table1[[#This Row],[Hire Date]])</f>
        <v>2017</v>
      </c>
      <c r="AC795" t="str">
        <f>TEXT(Table1[[#This Row],[Hire Date]],"mmmm")</f>
        <v>اُكتبر</v>
      </c>
      <c r="AD795" t="str">
        <f>IF(Table1[[#This Row],[Resigned]]="yes","former","active")</f>
        <v>active</v>
      </c>
    </row>
    <row r="796" spans="1:30" x14ac:dyDescent="0.3">
      <c r="A796" t="s">
        <v>1657</v>
      </c>
      <c r="B796" t="s">
        <v>1658</v>
      </c>
      <c r="C796" t="s">
        <v>39</v>
      </c>
      <c r="D796">
        <v>45</v>
      </c>
      <c r="E796" t="s">
        <v>28</v>
      </c>
      <c r="F796" t="s">
        <v>80</v>
      </c>
      <c r="G796" t="s">
        <v>49</v>
      </c>
      <c r="H796" t="s">
        <v>31</v>
      </c>
      <c r="I796" t="s">
        <v>43</v>
      </c>
      <c r="J796" s="1">
        <v>45712</v>
      </c>
      <c r="K796">
        <v>1</v>
      </c>
      <c r="L796">
        <v>16490321</v>
      </c>
      <c r="M796">
        <v>9714643</v>
      </c>
      <c r="N796" t="s">
        <v>34</v>
      </c>
      <c r="O796">
        <v>2.98</v>
      </c>
      <c r="P796">
        <v>74</v>
      </c>
      <c r="Q796">
        <v>1</v>
      </c>
      <c r="R796">
        <v>2</v>
      </c>
      <c r="S796">
        <v>1</v>
      </c>
      <c r="T796" t="s">
        <v>34</v>
      </c>
      <c r="U796" t="s">
        <v>33</v>
      </c>
      <c r="V796" t="s">
        <v>59</v>
      </c>
      <c r="W796" t="s">
        <v>33</v>
      </c>
      <c r="X796" t="s">
        <v>52</v>
      </c>
      <c r="Y796" t="s">
        <v>162</v>
      </c>
      <c r="Z796" t="str">
        <f>IF(Table1[[#This Row],[Age]]&lt;30,"20-29",IF(Table1[[#This Row],[Age]]&lt;40,"30-39",IF(Table1[[#This Row],[Age]]&lt;50,"40-49","50+")))</f>
        <v>40-49</v>
      </c>
      <c r="AA796" t="str">
        <f>IF(Table1[[#This Row],[Salary]]&lt;20000000,"low",IF(Table1[[#This Row],[Salary]]&lt;40000000,"medium","high"))</f>
        <v>low</v>
      </c>
      <c r="AB796">
        <f>YEAR(Table1[[#This Row],[Hire Date]])</f>
        <v>2025</v>
      </c>
      <c r="AC796" t="str">
        <f>TEXT(Table1[[#This Row],[Hire Date]],"mmmm")</f>
        <v>فوريه</v>
      </c>
      <c r="AD796" t="str">
        <f>IF(Table1[[#This Row],[Resigned]]="yes","former","active")</f>
        <v>former</v>
      </c>
    </row>
    <row r="797" spans="1:30" x14ac:dyDescent="0.3">
      <c r="A797" t="s">
        <v>1659</v>
      </c>
      <c r="B797" t="s">
        <v>1660</v>
      </c>
      <c r="C797" t="s">
        <v>39</v>
      </c>
      <c r="D797">
        <v>40</v>
      </c>
      <c r="E797" t="s">
        <v>73</v>
      </c>
      <c r="F797" t="s">
        <v>127</v>
      </c>
      <c r="G797" t="s">
        <v>58</v>
      </c>
      <c r="H797" t="s">
        <v>31</v>
      </c>
      <c r="I797" t="s">
        <v>50</v>
      </c>
      <c r="J797" s="1">
        <v>45468</v>
      </c>
      <c r="K797">
        <v>2</v>
      </c>
      <c r="L797">
        <v>15053048</v>
      </c>
      <c r="M797">
        <v>3725436</v>
      </c>
      <c r="N797" t="s">
        <v>34</v>
      </c>
      <c r="O797">
        <v>3.35</v>
      </c>
      <c r="P797">
        <v>23</v>
      </c>
      <c r="Q797">
        <v>3</v>
      </c>
      <c r="R797">
        <v>1</v>
      </c>
      <c r="S797">
        <v>7</v>
      </c>
      <c r="T797" t="s">
        <v>34</v>
      </c>
      <c r="U797" t="s">
        <v>34</v>
      </c>
      <c r="V797" t="s">
        <v>51</v>
      </c>
      <c r="W797" t="s">
        <v>33</v>
      </c>
      <c r="X797" t="s">
        <v>45</v>
      </c>
      <c r="Z797" t="str">
        <f>IF(Table1[[#This Row],[Age]]&lt;30,"20-29",IF(Table1[[#This Row],[Age]]&lt;40,"30-39",IF(Table1[[#This Row],[Age]]&lt;50,"40-49","50+")))</f>
        <v>40-49</v>
      </c>
      <c r="AA797" t="str">
        <f>IF(Table1[[#This Row],[Salary]]&lt;20000000,"low",IF(Table1[[#This Row],[Salary]]&lt;40000000,"medium","high"))</f>
        <v>low</v>
      </c>
      <c r="AB797">
        <f>YEAR(Table1[[#This Row],[Hire Date]])</f>
        <v>2024</v>
      </c>
      <c r="AC797" t="str">
        <f>TEXT(Table1[[#This Row],[Hire Date]],"mmmm")</f>
        <v>ژوئن</v>
      </c>
      <c r="AD797" t="str">
        <f>IF(Table1[[#This Row],[Resigned]]="yes","former","active")</f>
        <v>active</v>
      </c>
    </row>
    <row r="798" spans="1:30" x14ac:dyDescent="0.3">
      <c r="A798" t="s">
        <v>1661</v>
      </c>
      <c r="B798" t="s">
        <v>1662</v>
      </c>
      <c r="C798" t="s">
        <v>39</v>
      </c>
      <c r="D798">
        <v>57</v>
      </c>
      <c r="E798" t="s">
        <v>28</v>
      </c>
      <c r="F798" t="s">
        <v>80</v>
      </c>
      <c r="G798" t="s">
        <v>30</v>
      </c>
      <c r="H798" t="s">
        <v>31</v>
      </c>
      <c r="I798" t="s">
        <v>81</v>
      </c>
      <c r="J798" s="1">
        <v>44901</v>
      </c>
      <c r="K798">
        <v>4</v>
      </c>
      <c r="L798">
        <v>34325585</v>
      </c>
      <c r="M798">
        <v>596463</v>
      </c>
      <c r="N798" t="s">
        <v>34</v>
      </c>
      <c r="O798">
        <v>4.32</v>
      </c>
      <c r="P798">
        <v>60</v>
      </c>
      <c r="Q798">
        <v>2</v>
      </c>
      <c r="R798">
        <v>2</v>
      </c>
      <c r="S798">
        <v>12</v>
      </c>
      <c r="T798" t="s">
        <v>33</v>
      </c>
      <c r="U798" t="s">
        <v>34</v>
      </c>
      <c r="V798" t="s">
        <v>70</v>
      </c>
      <c r="W798" t="s">
        <v>34</v>
      </c>
      <c r="X798" t="s">
        <v>36</v>
      </c>
      <c r="Z798" t="str">
        <f>IF(Table1[[#This Row],[Age]]&lt;30,"20-29",IF(Table1[[#This Row],[Age]]&lt;40,"30-39",IF(Table1[[#This Row],[Age]]&lt;50,"40-49","50+")))</f>
        <v>50+</v>
      </c>
      <c r="AA798" t="str">
        <f>IF(Table1[[#This Row],[Salary]]&lt;20000000,"low",IF(Table1[[#This Row],[Salary]]&lt;40000000,"medium","high"))</f>
        <v>medium</v>
      </c>
      <c r="AB798">
        <f>YEAR(Table1[[#This Row],[Hire Date]])</f>
        <v>2022</v>
      </c>
      <c r="AC798" t="str">
        <f>TEXT(Table1[[#This Row],[Hire Date]],"mmmm")</f>
        <v>دسامبر</v>
      </c>
      <c r="AD798" t="str">
        <f>IF(Table1[[#This Row],[Resigned]]="yes","former","active")</f>
        <v>active</v>
      </c>
    </row>
    <row r="799" spans="1:30" x14ac:dyDescent="0.3">
      <c r="A799" t="s">
        <v>1663</v>
      </c>
      <c r="B799" t="s">
        <v>1664</v>
      </c>
      <c r="C799" t="s">
        <v>39</v>
      </c>
      <c r="D799">
        <v>28</v>
      </c>
      <c r="E799" t="s">
        <v>56</v>
      </c>
      <c r="F799" t="s">
        <v>57</v>
      </c>
      <c r="G799" t="s">
        <v>49</v>
      </c>
      <c r="H799" t="s">
        <v>31</v>
      </c>
      <c r="I799" t="s">
        <v>43</v>
      </c>
      <c r="J799" s="1">
        <v>43150</v>
      </c>
      <c r="K799">
        <v>8</v>
      </c>
      <c r="L799">
        <v>44034727</v>
      </c>
      <c r="M799">
        <v>4762883</v>
      </c>
      <c r="N799" t="s">
        <v>33</v>
      </c>
      <c r="O799">
        <v>3.59</v>
      </c>
      <c r="P799">
        <v>6</v>
      </c>
      <c r="Q799">
        <v>3</v>
      </c>
      <c r="R799">
        <v>5</v>
      </c>
      <c r="S799">
        <v>8</v>
      </c>
      <c r="T799" t="s">
        <v>34</v>
      </c>
      <c r="U799" t="s">
        <v>33</v>
      </c>
      <c r="V799" t="s">
        <v>51</v>
      </c>
      <c r="W799" t="s">
        <v>34</v>
      </c>
      <c r="X799" t="s">
        <v>36</v>
      </c>
      <c r="Y799" t="s">
        <v>162</v>
      </c>
      <c r="Z799" t="str">
        <f>IF(Table1[[#This Row],[Age]]&lt;30,"20-29",IF(Table1[[#This Row],[Age]]&lt;40,"30-39",IF(Table1[[#This Row],[Age]]&lt;50,"40-49","50+")))</f>
        <v>20-29</v>
      </c>
      <c r="AA799" t="str">
        <f>IF(Table1[[#This Row],[Salary]]&lt;20000000,"low",IF(Table1[[#This Row],[Salary]]&lt;40000000,"medium","high"))</f>
        <v>high</v>
      </c>
      <c r="AB799">
        <f>YEAR(Table1[[#This Row],[Hire Date]])</f>
        <v>2018</v>
      </c>
      <c r="AC799" t="str">
        <f>TEXT(Table1[[#This Row],[Hire Date]],"mmmm")</f>
        <v>فوريه</v>
      </c>
      <c r="AD799" t="str">
        <f>IF(Table1[[#This Row],[Resigned]]="yes","former","active")</f>
        <v>former</v>
      </c>
    </row>
    <row r="800" spans="1:30" x14ac:dyDescent="0.3">
      <c r="A800" t="s">
        <v>1665</v>
      </c>
      <c r="B800" t="s">
        <v>1666</v>
      </c>
      <c r="C800" t="s">
        <v>39</v>
      </c>
      <c r="D800">
        <v>28</v>
      </c>
      <c r="E800" t="s">
        <v>28</v>
      </c>
      <c r="F800" t="s">
        <v>80</v>
      </c>
      <c r="G800" t="s">
        <v>30</v>
      </c>
      <c r="H800" t="s">
        <v>31</v>
      </c>
      <c r="I800" t="s">
        <v>65</v>
      </c>
      <c r="J800" s="1">
        <v>45259</v>
      </c>
      <c r="K800">
        <v>3</v>
      </c>
      <c r="L800">
        <v>17355846</v>
      </c>
      <c r="M800">
        <v>8941341</v>
      </c>
      <c r="N800" t="s">
        <v>34</v>
      </c>
      <c r="O800">
        <v>4.3899999999999997</v>
      </c>
      <c r="P800">
        <v>0</v>
      </c>
      <c r="Q800">
        <v>1</v>
      </c>
      <c r="R800">
        <v>4</v>
      </c>
      <c r="S800">
        <v>2</v>
      </c>
      <c r="T800" t="s">
        <v>34</v>
      </c>
      <c r="U800" t="s">
        <v>34</v>
      </c>
      <c r="V800" t="s">
        <v>70</v>
      </c>
      <c r="W800" t="s">
        <v>33</v>
      </c>
      <c r="X800" t="s">
        <v>36</v>
      </c>
      <c r="Z800" t="str">
        <f>IF(Table1[[#This Row],[Age]]&lt;30,"20-29",IF(Table1[[#This Row],[Age]]&lt;40,"30-39",IF(Table1[[#This Row],[Age]]&lt;50,"40-49","50+")))</f>
        <v>20-29</v>
      </c>
      <c r="AA800" t="str">
        <f>IF(Table1[[#This Row],[Salary]]&lt;20000000,"low",IF(Table1[[#This Row],[Salary]]&lt;40000000,"medium","high"))</f>
        <v>low</v>
      </c>
      <c r="AB800">
        <f>YEAR(Table1[[#This Row],[Hire Date]])</f>
        <v>2023</v>
      </c>
      <c r="AC800" t="str">
        <f>TEXT(Table1[[#This Row],[Hire Date]],"mmmm")</f>
        <v>نوامبر</v>
      </c>
      <c r="AD800" t="str">
        <f>IF(Table1[[#This Row],[Resigned]]="yes","former","active")</f>
        <v>active</v>
      </c>
    </row>
    <row r="801" spans="1:30" x14ac:dyDescent="0.3">
      <c r="A801" t="s">
        <v>1667</v>
      </c>
      <c r="B801" t="s">
        <v>1668</v>
      </c>
      <c r="C801" t="s">
        <v>39</v>
      </c>
      <c r="D801">
        <v>40</v>
      </c>
      <c r="E801" t="s">
        <v>110</v>
      </c>
      <c r="F801" t="s">
        <v>120</v>
      </c>
      <c r="G801" t="s">
        <v>49</v>
      </c>
      <c r="H801" t="s">
        <v>31</v>
      </c>
      <c r="I801" t="s">
        <v>50</v>
      </c>
      <c r="J801" s="1">
        <v>43574</v>
      </c>
      <c r="K801">
        <v>7</v>
      </c>
      <c r="L801">
        <v>39193694</v>
      </c>
      <c r="M801">
        <v>7000697</v>
      </c>
      <c r="N801" t="s">
        <v>34</v>
      </c>
      <c r="O801">
        <v>4.21</v>
      </c>
      <c r="P801">
        <v>75</v>
      </c>
      <c r="Q801">
        <v>2</v>
      </c>
      <c r="R801">
        <v>1</v>
      </c>
      <c r="S801">
        <v>16</v>
      </c>
      <c r="T801" t="s">
        <v>33</v>
      </c>
      <c r="U801" t="s">
        <v>34</v>
      </c>
      <c r="V801" t="s">
        <v>70</v>
      </c>
      <c r="W801" t="s">
        <v>34</v>
      </c>
      <c r="X801" t="s">
        <v>45</v>
      </c>
      <c r="Z801" t="str">
        <f>IF(Table1[[#This Row],[Age]]&lt;30,"20-29",IF(Table1[[#This Row],[Age]]&lt;40,"30-39",IF(Table1[[#This Row],[Age]]&lt;50,"40-49","50+")))</f>
        <v>40-49</v>
      </c>
      <c r="AA801" t="str">
        <f>IF(Table1[[#This Row],[Salary]]&lt;20000000,"low",IF(Table1[[#This Row],[Salary]]&lt;40000000,"medium","high"))</f>
        <v>medium</v>
      </c>
      <c r="AB801">
        <f>YEAR(Table1[[#This Row],[Hire Date]])</f>
        <v>2019</v>
      </c>
      <c r="AC801" t="str">
        <f>TEXT(Table1[[#This Row],[Hire Date]],"mmmm")</f>
        <v>آوريل</v>
      </c>
      <c r="AD801" t="str">
        <f>IF(Table1[[#This Row],[Resigned]]="yes","former","active")</f>
        <v>active</v>
      </c>
    </row>
    <row r="802" spans="1:30" x14ac:dyDescent="0.3">
      <c r="A802" t="s">
        <v>1669</v>
      </c>
      <c r="B802" t="s">
        <v>1670</v>
      </c>
      <c r="C802" t="s">
        <v>39</v>
      </c>
      <c r="D802">
        <v>28</v>
      </c>
      <c r="E802" t="s">
        <v>110</v>
      </c>
      <c r="F802" t="s">
        <v>111</v>
      </c>
      <c r="G802" t="s">
        <v>30</v>
      </c>
      <c r="H802" t="s">
        <v>31</v>
      </c>
      <c r="I802" t="s">
        <v>32</v>
      </c>
      <c r="J802" s="1">
        <v>42497</v>
      </c>
      <c r="K802">
        <v>10</v>
      </c>
      <c r="L802">
        <v>30250484</v>
      </c>
      <c r="M802">
        <v>8718846</v>
      </c>
      <c r="N802" t="s">
        <v>34</v>
      </c>
      <c r="O802">
        <v>2.56</v>
      </c>
      <c r="P802">
        <v>52</v>
      </c>
      <c r="Q802">
        <v>2</v>
      </c>
      <c r="R802">
        <v>4</v>
      </c>
      <c r="S802">
        <v>3</v>
      </c>
      <c r="T802" t="s">
        <v>34</v>
      </c>
      <c r="U802" t="s">
        <v>34</v>
      </c>
      <c r="V802" t="s">
        <v>35</v>
      </c>
      <c r="W802" t="s">
        <v>34</v>
      </c>
      <c r="X802" t="s">
        <v>52</v>
      </c>
      <c r="Z802" t="str">
        <f>IF(Table1[[#This Row],[Age]]&lt;30,"20-29",IF(Table1[[#This Row],[Age]]&lt;40,"30-39",IF(Table1[[#This Row],[Age]]&lt;50,"40-49","50+")))</f>
        <v>20-29</v>
      </c>
      <c r="AA802" t="str">
        <f>IF(Table1[[#This Row],[Salary]]&lt;20000000,"low",IF(Table1[[#This Row],[Salary]]&lt;40000000,"medium","high"))</f>
        <v>medium</v>
      </c>
      <c r="AB802">
        <f>YEAR(Table1[[#This Row],[Hire Date]])</f>
        <v>2016</v>
      </c>
      <c r="AC802" t="str">
        <f>TEXT(Table1[[#This Row],[Hire Date]],"mmmm")</f>
        <v>مه</v>
      </c>
      <c r="AD802" t="str">
        <f>IF(Table1[[#This Row],[Resigned]]="yes","former","active")</f>
        <v>active</v>
      </c>
    </row>
    <row r="803" spans="1:30" x14ac:dyDescent="0.3">
      <c r="A803" t="s">
        <v>1671</v>
      </c>
      <c r="B803" t="s">
        <v>1672</v>
      </c>
      <c r="C803" t="s">
        <v>27</v>
      </c>
      <c r="D803">
        <v>56</v>
      </c>
      <c r="E803" t="s">
        <v>63</v>
      </c>
      <c r="F803" t="s">
        <v>64</v>
      </c>
      <c r="G803" t="s">
        <v>58</v>
      </c>
      <c r="H803" t="s">
        <v>42</v>
      </c>
      <c r="I803" t="s">
        <v>81</v>
      </c>
      <c r="J803" s="1">
        <v>42535</v>
      </c>
      <c r="K803">
        <v>10</v>
      </c>
      <c r="L803">
        <v>49321563</v>
      </c>
      <c r="M803">
        <v>3487974</v>
      </c>
      <c r="N803" t="s">
        <v>34</v>
      </c>
      <c r="O803">
        <v>3.62</v>
      </c>
      <c r="P803">
        <v>33</v>
      </c>
      <c r="Q803">
        <v>3</v>
      </c>
      <c r="R803">
        <v>2</v>
      </c>
      <c r="S803">
        <v>19</v>
      </c>
      <c r="T803" t="s">
        <v>34</v>
      </c>
      <c r="U803" t="s">
        <v>33</v>
      </c>
      <c r="V803" t="s">
        <v>51</v>
      </c>
      <c r="W803" t="s">
        <v>33</v>
      </c>
      <c r="X803" t="s">
        <v>36</v>
      </c>
      <c r="Y803" t="s">
        <v>60</v>
      </c>
      <c r="Z803" t="str">
        <f>IF(Table1[[#This Row],[Age]]&lt;30,"20-29",IF(Table1[[#This Row],[Age]]&lt;40,"30-39",IF(Table1[[#This Row],[Age]]&lt;50,"40-49","50+")))</f>
        <v>50+</v>
      </c>
      <c r="AA803" t="str">
        <f>IF(Table1[[#This Row],[Salary]]&lt;20000000,"low",IF(Table1[[#This Row],[Salary]]&lt;40000000,"medium","high"))</f>
        <v>high</v>
      </c>
      <c r="AB803">
        <f>YEAR(Table1[[#This Row],[Hire Date]])</f>
        <v>2016</v>
      </c>
      <c r="AC803" t="str">
        <f>TEXT(Table1[[#This Row],[Hire Date]],"mmmm")</f>
        <v>ژوئن</v>
      </c>
      <c r="AD803" t="str">
        <f>IF(Table1[[#This Row],[Resigned]]="yes","former","active")</f>
        <v>former</v>
      </c>
    </row>
    <row r="804" spans="1:30" x14ac:dyDescent="0.3">
      <c r="A804" t="s">
        <v>1673</v>
      </c>
      <c r="B804" t="s">
        <v>1674</v>
      </c>
      <c r="C804" t="s">
        <v>39</v>
      </c>
      <c r="D804">
        <v>22</v>
      </c>
      <c r="E804" t="s">
        <v>40</v>
      </c>
      <c r="F804" t="s">
        <v>48</v>
      </c>
      <c r="G804" t="s">
        <v>30</v>
      </c>
      <c r="H804" t="s">
        <v>31</v>
      </c>
      <c r="I804" t="s">
        <v>81</v>
      </c>
      <c r="J804" s="1">
        <v>43195</v>
      </c>
      <c r="K804">
        <v>8</v>
      </c>
      <c r="L804">
        <v>35894777</v>
      </c>
      <c r="M804">
        <v>6650654</v>
      </c>
      <c r="N804" t="s">
        <v>34</v>
      </c>
      <c r="O804">
        <v>2.85</v>
      </c>
      <c r="P804">
        <v>66</v>
      </c>
      <c r="Q804">
        <v>1</v>
      </c>
      <c r="R804">
        <v>5</v>
      </c>
      <c r="S804">
        <v>12</v>
      </c>
      <c r="T804" t="s">
        <v>33</v>
      </c>
      <c r="U804" t="s">
        <v>34</v>
      </c>
      <c r="V804" t="s">
        <v>44</v>
      </c>
      <c r="W804" t="s">
        <v>34</v>
      </c>
      <c r="X804" t="s">
        <v>36</v>
      </c>
      <c r="Z804" t="str">
        <f>IF(Table1[[#This Row],[Age]]&lt;30,"20-29",IF(Table1[[#This Row],[Age]]&lt;40,"30-39",IF(Table1[[#This Row],[Age]]&lt;50,"40-49","50+")))</f>
        <v>20-29</v>
      </c>
      <c r="AA804" t="str">
        <f>IF(Table1[[#This Row],[Salary]]&lt;20000000,"low",IF(Table1[[#This Row],[Salary]]&lt;40000000,"medium","high"))</f>
        <v>medium</v>
      </c>
      <c r="AB804">
        <f>YEAR(Table1[[#This Row],[Hire Date]])</f>
        <v>2018</v>
      </c>
      <c r="AC804" t="str">
        <f>TEXT(Table1[[#This Row],[Hire Date]],"mmmm")</f>
        <v>آوريل</v>
      </c>
      <c r="AD804" t="str">
        <f>IF(Table1[[#This Row],[Resigned]]="yes","former","active")</f>
        <v>active</v>
      </c>
    </row>
    <row r="805" spans="1:30" x14ac:dyDescent="0.3">
      <c r="A805" t="s">
        <v>1675</v>
      </c>
      <c r="B805" t="s">
        <v>1676</v>
      </c>
      <c r="C805" t="s">
        <v>27</v>
      </c>
      <c r="D805">
        <v>30</v>
      </c>
      <c r="E805" t="s">
        <v>56</v>
      </c>
      <c r="F805" t="s">
        <v>84</v>
      </c>
      <c r="G805" t="s">
        <v>30</v>
      </c>
      <c r="H805" t="s">
        <v>31</v>
      </c>
      <c r="I805" t="s">
        <v>32</v>
      </c>
      <c r="J805" s="1">
        <v>44886</v>
      </c>
      <c r="K805">
        <v>4</v>
      </c>
      <c r="L805">
        <v>41588940</v>
      </c>
      <c r="M805">
        <v>1628000</v>
      </c>
      <c r="N805" t="s">
        <v>33</v>
      </c>
      <c r="O805">
        <v>3.75</v>
      </c>
      <c r="P805">
        <v>24</v>
      </c>
      <c r="Q805">
        <v>5</v>
      </c>
      <c r="R805">
        <v>4</v>
      </c>
      <c r="S805">
        <v>13</v>
      </c>
      <c r="T805" t="s">
        <v>34</v>
      </c>
      <c r="U805" t="s">
        <v>34</v>
      </c>
      <c r="V805" t="s">
        <v>51</v>
      </c>
      <c r="W805" t="s">
        <v>34</v>
      </c>
      <c r="X805" t="s">
        <v>36</v>
      </c>
      <c r="Z805" t="str">
        <f>IF(Table1[[#This Row],[Age]]&lt;30,"20-29",IF(Table1[[#This Row],[Age]]&lt;40,"30-39",IF(Table1[[#This Row],[Age]]&lt;50,"40-49","50+")))</f>
        <v>30-39</v>
      </c>
      <c r="AA805" t="str">
        <f>IF(Table1[[#This Row],[Salary]]&lt;20000000,"low",IF(Table1[[#This Row],[Salary]]&lt;40000000,"medium","high"))</f>
        <v>high</v>
      </c>
      <c r="AB805">
        <f>YEAR(Table1[[#This Row],[Hire Date]])</f>
        <v>2022</v>
      </c>
      <c r="AC805" t="str">
        <f>TEXT(Table1[[#This Row],[Hire Date]],"mmmm")</f>
        <v>نوامبر</v>
      </c>
      <c r="AD805" t="str">
        <f>IF(Table1[[#This Row],[Resigned]]="yes","former","active")</f>
        <v>active</v>
      </c>
    </row>
    <row r="806" spans="1:30" x14ac:dyDescent="0.3">
      <c r="A806" t="s">
        <v>1677</v>
      </c>
      <c r="B806" t="s">
        <v>1678</v>
      </c>
      <c r="C806" t="s">
        <v>39</v>
      </c>
      <c r="D806">
        <v>38</v>
      </c>
      <c r="E806" t="s">
        <v>73</v>
      </c>
      <c r="F806" t="s">
        <v>74</v>
      </c>
      <c r="G806" t="s">
        <v>30</v>
      </c>
      <c r="H806" t="s">
        <v>31</v>
      </c>
      <c r="I806" t="s">
        <v>81</v>
      </c>
      <c r="J806" s="1">
        <v>42996</v>
      </c>
      <c r="K806">
        <v>9</v>
      </c>
      <c r="L806">
        <v>32628616</v>
      </c>
      <c r="M806">
        <v>6418701</v>
      </c>
      <c r="N806" t="s">
        <v>33</v>
      </c>
      <c r="O806">
        <v>2.94</v>
      </c>
      <c r="P806">
        <v>0</v>
      </c>
      <c r="Q806">
        <v>5</v>
      </c>
      <c r="R806">
        <v>3</v>
      </c>
      <c r="S806">
        <v>6</v>
      </c>
      <c r="T806" t="s">
        <v>34</v>
      </c>
      <c r="U806" t="s">
        <v>34</v>
      </c>
      <c r="V806" t="s">
        <v>35</v>
      </c>
      <c r="W806" t="s">
        <v>33</v>
      </c>
      <c r="X806" t="s">
        <v>36</v>
      </c>
      <c r="Z806" t="str">
        <f>IF(Table1[[#This Row],[Age]]&lt;30,"20-29",IF(Table1[[#This Row],[Age]]&lt;40,"30-39",IF(Table1[[#This Row],[Age]]&lt;50,"40-49","50+")))</f>
        <v>30-39</v>
      </c>
      <c r="AA806" t="str">
        <f>IF(Table1[[#This Row],[Salary]]&lt;20000000,"low",IF(Table1[[#This Row],[Salary]]&lt;40000000,"medium","high"))</f>
        <v>medium</v>
      </c>
      <c r="AB806">
        <f>YEAR(Table1[[#This Row],[Hire Date]])</f>
        <v>2017</v>
      </c>
      <c r="AC806" t="str">
        <f>TEXT(Table1[[#This Row],[Hire Date]],"mmmm")</f>
        <v>سپتامبر</v>
      </c>
      <c r="AD806" t="str">
        <f>IF(Table1[[#This Row],[Resigned]]="yes","former","active")</f>
        <v>active</v>
      </c>
    </row>
    <row r="807" spans="1:30" x14ac:dyDescent="0.3">
      <c r="A807" t="s">
        <v>1679</v>
      </c>
      <c r="B807" t="s">
        <v>1680</v>
      </c>
      <c r="C807" t="s">
        <v>27</v>
      </c>
      <c r="D807">
        <v>28</v>
      </c>
      <c r="E807" t="s">
        <v>28</v>
      </c>
      <c r="F807" t="s">
        <v>80</v>
      </c>
      <c r="G807" t="s">
        <v>58</v>
      </c>
      <c r="H807" t="s">
        <v>42</v>
      </c>
      <c r="I807" t="s">
        <v>43</v>
      </c>
      <c r="J807" s="1">
        <v>45065</v>
      </c>
      <c r="K807">
        <v>3</v>
      </c>
      <c r="L807">
        <v>39078327</v>
      </c>
      <c r="M807">
        <v>2492740</v>
      </c>
      <c r="N807" t="s">
        <v>34</v>
      </c>
      <c r="O807">
        <v>3.33</v>
      </c>
      <c r="P807">
        <v>46</v>
      </c>
      <c r="Q807">
        <v>5</v>
      </c>
      <c r="R807">
        <v>1</v>
      </c>
      <c r="S807">
        <v>1</v>
      </c>
      <c r="T807" t="s">
        <v>33</v>
      </c>
      <c r="U807" t="s">
        <v>34</v>
      </c>
      <c r="V807" t="s">
        <v>51</v>
      </c>
      <c r="W807" t="s">
        <v>34</v>
      </c>
      <c r="X807" t="s">
        <v>52</v>
      </c>
      <c r="Z807" t="str">
        <f>IF(Table1[[#This Row],[Age]]&lt;30,"20-29",IF(Table1[[#This Row],[Age]]&lt;40,"30-39",IF(Table1[[#This Row],[Age]]&lt;50,"40-49","50+")))</f>
        <v>20-29</v>
      </c>
      <c r="AA807" t="str">
        <f>IF(Table1[[#This Row],[Salary]]&lt;20000000,"low",IF(Table1[[#This Row],[Salary]]&lt;40000000,"medium","high"))</f>
        <v>medium</v>
      </c>
      <c r="AB807">
        <f>YEAR(Table1[[#This Row],[Hire Date]])</f>
        <v>2023</v>
      </c>
      <c r="AC807" t="str">
        <f>TEXT(Table1[[#This Row],[Hire Date]],"mmmm")</f>
        <v>مه</v>
      </c>
      <c r="AD807" t="str">
        <f>IF(Table1[[#This Row],[Resigned]]="yes","former","active")</f>
        <v>active</v>
      </c>
    </row>
    <row r="808" spans="1:30" x14ac:dyDescent="0.3">
      <c r="A808" t="s">
        <v>1681</v>
      </c>
      <c r="B808" t="s">
        <v>1682</v>
      </c>
      <c r="C808" t="s">
        <v>27</v>
      </c>
      <c r="D808">
        <v>39</v>
      </c>
      <c r="E808" t="s">
        <v>40</v>
      </c>
      <c r="F808" t="s">
        <v>41</v>
      </c>
      <c r="G808" t="s">
        <v>49</v>
      </c>
      <c r="H808" t="s">
        <v>31</v>
      </c>
      <c r="I808" t="s">
        <v>81</v>
      </c>
      <c r="J808" s="1">
        <v>44411</v>
      </c>
      <c r="K808">
        <v>5</v>
      </c>
      <c r="L808">
        <v>16036949</v>
      </c>
      <c r="M808">
        <v>3164043</v>
      </c>
      <c r="N808" t="s">
        <v>33</v>
      </c>
      <c r="O808">
        <v>3.39</v>
      </c>
      <c r="P808">
        <v>42</v>
      </c>
      <c r="Q808">
        <v>4</v>
      </c>
      <c r="R808">
        <v>1</v>
      </c>
      <c r="S808">
        <v>8</v>
      </c>
      <c r="T808" t="s">
        <v>34</v>
      </c>
      <c r="U808" t="s">
        <v>34</v>
      </c>
      <c r="V808" t="s">
        <v>44</v>
      </c>
      <c r="W808" t="s">
        <v>34</v>
      </c>
      <c r="X808" t="s">
        <v>52</v>
      </c>
      <c r="Z808" t="str">
        <f>IF(Table1[[#This Row],[Age]]&lt;30,"20-29",IF(Table1[[#This Row],[Age]]&lt;40,"30-39",IF(Table1[[#This Row],[Age]]&lt;50,"40-49","50+")))</f>
        <v>30-39</v>
      </c>
      <c r="AA808" t="str">
        <f>IF(Table1[[#This Row],[Salary]]&lt;20000000,"low",IF(Table1[[#This Row],[Salary]]&lt;40000000,"medium","high"))</f>
        <v>low</v>
      </c>
      <c r="AB808">
        <f>YEAR(Table1[[#This Row],[Hire Date]])</f>
        <v>2021</v>
      </c>
      <c r="AC808" t="str">
        <f>TEXT(Table1[[#This Row],[Hire Date]],"mmmm")</f>
        <v>اوت</v>
      </c>
      <c r="AD808" t="str">
        <f>IF(Table1[[#This Row],[Resigned]]="yes","former","active")</f>
        <v>active</v>
      </c>
    </row>
    <row r="809" spans="1:30" x14ac:dyDescent="0.3">
      <c r="A809" t="s">
        <v>1683</v>
      </c>
      <c r="B809" t="s">
        <v>1684</v>
      </c>
      <c r="C809" t="s">
        <v>27</v>
      </c>
      <c r="D809">
        <v>25</v>
      </c>
      <c r="E809" t="s">
        <v>110</v>
      </c>
      <c r="F809" t="s">
        <v>120</v>
      </c>
      <c r="G809" t="s">
        <v>58</v>
      </c>
      <c r="H809" t="s">
        <v>42</v>
      </c>
      <c r="I809" t="s">
        <v>65</v>
      </c>
      <c r="J809" s="1">
        <v>43182</v>
      </c>
      <c r="K809">
        <v>8</v>
      </c>
      <c r="L809">
        <v>30007025</v>
      </c>
      <c r="M809">
        <v>5900606</v>
      </c>
      <c r="N809" t="s">
        <v>34</v>
      </c>
      <c r="O809">
        <v>3.64</v>
      </c>
      <c r="P809">
        <v>18</v>
      </c>
      <c r="Q809">
        <v>5</v>
      </c>
      <c r="R809">
        <v>1</v>
      </c>
      <c r="S809">
        <v>18</v>
      </c>
      <c r="T809" t="s">
        <v>33</v>
      </c>
      <c r="U809" t="s">
        <v>34</v>
      </c>
      <c r="V809" t="s">
        <v>70</v>
      </c>
      <c r="W809" t="s">
        <v>34</v>
      </c>
      <c r="X809" t="s">
        <v>45</v>
      </c>
      <c r="Z809" t="str">
        <f>IF(Table1[[#This Row],[Age]]&lt;30,"20-29",IF(Table1[[#This Row],[Age]]&lt;40,"30-39",IF(Table1[[#This Row],[Age]]&lt;50,"40-49","50+")))</f>
        <v>20-29</v>
      </c>
      <c r="AA809" t="str">
        <f>IF(Table1[[#This Row],[Salary]]&lt;20000000,"low",IF(Table1[[#This Row],[Salary]]&lt;40000000,"medium","high"))</f>
        <v>medium</v>
      </c>
      <c r="AB809">
        <f>YEAR(Table1[[#This Row],[Hire Date]])</f>
        <v>2018</v>
      </c>
      <c r="AC809" t="str">
        <f>TEXT(Table1[[#This Row],[Hire Date]],"mmmm")</f>
        <v>مارس</v>
      </c>
      <c r="AD809" t="str">
        <f>IF(Table1[[#This Row],[Resigned]]="yes","former","active")</f>
        <v>active</v>
      </c>
    </row>
    <row r="810" spans="1:30" x14ac:dyDescent="0.3">
      <c r="A810" t="s">
        <v>1685</v>
      </c>
      <c r="B810" t="s">
        <v>1686</v>
      </c>
      <c r="C810" t="s">
        <v>39</v>
      </c>
      <c r="D810">
        <v>24</v>
      </c>
      <c r="E810" t="s">
        <v>56</v>
      </c>
      <c r="F810" t="s">
        <v>57</v>
      </c>
      <c r="G810" t="s">
        <v>49</v>
      </c>
      <c r="H810" t="s">
        <v>31</v>
      </c>
      <c r="I810" t="s">
        <v>43</v>
      </c>
      <c r="J810" s="1">
        <v>45767</v>
      </c>
      <c r="K810">
        <v>1</v>
      </c>
      <c r="L810">
        <v>37196271</v>
      </c>
      <c r="M810">
        <v>6983758</v>
      </c>
      <c r="N810" t="s">
        <v>34</v>
      </c>
      <c r="O810">
        <v>3.7</v>
      </c>
      <c r="P810">
        <v>53</v>
      </c>
      <c r="Q810">
        <v>3</v>
      </c>
      <c r="R810">
        <v>1</v>
      </c>
      <c r="S810">
        <v>15</v>
      </c>
      <c r="T810" t="s">
        <v>33</v>
      </c>
      <c r="U810" t="s">
        <v>34</v>
      </c>
      <c r="V810" t="s">
        <v>51</v>
      </c>
      <c r="W810" t="s">
        <v>33</v>
      </c>
      <c r="X810" t="s">
        <v>52</v>
      </c>
      <c r="Z810" t="str">
        <f>IF(Table1[[#This Row],[Age]]&lt;30,"20-29",IF(Table1[[#This Row],[Age]]&lt;40,"30-39",IF(Table1[[#This Row],[Age]]&lt;50,"40-49","50+")))</f>
        <v>20-29</v>
      </c>
      <c r="AA810" t="str">
        <f>IF(Table1[[#This Row],[Salary]]&lt;20000000,"low",IF(Table1[[#This Row],[Salary]]&lt;40000000,"medium","high"))</f>
        <v>medium</v>
      </c>
      <c r="AB810">
        <f>YEAR(Table1[[#This Row],[Hire Date]])</f>
        <v>2025</v>
      </c>
      <c r="AC810" t="str">
        <f>TEXT(Table1[[#This Row],[Hire Date]],"mmmm")</f>
        <v>آوريل</v>
      </c>
      <c r="AD810" t="str">
        <f>IF(Table1[[#This Row],[Resigned]]="yes","former","active")</f>
        <v>active</v>
      </c>
    </row>
    <row r="811" spans="1:30" x14ac:dyDescent="0.3">
      <c r="A811" t="s">
        <v>1687</v>
      </c>
      <c r="B811" t="s">
        <v>1688</v>
      </c>
      <c r="C811" t="s">
        <v>27</v>
      </c>
      <c r="D811">
        <v>26</v>
      </c>
      <c r="E811" t="s">
        <v>63</v>
      </c>
      <c r="F811" t="s">
        <v>64</v>
      </c>
      <c r="G811" t="s">
        <v>49</v>
      </c>
      <c r="H811" t="s">
        <v>31</v>
      </c>
      <c r="I811" t="s">
        <v>50</v>
      </c>
      <c r="J811" s="1">
        <v>43306</v>
      </c>
      <c r="K811">
        <v>8</v>
      </c>
      <c r="L811">
        <v>49075065</v>
      </c>
      <c r="M811">
        <v>822437</v>
      </c>
      <c r="N811" t="s">
        <v>33</v>
      </c>
      <c r="O811">
        <v>2.74</v>
      </c>
      <c r="P811">
        <v>75</v>
      </c>
      <c r="Q811">
        <v>1</v>
      </c>
      <c r="R811">
        <v>4</v>
      </c>
      <c r="S811">
        <v>20</v>
      </c>
      <c r="T811" t="s">
        <v>34</v>
      </c>
      <c r="U811" t="s">
        <v>33</v>
      </c>
      <c r="V811" t="s">
        <v>59</v>
      </c>
      <c r="W811" t="s">
        <v>34</v>
      </c>
      <c r="X811" t="s">
        <v>52</v>
      </c>
      <c r="Y811" t="s">
        <v>53</v>
      </c>
      <c r="Z811" t="str">
        <f>IF(Table1[[#This Row],[Age]]&lt;30,"20-29",IF(Table1[[#This Row],[Age]]&lt;40,"30-39",IF(Table1[[#This Row],[Age]]&lt;50,"40-49","50+")))</f>
        <v>20-29</v>
      </c>
      <c r="AA811" t="str">
        <f>IF(Table1[[#This Row],[Salary]]&lt;20000000,"low",IF(Table1[[#This Row],[Salary]]&lt;40000000,"medium","high"))</f>
        <v>high</v>
      </c>
      <c r="AB811">
        <f>YEAR(Table1[[#This Row],[Hire Date]])</f>
        <v>2018</v>
      </c>
      <c r="AC811" t="str">
        <f>TEXT(Table1[[#This Row],[Hire Date]],"mmmm")</f>
        <v>ژوئيه</v>
      </c>
      <c r="AD811" t="str">
        <f>IF(Table1[[#This Row],[Resigned]]="yes","former","active")</f>
        <v>former</v>
      </c>
    </row>
    <row r="812" spans="1:30" x14ac:dyDescent="0.3">
      <c r="A812" t="s">
        <v>1689</v>
      </c>
      <c r="B812" t="s">
        <v>1690</v>
      </c>
      <c r="C812" t="s">
        <v>39</v>
      </c>
      <c r="D812">
        <v>36</v>
      </c>
      <c r="E812" t="s">
        <v>40</v>
      </c>
      <c r="F812" t="s">
        <v>41</v>
      </c>
      <c r="G812" t="s">
        <v>49</v>
      </c>
      <c r="H812" t="s">
        <v>31</v>
      </c>
      <c r="I812" t="s">
        <v>43</v>
      </c>
      <c r="J812" s="1">
        <v>43358</v>
      </c>
      <c r="K812">
        <v>8</v>
      </c>
      <c r="L812">
        <v>42095880</v>
      </c>
      <c r="M812">
        <v>7760092</v>
      </c>
      <c r="N812" t="s">
        <v>34</v>
      </c>
      <c r="O812">
        <v>4.08</v>
      </c>
      <c r="P812">
        <v>5</v>
      </c>
      <c r="Q812">
        <v>3</v>
      </c>
      <c r="R812">
        <v>5</v>
      </c>
      <c r="S812">
        <v>13</v>
      </c>
      <c r="T812" t="s">
        <v>34</v>
      </c>
      <c r="U812" t="s">
        <v>34</v>
      </c>
      <c r="V812" t="s">
        <v>44</v>
      </c>
      <c r="W812" t="s">
        <v>33</v>
      </c>
      <c r="X812" t="s">
        <v>36</v>
      </c>
      <c r="Z812" t="str">
        <f>IF(Table1[[#This Row],[Age]]&lt;30,"20-29",IF(Table1[[#This Row],[Age]]&lt;40,"30-39",IF(Table1[[#This Row],[Age]]&lt;50,"40-49","50+")))</f>
        <v>30-39</v>
      </c>
      <c r="AA812" t="str">
        <f>IF(Table1[[#This Row],[Salary]]&lt;20000000,"low",IF(Table1[[#This Row],[Salary]]&lt;40000000,"medium","high"))</f>
        <v>high</v>
      </c>
      <c r="AB812">
        <f>YEAR(Table1[[#This Row],[Hire Date]])</f>
        <v>2018</v>
      </c>
      <c r="AC812" t="str">
        <f>TEXT(Table1[[#This Row],[Hire Date]],"mmmm")</f>
        <v>سپتامبر</v>
      </c>
      <c r="AD812" t="str">
        <f>IF(Table1[[#This Row],[Resigned]]="yes","former","active")</f>
        <v>active</v>
      </c>
    </row>
    <row r="813" spans="1:30" x14ac:dyDescent="0.3">
      <c r="A813" t="s">
        <v>1691</v>
      </c>
      <c r="B813" t="s">
        <v>1692</v>
      </c>
      <c r="C813" t="s">
        <v>27</v>
      </c>
      <c r="D813">
        <v>43</v>
      </c>
      <c r="E813" t="s">
        <v>73</v>
      </c>
      <c r="F813" t="s">
        <v>127</v>
      </c>
      <c r="G813" t="s">
        <v>30</v>
      </c>
      <c r="H813" t="s">
        <v>42</v>
      </c>
      <c r="I813" t="s">
        <v>81</v>
      </c>
      <c r="J813" s="1">
        <v>45656</v>
      </c>
      <c r="K813">
        <v>2</v>
      </c>
      <c r="L813">
        <v>43138121</v>
      </c>
      <c r="M813">
        <v>3079693</v>
      </c>
      <c r="N813" t="s">
        <v>33</v>
      </c>
      <c r="O813">
        <v>3.81</v>
      </c>
      <c r="P813">
        <v>25</v>
      </c>
      <c r="Q813">
        <v>1</v>
      </c>
      <c r="R813">
        <v>1</v>
      </c>
      <c r="S813">
        <v>2</v>
      </c>
      <c r="T813" t="s">
        <v>34</v>
      </c>
      <c r="U813" t="s">
        <v>34</v>
      </c>
      <c r="V813" t="s">
        <v>59</v>
      </c>
      <c r="W813" t="s">
        <v>34</v>
      </c>
      <c r="X813" t="s">
        <v>52</v>
      </c>
      <c r="Z813" t="str">
        <f>IF(Table1[[#This Row],[Age]]&lt;30,"20-29",IF(Table1[[#This Row],[Age]]&lt;40,"30-39",IF(Table1[[#This Row],[Age]]&lt;50,"40-49","50+")))</f>
        <v>40-49</v>
      </c>
      <c r="AA813" t="str">
        <f>IF(Table1[[#This Row],[Salary]]&lt;20000000,"low",IF(Table1[[#This Row],[Salary]]&lt;40000000,"medium","high"))</f>
        <v>high</v>
      </c>
      <c r="AB813">
        <f>YEAR(Table1[[#This Row],[Hire Date]])</f>
        <v>2024</v>
      </c>
      <c r="AC813" t="str">
        <f>TEXT(Table1[[#This Row],[Hire Date]],"mmmm")</f>
        <v>دسامبر</v>
      </c>
      <c r="AD813" t="str">
        <f>IF(Table1[[#This Row],[Resigned]]="yes","former","active")</f>
        <v>active</v>
      </c>
    </row>
    <row r="814" spans="1:30" x14ac:dyDescent="0.3">
      <c r="A814" t="s">
        <v>1693</v>
      </c>
      <c r="B814" t="s">
        <v>1694</v>
      </c>
      <c r="C814" t="s">
        <v>27</v>
      </c>
      <c r="D814">
        <v>32</v>
      </c>
      <c r="E814" t="s">
        <v>40</v>
      </c>
      <c r="F814" t="s">
        <v>41</v>
      </c>
      <c r="G814" t="s">
        <v>49</v>
      </c>
      <c r="H814" t="s">
        <v>31</v>
      </c>
      <c r="I814" t="s">
        <v>32</v>
      </c>
      <c r="J814" s="1">
        <v>44622</v>
      </c>
      <c r="K814">
        <v>4</v>
      </c>
      <c r="L814">
        <v>17492986</v>
      </c>
      <c r="M814">
        <v>7721036</v>
      </c>
      <c r="N814" t="s">
        <v>34</v>
      </c>
      <c r="O814">
        <v>4.2300000000000004</v>
      </c>
      <c r="P814">
        <v>9</v>
      </c>
      <c r="Q814">
        <v>3</v>
      </c>
      <c r="R814">
        <v>5</v>
      </c>
      <c r="S814">
        <v>6</v>
      </c>
      <c r="T814" t="s">
        <v>34</v>
      </c>
      <c r="U814" t="s">
        <v>33</v>
      </c>
      <c r="V814" t="s">
        <v>35</v>
      </c>
      <c r="W814" t="s">
        <v>34</v>
      </c>
      <c r="X814" t="s">
        <v>52</v>
      </c>
      <c r="Y814" t="s">
        <v>53</v>
      </c>
      <c r="Z814" t="str">
        <f>IF(Table1[[#This Row],[Age]]&lt;30,"20-29",IF(Table1[[#This Row],[Age]]&lt;40,"30-39",IF(Table1[[#This Row],[Age]]&lt;50,"40-49","50+")))</f>
        <v>30-39</v>
      </c>
      <c r="AA814" t="str">
        <f>IF(Table1[[#This Row],[Salary]]&lt;20000000,"low",IF(Table1[[#This Row],[Salary]]&lt;40000000,"medium","high"))</f>
        <v>low</v>
      </c>
      <c r="AB814">
        <f>YEAR(Table1[[#This Row],[Hire Date]])</f>
        <v>2022</v>
      </c>
      <c r="AC814" t="str">
        <f>TEXT(Table1[[#This Row],[Hire Date]],"mmmm")</f>
        <v>مارس</v>
      </c>
      <c r="AD814" t="str">
        <f>IF(Table1[[#This Row],[Resigned]]="yes","former","active")</f>
        <v>former</v>
      </c>
    </row>
    <row r="815" spans="1:30" x14ac:dyDescent="0.3">
      <c r="A815" t="s">
        <v>1695</v>
      </c>
      <c r="B815" t="s">
        <v>1696</v>
      </c>
      <c r="C815" t="s">
        <v>27</v>
      </c>
      <c r="D815">
        <v>55</v>
      </c>
      <c r="E815" t="s">
        <v>63</v>
      </c>
      <c r="F815" t="s">
        <v>64</v>
      </c>
      <c r="G815" t="s">
        <v>30</v>
      </c>
      <c r="H815" t="s">
        <v>42</v>
      </c>
      <c r="I815" t="s">
        <v>50</v>
      </c>
      <c r="J815" s="1">
        <v>42998</v>
      </c>
      <c r="K815">
        <v>9</v>
      </c>
      <c r="L815">
        <v>39134150</v>
      </c>
      <c r="M815">
        <v>4821994</v>
      </c>
      <c r="N815" t="s">
        <v>33</v>
      </c>
      <c r="O815">
        <v>4.4000000000000004</v>
      </c>
      <c r="P815">
        <v>63</v>
      </c>
      <c r="Q815">
        <v>3</v>
      </c>
      <c r="R815">
        <v>3</v>
      </c>
      <c r="S815">
        <v>14</v>
      </c>
      <c r="T815" t="s">
        <v>34</v>
      </c>
      <c r="U815" t="s">
        <v>34</v>
      </c>
      <c r="V815" t="s">
        <v>70</v>
      </c>
      <c r="W815" t="s">
        <v>33</v>
      </c>
      <c r="X815" t="s">
        <v>36</v>
      </c>
      <c r="Z815" t="str">
        <f>IF(Table1[[#This Row],[Age]]&lt;30,"20-29",IF(Table1[[#This Row],[Age]]&lt;40,"30-39",IF(Table1[[#This Row],[Age]]&lt;50,"40-49","50+")))</f>
        <v>50+</v>
      </c>
      <c r="AA815" t="str">
        <f>IF(Table1[[#This Row],[Salary]]&lt;20000000,"low",IF(Table1[[#This Row],[Salary]]&lt;40000000,"medium","high"))</f>
        <v>medium</v>
      </c>
      <c r="AB815">
        <f>YEAR(Table1[[#This Row],[Hire Date]])</f>
        <v>2017</v>
      </c>
      <c r="AC815" t="str">
        <f>TEXT(Table1[[#This Row],[Hire Date]],"mmmm")</f>
        <v>سپتامبر</v>
      </c>
      <c r="AD815" t="str">
        <f>IF(Table1[[#This Row],[Resigned]]="yes","former","active")</f>
        <v>active</v>
      </c>
    </row>
    <row r="816" spans="1:30" x14ac:dyDescent="0.3">
      <c r="A816" t="s">
        <v>1697</v>
      </c>
      <c r="B816" t="s">
        <v>1698</v>
      </c>
      <c r="C816" t="s">
        <v>39</v>
      </c>
      <c r="D816">
        <v>41</v>
      </c>
      <c r="E816" t="s">
        <v>40</v>
      </c>
      <c r="F816" t="s">
        <v>41</v>
      </c>
      <c r="G816" t="s">
        <v>30</v>
      </c>
      <c r="H816" t="s">
        <v>31</v>
      </c>
      <c r="I816" t="s">
        <v>81</v>
      </c>
      <c r="J816" s="1">
        <v>44048</v>
      </c>
      <c r="K816">
        <v>6</v>
      </c>
      <c r="L816">
        <v>53039576</v>
      </c>
      <c r="M816">
        <v>6601623</v>
      </c>
      <c r="N816" t="s">
        <v>33</v>
      </c>
      <c r="O816">
        <v>4.4400000000000004</v>
      </c>
      <c r="P816">
        <v>74</v>
      </c>
      <c r="Q816">
        <v>3</v>
      </c>
      <c r="R816">
        <v>5</v>
      </c>
      <c r="S816">
        <v>6</v>
      </c>
      <c r="T816" t="s">
        <v>33</v>
      </c>
      <c r="U816" t="s">
        <v>34</v>
      </c>
      <c r="V816" t="s">
        <v>59</v>
      </c>
      <c r="W816" t="s">
        <v>34</v>
      </c>
      <c r="X816" t="s">
        <v>52</v>
      </c>
      <c r="Z816" t="str">
        <f>IF(Table1[[#This Row],[Age]]&lt;30,"20-29",IF(Table1[[#This Row],[Age]]&lt;40,"30-39",IF(Table1[[#This Row],[Age]]&lt;50,"40-49","50+")))</f>
        <v>40-49</v>
      </c>
      <c r="AA816" t="str">
        <f>IF(Table1[[#This Row],[Salary]]&lt;20000000,"low",IF(Table1[[#This Row],[Salary]]&lt;40000000,"medium","high"))</f>
        <v>high</v>
      </c>
      <c r="AB816">
        <f>YEAR(Table1[[#This Row],[Hire Date]])</f>
        <v>2020</v>
      </c>
      <c r="AC816" t="str">
        <f>TEXT(Table1[[#This Row],[Hire Date]],"mmmm")</f>
        <v>اوت</v>
      </c>
      <c r="AD816" t="str">
        <f>IF(Table1[[#This Row],[Resigned]]="yes","former","active")</f>
        <v>active</v>
      </c>
    </row>
    <row r="817" spans="1:30" x14ac:dyDescent="0.3">
      <c r="A817" t="s">
        <v>1699</v>
      </c>
      <c r="B817" t="s">
        <v>1700</v>
      </c>
      <c r="C817" t="s">
        <v>27</v>
      </c>
      <c r="D817">
        <v>51</v>
      </c>
      <c r="E817" t="s">
        <v>28</v>
      </c>
      <c r="F817" t="s">
        <v>29</v>
      </c>
      <c r="G817" t="s">
        <v>30</v>
      </c>
      <c r="H817" t="s">
        <v>31</v>
      </c>
      <c r="I817" t="s">
        <v>81</v>
      </c>
      <c r="J817" s="1">
        <v>43537</v>
      </c>
      <c r="K817">
        <v>7</v>
      </c>
      <c r="L817">
        <v>29669050</v>
      </c>
      <c r="M817">
        <v>5648167</v>
      </c>
      <c r="N817" t="s">
        <v>33</v>
      </c>
      <c r="O817">
        <v>4.43</v>
      </c>
      <c r="P817">
        <v>30</v>
      </c>
      <c r="Q817">
        <v>1</v>
      </c>
      <c r="R817">
        <v>4</v>
      </c>
      <c r="S817">
        <v>19</v>
      </c>
      <c r="T817" t="s">
        <v>33</v>
      </c>
      <c r="U817" t="s">
        <v>34</v>
      </c>
      <c r="V817" t="s">
        <v>70</v>
      </c>
      <c r="W817" t="s">
        <v>34</v>
      </c>
      <c r="X817" t="s">
        <v>45</v>
      </c>
      <c r="Z817" t="str">
        <f>IF(Table1[[#This Row],[Age]]&lt;30,"20-29",IF(Table1[[#This Row],[Age]]&lt;40,"30-39",IF(Table1[[#This Row],[Age]]&lt;50,"40-49","50+")))</f>
        <v>50+</v>
      </c>
      <c r="AA817" t="str">
        <f>IF(Table1[[#This Row],[Salary]]&lt;20000000,"low",IF(Table1[[#This Row],[Salary]]&lt;40000000,"medium","high"))</f>
        <v>medium</v>
      </c>
      <c r="AB817">
        <f>YEAR(Table1[[#This Row],[Hire Date]])</f>
        <v>2019</v>
      </c>
      <c r="AC817" t="str">
        <f>TEXT(Table1[[#This Row],[Hire Date]],"mmmm")</f>
        <v>مارس</v>
      </c>
      <c r="AD817" t="str">
        <f>IF(Table1[[#This Row],[Resigned]]="yes","former","active")</f>
        <v>active</v>
      </c>
    </row>
    <row r="818" spans="1:30" x14ac:dyDescent="0.3">
      <c r="A818" t="s">
        <v>1701</v>
      </c>
      <c r="B818" t="s">
        <v>1702</v>
      </c>
      <c r="C818" t="s">
        <v>27</v>
      </c>
      <c r="D818">
        <v>26</v>
      </c>
      <c r="E818" t="s">
        <v>56</v>
      </c>
      <c r="F818" t="s">
        <v>57</v>
      </c>
      <c r="G818" t="s">
        <v>49</v>
      </c>
      <c r="H818" t="s">
        <v>42</v>
      </c>
      <c r="I818" t="s">
        <v>50</v>
      </c>
      <c r="J818" s="1">
        <v>43349</v>
      </c>
      <c r="K818">
        <v>8</v>
      </c>
      <c r="L818">
        <v>41240800</v>
      </c>
      <c r="M818">
        <v>5675892</v>
      </c>
      <c r="N818" t="s">
        <v>34</v>
      </c>
      <c r="O818">
        <v>3.97</v>
      </c>
      <c r="P818">
        <v>73</v>
      </c>
      <c r="Q818">
        <v>5</v>
      </c>
      <c r="R818">
        <v>1</v>
      </c>
      <c r="S818">
        <v>20</v>
      </c>
      <c r="T818" t="s">
        <v>33</v>
      </c>
      <c r="U818" t="s">
        <v>34</v>
      </c>
      <c r="V818" t="s">
        <v>44</v>
      </c>
      <c r="W818" t="s">
        <v>34</v>
      </c>
      <c r="X818" t="s">
        <v>52</v>
      </c>
      <c r="Z818" t="str">
        <f>IF(Table1[[#This Row],[Age]]&lt;30,"20-29",IF(Table1[[#This Row],[Age]]&lt;40,"30-39",IF(Table1[[#This Row],[Age]]&lt;50,"40-49","50+")))</f>
        <v>20-29</v>
      </c>
      <c r="AA818" t="str">
        <f>IF(Table1[[#This Row],[Salary]]&lt;20000000,"low",IF(Table1[[#This Row],[Salary]]&lt;40000000,"medium","high"))</f>
        <v>high</v>
      </c>
      <c r="AB818">
        <f>YEAR(Table1[[#This Row],[Hire Date]])</f>
        <v>2018</v>
      </c>
      <c r="AC818" t="str">
        <f>TEXT(Table1[[#This Row],[Hire Date]],"mmmm")</f>
        <v>سپتامبر</v>
      </c>
      <c r="AD818" t="str">
        <f>IF(Table1[[#This Row],[Resigned]]="yes","former","active")</f>
        <v>active</v>
      </c>
    </row>
    <row r="819" spans="1:30" x14ac:dyDescent="0.3">
      <c r="A819" t="s">
        <v>1703</v>
      </c>
      <c r="B819" t="s">
        <v>1704</v>
      </c>
      <c r="C819" t="s">
        <v>39</v>
      </c>
      <c r="D819">
        <v>40</v>
      </c>
      <c r="E819" t="s">
        <v>56</v>
      </c>
      <c r="F819" t="s">
        <v>84</v>
      </c>
      <c r="G819" t="s">
        <v>58</v>
      </c>
      <c r="H819" t="s">
        <v>42</v>
      </c>
      <c r="I819" t="s">
        <v>43</v>
      </c>
      <c r="J819" s="1">
        <v>44602</v>
      </c>
      <c r="K819">
        <v>4</v>
      </c>
      <c r="L819">
        <v>56327232</v>
      </c>
      <c r="M819">
        <v>3019923</v>
      </c>
      <c r="N819" t="s">
        <v>33</v>
      </c>
      <c r="O819">
        <v>4.79</v>
      </c>
      <c r="P819">
        <v>42</v>
      </c>
      <c r="Q819">
        <v>5</v>
      </c>
      <c r="R819">
        <v>1</v>
      </c>
      <c r="S819">
        <v>13</v>
      </c>
      <c r="T819" t="s">
        <v>33</v>
      </c>
      <c r="U819" t="s">
        <v>33</v>
      </c>
      <c r="V819" t="s">
        <v>59</v>
      </c>
      <c r="W819" t="s">
        <v>33</v>
      </c>
      <c r="X819" t="s">
        <v>52</v>
      </c>
      <c r="Y819" t="s">
        <v>60</v>
      </c>
      <c r="Z819" t="str">
        <f>IF(Table1[[#This Row],[Age]]&lt;30,"20-29",IF(Table1[[#This Row],[Age]]&lt;40,"30-39",IF(Table1[[#This Row],[Age]]&lt;50,"40-49","50+")))</f>
        <v>40-49</v>
      </c>
      <c r="AA819" t="str">
        <f>IF(Table1[[#This Row],[Salary]]&lt;20000000,"low",IF(Table1[[#This Row],[Salary]]&lt;40000000,"medium","high"))</f>
        <v>high</v>
      </c>
      <c r="AB819">
        <f>YEAR(Table1[[#This Row],[Hire Date]])</f>
        <v>2022</v>
      </c>
      <c r="AC819" t="str">
        <f>TEXT(Table1[[#This Row],[Hire Date]],"mmmm")</f>
        <v>فوريه</v>
      </c>
      <c r="AD819" t="str">
        <f>IF(Table1[[#This Row],[Resigned]]="yes","former","active")</f>
        <v>former</v>
      </c>
    </row>
    <row r="820" spans="1:30" x14ac:dyDescent="0.3">
      <c r="A820" t="s">
        <v>1705</v>
      </c>
      <c r="B820" t="s">
        <v>1706</v>
      </c>
      <c r="C820" t="s">
        <v>27</v>
      </c>
      <c r="D820">
        <v>36</v>
      </c>
      <c r="E820" t="s">
        <v>110</v>
      </c>
      <c r="F820" t="s">
        <v>120</v>
      </c>
      <c r="G820" t="s">
        <v>30</v>
      </c>
      <c r="H820" t="s">
        <v>31</v>
      </c>
      <c r="I820" t="s">
        <v>65</v>
      </c>
      <c r="J820" s="1">
        <v>43435</v>
      </c>
      <c r="K820">
        <v>8</v>
      </c>
      <c r="L820">
        <v>16758902</v>
      </c>
      <c r="M820">
        <v>309128</v>
      </c>
      <c r="N820" t="s">
        <v>33</v>
      </c>
      <c r="O820">
        <v>3.04</v>
      </c>
      <c r="P820">
        <v>63</v>
      </c>
      <c r="Q820">
        <v>5</v>
      </c>
      <c r="R820">
        <v>5</v>
      </c>
      <c r="S820">
        <v>3</v>
      </c>
      <c r="T820" t="s">
        <v>34</v>
      </c>
      <c r="U820" t="s">
        <v>34</v>
      </c>
      <c r="V820" t="s">
        <v>70</v>
      </c>
      <c r="W820" t="s">
        <v>33</v>
      </c>
      <c r="X820" t="s">
        <v>36</v>
      </c>
      <c r="Z820" t="str">
        <f>IF(Table1[[#This Row],[Age]]&lt;30,"20-29",IF(Table1[[#This Row],[Age]]&lt;40,"30-39",IF(Table1[[#This Row],[Age]]&lt;50,"40-49","50+")))</f>
        <v>30-39</v>
      </c>
      <c r="AA820" t="str">
        <f>IF(Table1[[#This Row],[Salary]]&lt;20000000,"low",IF(Table1[[#This Row],[Salary]]&lt;40000000,"medium","high"))</f>
        <v>low</v>
      </c>
      <c r="AB820">
        <f>YEAR(Table1[[#This Row],[Hire Date]])</f>
        <v>2018</v>
      </c>
      <c r="AC820" t="str">
        <f>TEXT(Table1[[#This Row],[Hire Date]],"mmmm")</f>
        <v>دسامبر</v>
      </c>
      <c r="AD820" t="str">
        <f>IF(Table1[[#This Row],[Resigned]]="yes","former","active")</f>
        <v>active</v>
      </c>
    </row>
    <row r="821" spans="1:30" x14ac:dyDescent="0.3">
      <c r="A821" t="s">
        <v>1707</v>
      </c>
      <c r="B821" t="s">
        <v>1708</v>
      </c>
      <c r="C821" t="s">
        <v>39</v>
      </c>
      <c r="D821">
        <v>43</v>
      </c>
      <c r="E821" t="s">
        <v>110</v>
      </c>
      <c r="F821" t="s">
        <v>111</v>
      </c>
      <c r="G821" t="s">
        <v>49</v>
      </c>
      <c r="H821" t="s">
        <v>42</v>
      </c>
      <c r="I821" t="s">
        <v>32</v>
      </c>
      <c r="J821" s="1">
        <v>44167</v>
      </c>
      <c r="K821">
        <v>6</v>
      </c>
      <c r="L821">
        <v>42708547</v>
      </c>
      <c r="M821">
        <v>6803569</v>
      </c>
      <c r="N821" t="s">
        <v>34</v>
      </c>
      <c r="O821">
        <v>4.96</v>
      </c>
      <c r="P821">
        <v>30</v>
      </c>
      <c r="Q821">
        <v>4</v>
      </c>
      <c r="R821">
        <v>3</v>
      </c>
      <c r="S821">
        <v>3</v>
      </c>
      <c r="T821" t="s">
        <v>33</v>
      </c>
      <c r="U821" t="s">
        <v>34</v>
      </c>
      <c r="V821" t="s">
        <v>59</v>
      </c>
      <c r="W821" t="s">
        <v>33</v>
      </c>
      <c r="X821" t="s">
        <v>52</v>
      </c>
      <c r="Z821" t="str">
        <f>IF(Table1[[#This Row],[Age]]&lt;30,"20-29",IF(Table1[[#This Row],[Age]]&lt;40,"30-39",IF(Table1[[#This Row],[Age]]&lt;50,"40-49","50+")))</f>
        <v>40-49</v>
      </c>
      <c r="AA821" t="str">
        <f>IF(Table1[[#This Row],[Salary]]&lt;20000000,"low",IF(Table1[[#This Row],[Salary]]&lt;40000000,"medium","high"))</f>
        <v>high</v>
      </c>
      <c r="AB821">
        <f>YEAR(Table1[[#This Row],[Hire Date]])</f>
        <v>2020</v>
      </c>
      <c r="AC821" t="str">
        <f>TEXT(Table1[[#This Row],[Hire Date]],"mmmm")</f>
        <v>دسامبر</v>
      </c>
      <c r="AD821" t="str">
        <f>IF(Table1[[#This Row],[Resigned]]="yes","former","active")</f>
        <v>active</v>
      </c>
    </row>
    <row r="822" spans="1:30" x14ac:dyDescent="0.3">
      <c r="A822" t="s">
        <v>1709</v>
      </c>
      <c r="B822" t="s">
        <v>1710</v>
      </c>
      <c r="C822" t="s">
        <v>39</v>
      </c>
      <c r="D822">
        <v>23</v>
      </c>
      <c r="E822" t="s">
        <v>73</v>
      </c>
      <c r="F822" t="s">
        <v>127</v>
      </c>
      <c r="G822" t="s">
        <v>49</v>
      </c>
      <c r="H822" t="s">
        <v>42</v>
      </c>
      <c r="I822" t="s">
        <v>32</v>
      </c>
      <c r="J822" s="1">
        <v>43607</v>
      </c>
      <c r="K822">
        <v>7</v>
      </c>
      <c r="L822">
        <v>58566797</v>
      </c>
      <c r="M822">
        <v>9973588</v>
      </c>
      <c r="N822" t="s">
        <v>33</v>
      </c>
      <c r="O822">
        <v>3.38</v>
      </c>
      <c r="P822">
        <v>67</v>
      </c>
      <c r="Q822">
        <v>1</v>
      </c>
      <c r="R822">
        <v>3</v>
      </c>
      <c r="S822">
        <v>1</v>
      </c>
      <c r="T822" t="s">
        <v>34</v>
      </c>
      <c r="U822" t="s">
        <v>33</v>
      </c>
      <c r="V822" t="s">
        <v>35</v>
      </c>
      <c r="W822" t="s">
        <v>34</v>
      </c>
      <c r="X822" t="s">
        <v>45</v>
      </c>
      <c r="Y822" t="s">
        <v>162</v>
      </c>
      <c r="Z822" t="str">
        <f>IF(Table1[[#This Row],[Age]]&lt;30,"20-29",IF(Table1[[#This Row],[Age]]&lt;40,"30-39",IF(Table1[[#This Row],[Age]]&lt;50,"40-49","50+")))</f>
        <v>20-29</v>
      </c>
      <c r="AA822" t="str">
        <f>IF(Table1[[#This Row],[Salary]]&lt;20000000,"low",IF(Table1[[#This Row],[Salary]]&lt;40000000,"medium","high"))</f>
        <v>high</v>
      </c>
      <c r="AB822">
        <f>YEAR(Table1[[#This Row],[Hire Date]])</f>
        <v>2019</v>
      </c>
      <c r="AC822" t="str">
        <f>TEXT(Table1[[#This Row],[Hire Date]],"mmmm")</f>
        <v>مه</v>
      </c>
      <c r="AD822" t="str">
        <f>IF(Table1[[#This Row],[Resigned]]="yes","former","active")</f>
        <v>former</v>
      </c>
    </row>
    <row r="823" spans="1:30" x14ac:dyDescent="0.3">
      <c r="A823" t="s">
        <v>1711</v>
      </c>
      <c r="B823" t="s">
        <v>1712</v>
      </c>
      <c r="C823" t="s">
        <v>39</v>
      </c>
      <c r="D823">
        <v>37</v>
      </c>
      <c r="E823" t="s">
        <v>40</v>
      </c>
      <c r="F823" t="s">
        <v>41</v>
      </c>
      <c r="G823" t="s">
        <v>58</v>
      </c>
      <c r="H823" t="s">
        <v>42</v>
      </c>
      <c r="I823" t="s">
        <v>65</v>
      </c>
      <c r="J823" s="1">
        <v>44452</v>
      </c>
      <c r="K823">
        <v>5</v>
      </c>
      <c r="L823">
        <v>15493579</v>
      </c>
      <c r="M823">
        <v>873726</v>
      </c>
      <c r="N823" t="s">
        <v>33</v>
      </c>
      <c r="O823">
        <v>4.92</v>
      </c>
      <c r="P823">
        <v>38</v>
      </c>
      <c r="Q823">
        <v>4</v>
      </c>
      <c r="R823">
        <v>5</v>
      </c>
      <c r="S823">
        <v>1</v>
      </c>
      <c r="T823" t="s">
        <v>33</v>
      </c>
      <c r="U823" t="s">
        <v>34</v>
      </c>
      <c r="V823" t="s">
        <v>70</v>
      </c>
      <c r="W823" t="s">
        <v>34</v>
      </c>
      <c r="X823" t="s">
        <v>36</v>
      </c>
      <c r="Z823" t="str">
        <f>IF(Table1[[#This Row],[Age]]&lt;30,"20-29",IF(Table1[[#This Row],[Age]]&lt;40,"30-39",IF(Table1[[#This Row],[Age]]&lt;50,"40-49","50+")))</f>
        <v>30-39</v>
      </c>
      <c r="AA823" t="str">
        <f>IF(Table1[[#This Row],[Salary]]&lt;20000000,"low",IF(Table1[[#This Row],[Salary]]&lt;40000000,"medium","high"))</f>
        <v>low</v>
      </c>
      <c r="AB823">
        <f>YEAR(Table1[[#This Row],[Hire Date]])</f>
        <v>2021</v>
      </c>
      <c r="AC823" t="str">
        <f>TEXT(Table1[[#This Row],[Hire Date]],"mmmm")</f>
        <v>سپتامبر</v>
      </c>
      <c r="AD823" t="str">
        <f>IF(Table1[[#This Row],[Resigned]]="yes","former","active")</f>
        <v>active</v>
      </c>
    </row>
    <row r="824" spans="1:30" x14ac:dyDescent="0.3">
      <c r="A824" t="s">
        <v>1713</v>
      </c>
      <c r="B824" t="s">
        <v>1714</v>
      </c>
      <c r="C824" t="s">
        <v>39</v>
      </c>
      <c r="D824">
        <v>30</v>
      </c>
      <c r="E824" t="s">
        <v>56</v>
      </c>
      <c r="F824" t="s">
        <v>57</v>
      </c>
      <c r="G824" t="s">
        <v>58</v>
      </c>
      <c r="H824" t="s">
        <v>42</v>
      </c>
      <c r="I824" t="s">
        <v>81</v>
      </c>
      <c r="J824" s="1">
        <v>43932</v>
      </c>
      <c r="K824">
        <v>6</v>
      </c>
      <c r="L824">
        <v>20922325</v>
      </c>
      <c r="M824">
        <v>2906873</v>
      </c>
      <c r="N824" t="s">
        <v>33</v>
      </c>
      <c r="O824">
        <v>3.65</v>
      </c>
      <c r="P824">
        <v>41</v>
      </c>
      <c r="Q824">
        <v>3</v>
      </c>
      <c r="R824">
        <v>4</v>
      </c>
      <c r="S824">
        <v>20</v>
      </c>
      <c r="T824" t="s">
        <v>34</v>
      </c>
      <c r="U824" t="s">
        <v>33</v>
      </c>
      <c r="V824" t="s">
        <v>51</v>
      </c>
      <c r="W824" t="s">
        <v>33</v>
      </c>
      <c r="X824" t="s">
        <v>52</v>
      </c>
      <c r="Y824" t="s">
        <v>60</v>
      </c>
      <c r="Z824" t="str">
        <f>IF(Table1[[#This Row],[Age]]&lt;30,"20-29",IF(Table1[[#This Row],[Age]]&lt;40,"30-39",IF(Table1[[#This Row],[Age]]&lt;50,"40-49","50+")))</f>
        <v>30-39</v>
      </c>
      <c r="AA824" t="str">
        <f>IF(Table1[[#This Row],[Salary]]&lt;20000000,"low",IF(Table1[[#This Row],[Salary]]&lt;40000000,"medium","high"))</f>
        <v>medium</v>
      </c>
      <c r="AB824">
        <f>YEAR(Table1[[#This Row],[Hire Date]])</f>
        <v>2020</v>
      </c>
      <c r="AC824" t="str">
        <f>TEXT(Table1[[#This Row],[Hire Date]],"mmmm")</f>
        <v>آوريل</v>
      </c>
      <c r="AD824" t="str">
        <f>IF(Table1[[#This Row],[Resigned]]="yes","former","active")</f>
        <v>former</v>
      </c>
    </row>
    <row r="825" spans="1:30" x14ac:dyDescent="0.3">
      <c r="A825" t="s">
        <v>1715</v>
      </c>
      <c r="B825" t="s">
        <v>1716</v>
      </c>
      <c r="C825" t="s">
        <v>39</v>
      </c>
      <c r="D825">
        <v>36</v>
      </c>
      <c r="E825" t="s">
        <v>56</v>
      </c>
      <c r="F825" t="s">
        <v>84</v>
      </c>
      <c r="G825" t="s">
        <v>58</v>
      </c>
      <c r="H825" t="s">
        <v>31</v>
      </c>
      <c r="I825" t="s">
        <v>43</v>
      </c>
      <c r="J825" s="1">
        <v>45782</v>
      </c>
      <c r="K825">
        <v>1</v>
      </c>
      <c r="L825">
        <v>55737654</v>
      </c>
      <c r="M825">
        <v>7741238</v>
      </c>
      <c r="N825" t="s">
        <v>33</v>
      </c>
      <c r="O825">
        <v>4.13</v>
      </c>
      <c r="P825">
        <v>65</v>
      </c>
      <c r="Q825">
        <v>2</v>
      </c>
      <c r="R825">
        <v>2</v>
      </c>
      <c r="S825">
        <v>12</v>
      </c>
      <c r="T825" t="s">
        <v>34</v>
      </c>
      <c r="U825" t="s">
        <v>34</v>
      </c>
      <c r="V825" t="s">
        <v>51</v>
      </c>
      <c r="W825" t="s">
        <v>34</v>
      </c>
      <c r="X825" t="s">
        <v>45</v>
      </c>
      <c r="Z825" t="str">
        <f>IF(Table1[[#This Row],[Age]]&lt;30,"20-29",IF(Table1[[#This Row],[Age]]&lt;40,"30-39",IF(Table1[[#This Row],[Age]]&lt;50,"40-49","50+")))</f>
        <v>30-39</v>
      </c>
      <c r="AA825" t="str">
        <f>IF(Table1[[#This Row],[Salary]]&lt;20000000,"low",IF(Table1[[#This Row],[Salary]]&lt;40000000,"medium","high"))</f>
        <v>high</v>
      </c>
      <c r="AB825">
        <f>YEAR(Table1[[#This Row],[Hire Date]])</f>
        <v>2025</v>
      </c>
      <c r="AC825" t="str">
        <f>TEXT(Table1[[#This Row],[Hire Date]],"mmmm")</f>
        <v>مه</v>
      </c>
      <c r="AD825" t="str">
        <f>IF(Table1[[#This Row],[Resigned]]="yes","former","active")</f>
        <v>active</v>
      </c>
    </row>
    <row r="826" spans="1:30" x14ac:dyDescent="0.3">
      <c r="A826" t="s">
        <v>1717</v>
      </c>
      <c r="B826" t="s">
        <v>1718</v>
      </c>
      <c r="C826" t="s">
        <v>39</v>
      </c>
      <c r="D826">
        <v>58</v>
      </c>
      <c r="E826" t="s">
        <v>73</v>
      </c>
      <c r="F826" t="s">
        <v>127</v>
      </c>
      <c r="G826" t="s">
        <v>58</v>
      </c>
      <c r="H826" t="s">
        <v>31</v>
      </c>
      <c r="I826" t="s">
        <v>43</v>
      </c>
      <c r="J826" s="1">
        <v>44815</v>
      </c>
      <c r="K826">
        <v>4</v>
      </c>
      <c r="L826">
        <v>31902289</v>
      </c>
      <c r="M826">
        <v>2852590</v>
      </c>
      <c r="N826" t="s">
        <v>33</v>
      </c>
      <c r="O826">
        <v>3.89</v>
      </c>
      <c r="P826">
        <v>61</v>
      </c>
      <c r="Q826">
        <v>2</v>
      </c>
      <c r="R826">
        <v>4</v>
      </c>
      <c r="S826">
        <v>12</v>
      </c>
      <c r="T826" t="s">
        <v>34</v>
      </c>
      <c r="U826" t="s">
        <v>34</v>
      </c>
      <c r="V826" t="s">
        <v>35</v>
      </c>
      <c r="W826" t="s">
        <v>34</v>
      </c>
      <c r="X826" t="s">
        <v>36</v>
      </c>
      <c r="Z826" t="str">
        <f>IF(Table1[[#This Row],[Age]]&lt;30,"20-29",IF(Table1[[#This Row],[Age]]&lt;40,"30-39",IF(Table1[[#This Row],[Age]]&lt;50,"40-49","50+")))</f>
        <v>50+</v>
      </c>
      <c r="AA826" t="str">
        <f>IF(Table1[[#This Row],[Salary]]&lt;20000000,"low",IF(Table1[[#This Row],[Salary]]&lt;40000000,"medium","high"))</f>
        <v>medium</v>
      </c>
      <c r="AB826">
        <f>YEAR(Table1[[#This Row],[Hire Date]])</f>
        <v>2022</v>
      </c>
      <c r="AC826" t="str">
        <f>TEXT(Table1[[#This Row],[Hire Date]],"mmmm")</f>
        <v>سپتامبر</v>
      </c>
      <c r="AD826" t="str">
        <f>IF(Table1[[#This Row],[Resigned]]="yes","former","active")</f>
        <v>active</v>
      </c>
    </row>
    <row r="827" spans="1:30" x14ac:dyDescent="0.3">
      <c r="A827" t="s">
        <v>1719</v>
      </c>
      <c r="B827" t="s">
        <v>1720</v>
      </c>
      <c r="C827" t="s">
        <v>27</v>
      </c>
      <c r="D827">
        <v>45</v>
      </c>
      <c r="E827" t="s">
        <v>110</v>
      </c>
      <c r="F827" t="s">
        <v>120</v>
      </c>
      <c r="G827" t="s">
        <v>49</v>
      </c>
      <c r="H827" t="s">
        <v>42</v>
      </c>
      <c r="I827" t="s">
        <v>50</v>
      </c>
      <c r="J827" s="1">
        <v>44033</v>
      </c>
      <c r="K827">
        <v>6</v>
      </c>
      <c r="L827">
        <v>56718915</v>
      </c>
      <c r="M827">
        <v>9829002</v>
      </c>
      <c r="N827" t="s">
        <v>34</v>
      </c>
      <c r="O827">
        <v>4.67</v>
      </c>
      <c r="P827">
        <v>49</v>
      </c>
      <c r="Q827">
        <v>4</v>
      </c>
      <c r="R827">
        <v>4</v>
      </c>
      <c r="S827">
        <v>4</v>
      </c>
      <c r="T827" t="s">
        <v>33</v>
      </c>
      <c r="U827" t="s">
        <v>34</v>
      </c>
      <c r="V827" t="s">
        <v>59</v>
      </c>
      <c r="W827" t="s">
        <v>33</v>
      </c>
      <c r="X827" t="s">
        <v>45</v>
      </c>
      <c r="Z827" t="str">
        <f>IF(Table1[[#This Row],[Age]]&lt;30,"20-29",IF(Table1[[#This Row],[Age]]&lt;40,"30-39",IF(Table1[[#This Row],[Age]]&lt;50,"40-49","50+")))</f>
        <v>40-49</v>
      </c>
      <c r="AA827" t="str">
        <f>IF(Table1[[#This Row],[Salary]]&lt;20000000,"low",IF(Table1[[#This Row],[Salary]]&lt;40000000,"medium","high"))</f>
        <v>high</v>
      </c>
      <c r="AB827">
        <f>YEAR(Table1[[#This Row],[Hire Date]])</f>
        <v>2020</v>
      </c>
      <c r="AC827" t="str">
        <f>TEXT(Table1[[#This Row],[Hire Date]],"mmmm")</f>
        <v>ژوئيه</v>
      </c>
      <c r="AD827" t="str">
        <f>IF(Table1[[#This Row],[Resigned]]="yes","former","active")</f>
        <v>active</v>
      </c>
    </row>
    <row r="828" spans="1:30" x14ac:dyDescent="0.3">
      <c r="A828" t="s">
        <v>1721</v>
      </c>
      <c r="B828" t="s">
        <v>1722</v>
      </c>
      <c r="C828" t="s">
        <v>39</v>
      </c>
      <c r="D828">
        <v>39</v>
      </c>
      <c r="E828" t="s">
        <v>73</v>
      </c>
      <c r="F828" t="s">
        <v>74</v>
      </c>
      <c r="G828" t="s">
        <v>49</v>
      </c>
      <c r="H828" t="s">
        <v>42</v>
      </c>
      <c r="I828" t="s">
        <v>32</v>
      </c>
      <c r="J828" s="1">
        <v>45474</v>
      </c>
      <c r="K828">
        <v>2</v>
      </c>
      <c r="L828">
        <v>19107120</v>
      </c>
      <c r="M828">
        <v>41244</v>
      </c>
      <c r="N828" t="s">
        <v>33</v>
      </c>
      <c r="O828">
        <v>4.68</v>
      </c>
      <c r="P828">
        <v>2</v>
      </c>
      <c r="Q828">
        <v>4</v>
      </c>
      <c r="R828">
        <v>3</v>
      </c>
      <c r="S828">
        <v>10</v>
      </c>
      <c r="T828" t="s">
        <v>33</v>
      </c>
      <c r="U828" t="s">
        <v>34</v>
      </c>
      <c r="V828" t="s">
        <v>59</v>
      </c>
      <c r="W828" t="s">
        <v>33</v>
      </c>
      <c r="X828" t="s">
        <v>36</v>
      </c>
      <c r="Z828" t="str">
        <f>IF(Table1[[#This Row],[Age]]&lt;30,"20-29",IF(Table1[[#This Row],[Age]]&lt;40,"30-39",IF(Table1[[#This Row],[Age]]&lt;50,"40-49","50+")))</f>
        <v>30-39</v>
      </c>
      <c r="AA828" t="str">
        <f>IF(Table1[[#This Row],[Salary]]&lt;20000000,"low",IF(Table1[[#This Row],[Salary]]&lt;40000000,"medium","high"))</f>
        <v>low</v>
      </c>
      <c r="AB828">
        <f>YEAR(Table1[[#This Row],[Hire Date]])</f>
        <v>2024</v>
      </c>
      <c r="AC828" t="str">
        <f>TEXT(Table1[[#This Row],[Hire Date]],"mmmm")</f>
        <v>ژوئيه</v>
      </c>
      <c r="AD828" t="str">
        <f>IF(Table1[[#This Row],[Resigned]]="yes","former","active")</f>
        <v>active</v>
      </c>
    </row>
    <row r="829" spans="1:30" x14ac:dyDescent="0.3">
      <c r="A829" t="s">
        <v>1723</v>
      </c>
      <c r="B829" t="s">
        <v>1724</v>
      </c>
      <c r="C829" t="s">
        <v>27</v>
      </c>
      <c r="D829">
        <v>48</v>
      </c>
      <c r="E829" t="s">
        <v>56</v>
      </c>
      <c r="F829" t="s">
        <v>84</v>
      </c>
      <c r="G829" t="s">
        <v>30</v>
      </c>
      <c r="H829" t="s">
        <v>31</v>
      </c>
      <c r="I829" t="s">
        <v>50</v>
      </c>
      <c r="J829" s="1">
        <v>45735</v>
      </c>
      <c r="K829">
        <v>1</v>
      </c>
      <c r="L829">
        <v>33868257</v>
      </c>
      <c r="M829">
        <v>6887092</v>
      </c>
      <c r="N829" t="s">
        <v>33</v>
      </c>
      <c r="O829">
        <v>4.92</v>
      </c>
      <c r="P829">
        <v>50</v>
      </c>
      <c r="Q829">
        <v>3</v>
      </c>
      <c r="R829">
        <v>3</v>
      </c>
      <c r="S829">
        <v>7</v>
      </c>
      <c r="T829" t="s">
        <v>34</v>
      </c>
      <c r="U829" t="s">
        <v>34</v>
      </c>
      <c r="V829" t="s">
        <v>51</v>
      </c>
      <c r="W829" t="s">
        <v>34</v>
      </c>
      <c r="X829" t="s">
        <v>52</v>
      </c>
      <c r="Z829" t="str">
        <f>IF(Table1[[#This Row],[Age]]&lt;30,"20-29",IF(Table1[[#This Row],[Age]]&lt;40,"30-39",IF(Table1[[#This Row],[Age]]&lt;50,"40-49","50+")))</f>
        <v>40-49</v>
      </c>
      <c r="AA829" t="str">
        <f>IF(Table1[[#This Row],[Salary]]&lt;20000000,"low",IF(Table1[[#This Row],[Salary]]&lt;40000000,"medium","high"))</f>
        <v>medium</v>
      </c>
      <c r="AB829">
        <f>YEAR(Table1[[#This Row],[Hire Date]])</f>
        <v>2025</v>
      </c>
      <c r="AC829" t="str">
        <f>TEXT(Table1[[#This Row],[Hire Date]],"mmmm")</f>
        <v>مارس</v>
      </c>
      <c r="AD829" t="str">
        <f>IF(Table1[[#This Row],[Resigned]]="yes","former","active")</f>
        <v>active</v>
      </c>
    </row>
    <row r="830" spans="1:30" x14ac:dyDescent="0.3">
      <c r="A830" t="s">
        <v>1725</v>
      </c>
      <c r="B830" t="s">
        <v>1726</v>
      </c>
      <c r="C830" t="s">
        <v>27</v>
      </c>
      <c r="D830">
        <v>29</v>
      </c>
      <c r="E830" t="s">
        <v>56</v>
      </c>
      <c r="F830" t="s">
        <v>57</v>
      </c>
      <c r="G830" t="s">
        <v>58</v>
      </c>
      <c r="H830" t="s">
        <v>31</v>
      </c>
      <c r="I830" t="s">
        <v>43</v>
      </c>
      <c r="J830" s="1">
        <v>45032</v>
      </c>
      <c r="K830">
        <v>3</v>
      </c>
      <c r="L830">
        <v>31965249</v>
      </c>
      <c r="M830">
        <v>6561616</v>
      </c>
      <c r="N830" t="s">
        <v>33</v>
      </c>
      <c r="O830">
        <v>3.62</v>
      </c>
      <c r="P830">
        <v>42</v>
      </c>
      <c r="Q830">
        <v>2</v>
      </c>
      <c r="R830">
        <v>2</v>
      </c>
      <c r="S830">
        <v>4</v>
      </c>
      <c r="T830" t="s">
        <v>34</v>
      </c>
      <c r="U830" t="s">
        <v>34</v>
      </c>
      <c r="V830" t="s">
        <v>59</v>
      </c>
      <c r="W830" t="s">
        <v>33</v>
      </c>
      <c r="X830" t="s">
        <v>45</v>
      </c>
      <c r="Z830" t="str">
        <f>IF(Table1[[#This Row],[Age]]&lt;30,"20-29",IF(Table1[[#This Row],[Age]]&lt;40,"30-39",IF(Table1[[#This Row],[Age]]&lt;50,"40-49","50+")))</f>
        <v>20-29</v>
      </c>
      <c r="AA830" t="str">
        <f>IF(Table1[[#This Row],[Salary]]&lt;20000000,"low",IF(Table1[[#This Row],[Salary]]&lt;40000000,"medium","high"))</f>
        <v>medium</v>
      </c>
      <c r="AB830">
        <f>YEAR(Table1[[#This Row],[Hire Date]])</f>
        <v>2023</v>
      </c>
      <c r="AC830" t="str">
        <f>TEXT(Table1[[#This Row],[Hire Date]],"mmmm")</f>
        <v>آوريل</v>
      </c>
      <c r="AD830" t="str">
        <f>IF(Table1[[#This Row],[Resigned]]="yes","former","active")</f>
        <v>active</v>
      </c>
    </row>
    <row r="831" spans="1:30" x14ac:dyDescent="0.3">
      <c r="A831" t="s">
        <v>1727</v>
      </c>
      <c r="B831" t="s">
        <v>1728</v>
      </c>
      <c r="C831" t="s">
        <v>27</v>
      </c>
      <c r="D831">
        <v>55</v>
      </c>
      <c r="E831" t="s">
        <v>110</v>
      </c>
      <c r="F831" t="s">
        <v>120</v>
      </c>
      <c r="G831" t="s">
        <v>58</v>
      </c>
      <c r="H831" t="s">
        <v>42</v>
      </c>
      <c r="I831" t="s">
        <v>32</v>
      </c>
      <c r="J831" s="1">
        <v>44524</v>
      </c>
      <c r="K831">
        <v>5</v>
      </c>
      <c r="L831">
        <v>26803034</v>
      </c>
      <c r="M831">
        <v>4488649</v>
      </c>
      <c r="N831" t="s">
        <v>34</v>
      </c>
      <c r="O831">
        <v>2.52</v>
      </c>
      <c r="P831">
        <v>54</v>
      </c>
      <c r="Q831">
        <v>5</v>
      </c>
      <c r="R831">
        <v>1</v>
      </c>
      <c r="S831">
        <v>12</v>
      </c>
      <c r="T831" t="s">
        <v>34</v>
      </c>
      <c r="U831" t="s">
        <v>34</v>
      </c>
      <c r="V831" t="s">
        <v>70</v>
      </c>
      <c r="W831" t="s">
        <v>33</v>
      </c>
      <c r="X831" t="s">
        <v>45</v>
      </c>
      <c r="Z831" t="str">
        <f>IF(Table1[[#This Row],[Age]]&lt;30,"20-29",IF(Table1[[#This Row],[Age]]&lt;40,"30-39",IF(Table1[[#This Row],[Age]]&lt;50,"40-49","50+")))</f>
        <v>50+</v>
      </c>
      <c r="AA831" t="str">
        <f>IF(Table1[[#This Row],[Salary]]&lt;20000000,"low",IF(Table1[[#This Row],[Salary]]&lt;40000000,"medium","high"))</f>
        <v>medium</v>
      </c>
      <c r="AB831">
        <f>YEAR(Table1[[#This Row],[Hire Date]])</f>
        <v>2021</v>
      </c>
      <c r="AC831" t="str">
        <f>TEXT(Table1[[#This Row],[Hire Date]],"mmmm")</f>
        <v>نوامبر</v>
      </c>
      <c r="AD831" t="str">
        <f>IF(Table1[[#This Row],[Resigned]]="yes","former","active")</f>
        <v>active</v>
      </c>
    </row>
    <row r="832" spans="1:30" x14ac:dyDescent="0.3">
      <c r="A832" t="s">
        <v>1729</v>
      </c>
      <c r="B832" t="s">
        <v>1730</v>
      </c>
      <c r="C832" t="s">
        <v>39</v>
      </c>
      <c r="D832">
        <v>38</v>
      </c>
      <c r="E832" t="s">
        <v>56</v>
      </c>
      <c r="F832" t="s">
        <v>84</v>
      </c>
      <c r="G832" t="s">
        <v>30</v>
      </c>
      <c r="H832" t="s">
        <v>31</v>
      </c>
      <c r="I832" t="s">
        <v>50</v>
      </c>
      <c r="J832" s="1">
        <v>43721</v>
      </c>
      <c r="K832">
        <v>7</v>
      </c>
      <c r="L832">
        <v>53644193</v>
      </c>
      <c r="M832">
        <v>5932337</v>
      </c>
      <c r="N832" t="s">
        <v>33</v>
      </c>
      <c r="O832">
        <v>2.75</v>
      </c>
      <c r="P832">
        <v>16</v>
      </c>
      <c r="Q832">
        <v>5</v>
      </c>
      <c r="R832">
        <v>2</v>
      </c>
      <c r="S832">
        <v>11</v>
      </c>
      <c r="T832" t="s">
        <v>33</v>
      </c>
      <c r="U832" t="s">
        <v>33</v>
      </c>
      <c r="V832" t="s">
        <v>35</v>
      </c>
      <c r="W832" t="s">
        <v>33</v>
      </c>
      <c r="X832" t="s">
        <v>36</v>
      </c>
      <c r="Y832" t="s">
        <v>75</v>
      </c>
      <c r="Z832" t="str">
        <f>IF(Table1[[#This Row],[Age]]&lt;30,"20-29",IF(Table1[[#This Row],[Age]]&lt;40,"30-39",IF(Table1[[#This Row],[Age]]&lt;50,"40-49","50+")))</f>
        <v>30-39</v>
      </c>
      <c r="AA832" t="str">
        <f>IF(Table1[[#This Row],[Salary]]&lt;20000000,"low",IF(Table1[[#This Row],[Salary]]&lt;40000000,"medium","high"))</f>
        <v>high</v>
      </c>
      <c r="AB832">
        <f>YEAR(Table1[[#This Row],[Hire Date]])</f>
        <v>2019</v>
      </c>
      <c r="AC832" t="str">
        <f>TEXT(Table1[[#This Row],[Hire Date]],"mmmm")</f>
        <v>سپتامبر</v>
      </c>
      <c r="AD832" t="str">
        <f>IF(Table1[[#This Row],[Resigned]]="yes","former","active")</f>
        <v>former</v>
      </c>
    </row>
    <row r="833" spans="1:30" x14ac:dyDescent="0.3">
      <c r="A833" t="s">
        <v>1731</v>
      </c>
      <c r="B833" t="s">
        <v>1732</v>
      </c>
      <c r="C833" t="s">
        <v>27</v>
      </c>
      <c r="D833">
        <v>29</v>
      </c>
      <c r="E833" t="s">
        <v>28</v>
      </c>
      <c r="F833" t="s">
        <v>29</v>
      </c>
      <c r="G833" t="s">
        <v>58</v>
      </c>
      <c r="H833" t="s">
        <v>31</v>
      </c>
      <c r="I833" t="s">
        <v>81</v>
      </c>
      <c r="J833" s="1">
        <v>45404</v>
      </c>
      <c r="K833">
        <v>2</v>
      </c>
      <c r="L833">
        <v>12522283</v>
      </c>
      <c r="M833">
        <v>9055738</v>
      </c>
      <c r="N833" t="s">
        <v>33</v>
      </c>
      <c r="O833">
        <v>4.68</v>
      </c>
      <c r="P833">
        <v>8</v>
      </c>
      <c r="Q833">
        <v>5</v>
      </c>
      <c r="R833">
        <v>5</v>
      </c>
      <c r="S833">
        <v>16</v>
      </c>
      <c r="T833" t="s">
        <v>33</v>
      </c>
      <c r="U833" t="s">
        <v>34</v>
      </c>
      <c r="V833" t="s">
        <v>59</v>
      </c>
      <c r="W833" t="s">
        <v>33</v>
      </c>
      <c r="X833" t="s">
        <v>36</v>
      </c>
      <c r="Z833" t="str">
        <f>IF(Table1[[#This Row],[Age]]&lt;30,"20-29",IF(Table1[[#This Row],[Age]]&lt;40,"30-39",IF(Table1[[#This Row],[Age]]&lt;50,"40-49","50+")))</f>
        <v>20-29</v>
      </c>
      <c r="AA833" t="str">
        <f>IF(Table1[[#This Row],[Salary]]&lt;20000000,"low",IF(Table1[[#This Row],[Salary]]&lt;40000000,"medium","high"))</f>
        <v>low</v>
      </c>
      <c r="AB833">
        <f>YEAR(Table1[[#This Row],[Hire Date]])</f>
        <v>2024</v>
      </c>
      <c r="AC833" t="str">
        <f>TEXT(Table1[[#This Row],[Hire Date]],"mmmm")</f>
        <v>آوريل</v>
      </c>
      <c r="AD833" t="str">
        <f>IF(Table1[[#This Row],[Resigned]]="yes","former","active")</f>
        <v>active</v>
      </c>
    </row>
    <row r="834" spans="1:30" x14ac:dyDescent="0.3">
      <c r="A834" t="s">
        <v>1733</v>
      </c>
      <c r="B834" t="s">
        <v>1734</v>
      </c>
      <c r="C834" t="s">
        <v>39</v>
      </c>
      <c r="D834">
        <v>40</v>
      </c>
      <c r="E834" t="s">
        <v>28</v>
      </c>
      <c r="F834" t="s">
        <v>29</v>
      </c>
      <c r="G834" t="s">
        <v>30</v>
      </c>
      <c r="H834" t="s">
        <v>31</v>
      </c>
      <c r="I834" t="s">
        <v>65</v>
      </c>
      <c r="J834" s="1">
        <v>45235</v>
      </c>
      <c r="K834">
        <v>3</v>
      </c>
      <c r="L834">
        <v>24956002</v>
      </c>
      <c r="M834">
        <v>5504344</v>
      </c>
      <c r="N834" t="s">
        <v>34</v>
      </c>
      <c r="O834">
        <v>2.61</v>
      </c>
      <c r="P834">
        <v>56</v>
      </c>
      <c r="Q834">
        <v>3</v>
      </c>
      <c r="R834">
        <v>4</v>
      </c>
      <c r="S834">
        <v>0</v>
      </c>
      <c r="T834" t="s">
        <v>33</v>
      </c>
      <c r="U834" t="s">
        <v>34</v>
      </c>
      <c r="V834" t="s">
        <v>35</v>
      </c>
      <c r="W834" t="s">
        <v>33</v>
      </c>
      <c r="X834" t="s">
        <v>52</v>
      </c>
      <c r="Z834" t="str">
        <f>IF(Table1[[#This Row],[Age]]&lt;30,"20-29",IF(Table1[[#This Row],[Age]]&lt;40,"30-39",IF(Table1[[#This Row],[Age]]&lt;50,"40-49","50+")))</f>
        <v>40-49</v>
      </c>
      <c r="AA834" t="str">
        <f>IF(Table1[[#This Row],[Salary]]&lt;20000000,"low",IF(Table1[[#This Row],[Salary]]&lt;40000000,"medium","high"))</f>
        <v>medium</v>
      </c>
      <c r="AB834">
        <f>YEAR(Table1[[#This Row],[Hire Date]])</f>
        <v>2023</v>
      </c>
      <c r="AC834" t="str">
        <f>TEXT(Table1[[#This Row],[Hire Date]],"mmmm")</f>
        <v>نوامبر</v>
      </c>
      <c r="AD834" t="str">
        <f>IF(Table1[[#This Row],[Resigned]]="yes","former","active")</f>
        <v>active</v>
      </c>
    </row>
    <row r="835" spans="1:30" x14ac:dyDescent="0.3">
      <c r="A835" t="s">
        <v>1735</v>
      </c>
      <c r="B835" t="s">
        <v>1736</v>
      </c>
      <c r="C835" t="s">
        <v>27</v>
      </c>
      <c r="D835">
        <v>46</v>
      </c>
      <c r="E835" t="s">
        <v>110</v>
      </c>
      <c r="F835" t="s">
        <v>120</v>
      </c>
      <c r="G835" t="s">
        <v>58</v>
      </c>
      <c r="H835" t="s">
        <v>31</v>
      </c>
      <c r="I835" t="s">
        <v>65</v>
      </c>
      <c r="J835" s="1">
        <v>43747</v>
      </c>
      <c r="K835">
        <v>7</v>
      </c>
      <c r="L835">
        <v>23226707</v>
      </c>
      <c r="M835">
        <v>78619</v>
      </c>
      <c r="N835" t="s">
        <v>34</v>
      </c>
      <c r="O835">
        <v>3.88</v>
      </c>
      <c r="P835">
        <v>3</v>
      </c>
      <c r="Q835">
        <v>5</v>
      </c>
      <c r="R835">
        <v>5</v>
      </c>
      <c r="S835">
        <v>18</v>
      </c>
      <c r="T835" t="s">
        <v>33</v>
      </c>
      <c r="U835" t="s">
        <v>34</v>
      </c>
      <c r="V835" t="s">
        <v>51</v>
      </c>
      <c r="W835" t="s">
        <v>33</v>
      </c>
      <c r="X835" t="s">
        <v>52</v>
      </c>
      <c r="Z835" t="str">
        <f>IF(Table1[[#This Row],[Age]]&lt;30,"20-29",IF(Table1[[#This Row],[Age]]&lt;40,"30-39",IF(Table1[[#This Row],[Age]]&lt;50,"40-49","50+")))</f>
        <v>40-49</v>
      </c>
      <c r="AA835" t="str">
        <f>IF(Table1[[#This Row],[Salary]]&lt;20000000,"low",IF(Table1[[#This Row],[Salary]]&lt;40000000,"medium","high"))</f>
        <v>medium</v>
      </c>
      <c r="AB835">
        <f>YEAR(Table1[[#This Row],[Hire Date]])</f>
        <v>2019</v>
      </c>
      <c r="AC835" t="str">
        <f>TEXT(Table1[[#This Row],[Hire Date]],"mmmm")</f>
        <v>اُكتبر</v>
      </c>
      <c r="AD835" t="str">
        <f>IF(Table1[[#This Row],[Resigned]]="yes","former","active")</f>
        <v>active</v>
      </c>
    </row>
    <row r="836" spans="1:30" x14ac:dyDescent="0.3">
      <c r="A836" t="s">
        <v>1737</v>
      </c>
      <c r="B836" t="s">
        <v>1738</v>
      </c>
      <c r="C836" t="s">
        <v>39</v>
      </c>
      <c r="D836">
        <v>50</v>
      </c>
      <c r="E836" t="s">
        <v>56</v>
      </c>
      <c r="F836" t="s">
        <v>57</v>
      </c>
      <c r="G836" t="s">
        <v>49</v>
      </c>
      <c r="H836" t="s">
        <v>31</v>
      </c>
      <c r="I836" t="s">
        <v>32</v>
      </c>
      <c r="J836" s="1">
        <v>44156</v>
      </c>
      <c r="K836">
        <v>6</v>
      </c>
      <c r="L836">
        <v>28008897</v>
      </c>
      <c r="M836">
        <v>529378</v>
      </c>
      <c r="N836" t="s">
        <v>34</v>
      </c>
      <c r="O836">
        <v>2.8</v>
      </c>
      <c r="P836">
        <v>5</v>
      </c>
      <c r="Q836">
        <v>4</v>
      </c>
      <c r="R836">
        <v>4</v>
      </c>
      <c r="S836">
        <v>19</v>
      </c>
      <c r="T836" t="s">
        <v>33</v>
      </c>
      <c r="U836" t="s">
        <v>33</v>
      </c>
      <c r="V836" t="s">
        <v>44</v>
      </c>
      <c r="W836" t="s">
        <v>34</v>
      </c>
      <c r="X836" t="s">
        <v>45</v>
      </c>
      <c r="Y836" t="s">
        <v>75</v>
      </c>
      <c r="Z836" t="str">
        <f>IF(Table1[[#This Row],[Age]]&lt;30,"20-29",IF(Table1[[#This Row],[Age]]&lt;40,"30-39",IF(Table1[[#This Row],[Age]]&lt;50,"40-49","50+")))</f>
        <v>50+</v>
      </c>
      <c r="AA836" t="str">
        <f>IF(Table1[[#This Row],[Salary]]&lt;20000000,"low",IF(Table1[[#This Row],[Salary]]&lt;40000000,"medium","high"))</f>
        <v>medium</v>
      </c>
      <c r="AB836">
        <f>YEAR(Table1[[#This Row],[Hire Date]])</f>
        <v>2020</v>
      </c>
      <c r="AC836" t="str">
        <f>TEXT(Table1[[#This Row],[Hire Date]],"mmmm")</f>
        <v>نوامبر</v>
      </c>
      <c r="AD836" t="str">
        <f>IF(Table1[[#This Row],[Resigned]]="yes","former","active")</f>
        <v>former</v>
      </c>
    </row>
    <row r="837" spans="1:30" x14ac:dyDescent="0.3">
      <c r="A837" t="s">
        <v>1739</v>
      </c>
      <c r="B837" t="s">
        <v>1740</v>
      </c>
      <c r="C837" t="s">
        <v>39</v>
      </c>
      <c r="D837">
        <v>58</v>
      </c>
      <c r="E837" t="s">
        <v>63</v>
      </c>
      <c r="F837" t="s">
        <v>93</v>
      </c>
      <c r="G837" t="s">
        <v>58</v>
      </c>
      <c r="H837" t="s">
        <v>42</v>
      </c>
      <c r="I837" t="s">
        <v>43</v>
      </c>
      <c r="J837" s="1">
        <v>45212</v>
      </c>
      <c r="K837">
        <v>3</v>
      </c>
      <c r="L837">
        <v>44850548</v>
      </c>
      <c r="M837">
        <v>1270183</v>
      </c>
      <c r="N837" t="s">
        <v>33</v>
      </c>
      <c r="O837">
        <v>4.78</v>
      </c>
      <c r="P837">
        <v>51</v>
      </c>
      <c r="Q837">
        <v>5</v>
      </c>
      <c r="R837">
        <v>4</v>
      </c>
      <c r="S837">
        <v>13</v>
      </c>
      <c r="T837" t="s">
        <v>34</v>
      </c>
      <c r="U837" t="s">
        <v>34</v>
      </c>
      <c r="V837" t="s">
        <v>70</v>
      </c>
      <c r="W837" t="s">
        <v>33</v>
      </c>
      <c r="X837" t="s">
        <v>52</v>
      </c>
      <c r="Z837" t="str">
        <f>IF(Table1[[#This Row],[Age]]&lt;30,"20-29",IF(Table1[[#This Row],[Age]]&lt;40,"30-39",IF(Table1[[#This Row],[Age]]&lt;50,"40-49","50+")))</f>
        <v>50+</v>
      </c>
      <c r="AA837" t="str">
        <f>IF(Table1[[#This Row],[Salary]]&lt;20000000,"low",IF(Table1[[#This Row],[Salary]]&lt;40000000,"medium","high"))</f>
        <v>high</v>
      </c>
      <c r="AB837">
        <f>YEAR(Table1[[#This Row],[Hire Date]])</f>
        <v>2023</v>
      </c>
      <c r="AC837" t="str">
        <f>TEXT(Table1[[#This Row],[Hire Date]],"mmmm")</f>
        <v>اُكتبر</v>
      </c>
      <c r="AD837" t="str">
        <f>IF(Table1[[#This Row],[Resigned]]="yes","former","active")</f>
        <v>active</v>
      </c>
    </row>
    <row r="838" spans="1:30" x14ac:dyDescent="0.3">
      <c r="A838" t="s">
        <v>1741</v>
      </c>
      <c r="B838" t="s">
        <v>1742</v>
      </c>
      <c r="C838" t="s">
        <v>39</v>
      </c>
      <c r="D838">
        <v>34</v>
      </c>
      <c r="E838" t="s">
        <v>63</v>
      </c>
      <c r="F838" t="s">
        <v>93</v>
      </c>
      <c r="G838" t="s">
        <v>30</v>
      </c>
      <c r="H838" t="s">
        <v>31</v>
      </c>
      <c r="I838" t="s">
        <v>32</v>
      </c>
      <c r="J838" s="1">
        <v>44186</v>
      </c>
      <c r="K838">
        <v>6</v>
      </c>
      <c r="L838">
        <v>51812374</v>
      </c>
      <c r="M838">
        <v>1783133</v>
      </c>
      <c r="N838" t="s">
        <v>33</v>
      </c>
      <c r="O838">
        <v>3.9</v>
      </c>
      <c r="P838">
        <v>65</v>
      </c>
      <c r="Q838">
        <v>3</v>
      </c>
      <c r="R838">
        <v>1</v>
      </c>
      <c r="S838">
        <v>12</v>
      </c>
      <c r="T838" t="s">
        <v>33</v>
      </c>
      <c r="U838" t="s">
        <v>34</v>
      </c>
      <c r="V838" t="s">
        <v>51</v>
      </c>
      <c r="W838" t="s">
        <v>34</v>
      </c>
      <c r="X838" t="s">
        <v>52</v>
      </c>
      <c r="Z838" t="str">
        <f>IF(Table1[[#This Row],[Age]]&lt;30,"20-29",IF(Table1[[#This Row],[Age]]&lt;40,"30-39",IF(Table1[[#This Row],[Age]]&lt;50,"40-49","50+")))</f>
        <v>30-39</v>
      </c>
      <c r="AA838" t="str">
        <f>IF(Table1[[#This Row],[Salary]]&lt;20000000,"low",IF(Table1[[#This Row],[Salary]]&lt;40000000,"medium","high"))</f>
        <v>high</v>
      </c>
      <c r="AB838">
        <f>YEAR(Table1[[#This Row],[Hire Date]])</f>
        <v>2020</v>
      </c>
      <c r="AC838" t="str">
        <f>TEXT(Table1[[#This Row],[Hire Date]],"mmmm")</f>
        <v>دسامبر</v>
      </c>
      <c r="AD838" t="str">
        <f>IF(Table1[[#This Row],[Resigned]]="yes","former","active")</f>
        <v>active</v>
      </c>
    </row>
    <row r="839" spans="1:30" x14ac:dyDescent="0.3">
      <c r="A839" t="s">
        <v>1743</v>
      </c>
      <c r="B839" t="s">
        <v>1744</v>
      </c>
      <c r="C839" t="s">
        <v>39</v>
      </c>
      <c r="D839">
        <v>54</v>
      </c>
      <c r="E839" t="s">
        <v>63</v>
      </c>
      <c r="F839" t="s">
        <v>93</v>
      </c>
      <c r="G839" t="s">
        <v>30</v>
      </c>
      <c r="H839" t="s">
        <v>31</v>
      </c>
      <c r="I839" t="s">
        <v>50</v>
      </c>
      <c r="J839" s="1">
        <v>44872</v>
      </c>
      <c r="K839">
        <v>4</v>
      </c>
      <c r="L839">
        <v>45542601</v>
      </c>
      <c r="M839">
        <v>7104513</v>
      </c>
      <c r="N839" t="s">
        <v>33</v>
      </c>
      <c r="O839">
        <v>3.84</v>
      </c>
      <c r="P839">
        <v>64</v>
      </c>
      <c r="Q839">
        <v>3</v>
      </c>
      <c r="R839">
        <v>5</v>
      </c>
      <c r="S839">
        <v>7</v>
      </c>
      <c r="T839" t="s">
        <v>33</v>
      </c>
      <c r="U839" t="s">
        <v>34</v>
      </c>
      <c r="V839" t="s">
        <v>51</v>
      </c>
      <c r="W839" t="s">
        <v>34</v>
      </c>
      <c r="X839" t="s">
        <v>52</v>
      </c>
      <c r="Z839" t="str">
        <f>IF(Table1[[#This Row],[Age]]&lt;30,"20-29",IF(Table1[[#This Row],[Age]]&lt;40,"30-39",IF(Table1[[#This Row],[Age]]&lt;50,"40-49","50+")))</f>
        <v>50+</v>
      </c>
      <c r="AA839" t="str">
        <f>IF(Table1[[#This Row],[Salary]]&lt;20000000,"low",IF(Table1[[#This Row],[Salary]]&lt;40000000,"medium","high"))</f>
        <v>high</v>
      </c>
      <c r="AB839">
        <f>YEAR(Table1[[#This Row],[Hire Date]])</f>
        <v>2022</v>
      </c>
      <c r="AC839" t="str">
        <f>TEXT(Table1[[#This Row],[Hire Date]],"mmmm")</f>
        <v>نوامبر</v>
      </c>
      <c r="AD839" t="str">
        <f>IF(Table1[[#This Row],[Resigned]]="yes","former","active")</f>
        <v>active</v>
      </c>
    </row>
    <row r="840" spans="1:30" x14ac:dyDescent="0.3">
      <c r="A840" t="s">
        <v>1745</v>
      </c>
      <c r="B840" t="s">
        <v>1746</v>
      </c>
      <c r="C840" t="s">
        <v>27</v>
      </c>
      <c r="D840">
        <v>53</v>
      </c>
      <c r="E840" t="s">
        <v>28</v>
      </c>
      <c r="F840" t="s">
        <v>80</v>
      </c>
      <c r="G840" t="s">
        <v>49</v>
      </c>
      <c r="H840" t="s">
        <v>42</v>
      </c>
      <c r="I840" t="s">
        <v>32</v>
      </c>
      <c r="J840" s="1">
        <v>43861</v>
      </c>
      <c r="K840">
        <v>6</v>
      </c>
      <c r="L840">
        <v>32124834</v>
      </c>
      <c r="M840">
        <v>1336040</v>
      </c>
      <c r="N840" t="s">
        <v>33</v>
      </c>
      <c r="O840">
        <v>3.5</v>
      </c>
      <c r="P840">
        <v>38</v>
      </c>
      <c r="Q840">
        <v>5</v>
      </c>
      <c r="R840">
        <v>2</v>
      </c>
      <c r="S840">
        <v>19</v>
      </c>
      <c r="T840" t="s">
        <v>33</v>
      </c>
      <c r="U840" t="s">
        <v>34</v>
      </c>
      <c r="V840" t="s">
        <v>35</v>
      </c>
      <c r="W840" t="s">
        <v>34</v>
      </c>
      <c r="X840" t="s">
        <v>52</v>
      </c>
      <c r="Z840" t="str">
        <f>IF(Table1[[#This Row],[Age]]&lt;30,"20-29",IF(Table1[[#This Row],[Age]]&lt;40,"30-39",IF(Table1[[#This Row],[Age]]&lt;50,"40-49","50+")))</f>
        <v>50+</v>
      </c>
      <c r="AA840" t="str">
        <f>IF(Table1[[#This Row],[Salary]]&lt;20000000,"low",IF(Table1[[#This Row],[Salary]]&lt;40000000,"medium","high"))</f>
        <v>medium</v>
      </c>
      <c r="AB840">
        <f>YEAR(Table1[[#This Row],[Hire Date]])</f>
        <v>2020</v>
      </c>
      <c r="AC840" t="str">
        <f>TEXT(Table1[[#This Row],[Hire Date]],"mmmm")</f>
        <v>ژانويه</v>
      </c>
      <c r="AD840" t="str">
        <f>IF(Table1[[#This Row],[Resigned]]="yes","former","active")</f>
        <v>active</v>
      </c>
    </row>
    <row r="841" spans="1:30" x14ac:dyDescent="0.3">
      <c r="A841" t="s">
        <v>1747</v>
      </c>
      <c r="B841" t="s">
        <v>1748</v>
      </c>
      <c r="C841" t="s">
        <v>39</v>
      </c>
      <c r="D841">
        <v>22</v>
      </c>
      <c r="E841" t="s">
        <v>56</v>
      </c>
      <c r="F841" t="s">
        <v>84</v>
      </c>
      <c r="G841" t="s">
        <v>30</v>
      </c>
      <c r="H841" t="s">
        <v>31</v>
      </c>
      <c r="I841" t="s">
        <v>65</v>
      </c>
      <c r="J841" s="1">
        <v>44905</v>
      </c>
      <c r="K841">
        <v>4</v>
      </c>
      <c r="L841">
        <v>33008438</v>
      </c>
      <c r="M841">
        <v>5849916</v>
      </c>
      <c r="N841" t="s">
        <v>33</v>
      </c>
      <c r="O841">
        <v>2.98</v>
      </c>
      <c r="P841">
        <v>19</v>
      </c>
      <c r="Q841">
        <v>1</v>
      </c>
      <c r="R841">
        <v>5</v>
      </c>
      <c r="S841">
        <v>1</v>
      </c>
      <c r="T841" t="s">
        <v>34</v>
      </c>
      <c r="U841" t="s">
        <v>33</v>
      </c>
      <c r="V841" t="s">
        <v>44</v>
      </c>
      <c r="W841" t="s">
        <v>33</v>
      </c>
      <c r="X841" t="s">
        <v>52</v>
      </c>
      <c r="Y841" t="s">
        <v>162</v>
      </c>
      <c r="Z841" t="str">
        <f>IF(Table1[[#This Row],[Age]]&lt;30,"20-29",IF(Table1[[#This Row],[Age]]&lt;40,"30-39",IF(Table1[[#This Row],[Age]]&lt;50,"40-49","50+")))</f>
        <v>20-29</v>
      </c>
      <c r="AA841" t="str">
        <f>IF(Table1[[#This Row],[Salary]]&lt;20000000,"low",IF(Table1[[#This Row],[Salary]]&lt;40000000,"medium","high"))</f>
        <v>medium</v>
      </c>
      <c r="AB841">
        <f>YEAR(Table1[[#This Row],[Hire Date]])</f>
        <v>2022</v>
      </c>
      <c r="AC841" t="str">
        <f>TEXT(Table1[[#This Row],[Hire Date]],"mmmm")</f>
        <v>دسامبر</v>
      </c>
      <c r="AD841" t="str">
        <f>IF(Table1[[#This Row],[Resigned]]="yes","former","active")</f>
        <v>former</v>
      </c>
    </row>
    <row r="842" spans="1:30" x14ac:dyDescent="0.3">
      <c r="A842" t="s">
        <v>1749</v>
      </c>
      <c r="B842" t="s">
        <v>1750</v>
      </c>
      <c r="C842" t="s">
        <v>27</v>
      </c>
      <c r="D842">
        <v>49</v>
      </c>
      <c r="E842" t="s">
        <v>73</v>
      </c>
      <c r="F842" t="s">
        <v>74</v>
      </c>
      <c r="G842" t="s">
        <v>58</v>
      </c>
      <c r="H842" t="s">
        <v>42</v>
      </c>
      <c r="I842" t="s">
        <v>65</v>
      </c>
      <c r="J842" s="1">
        <v>42385</v>
      </c>
      <c r="K842">
        <v>10</v>
      </c>
      <c r="L842">
        <v>40134347</v>
      </c>
      <c r="M842">
        <v>8774071</v>
      </c>
      <c r="N842" t="s">
        <v>34</v>
      </c>
      <c r="O842">
        <v>3.59</v>
      </c>
      <c r="P842">
        <v>47</v>
      </c>
      <c r="Q842">
        <v>4</v>
      </c>
      <c r="R842">
        <v>1</v>
      </c>
      <c r="S842">
        <v>2</v>
      </c>
      <c r="T842" t="s">
        <v>34</v>
      </c>
      <c r="U842" t="s">
        <v>34</v>
      </c>
      <c r="V842" t="s">
        <v>70</v>
      </c>
      <c r="W842" t="s">
        <v>34</v>
      </c>
      <c r="X842" t="s">
        <v>36</v>
      </c>
      <c r="Z842" t="str">
        <f>IF(Table1[[#This Row],[Age]]&lt;30,"20-29",IF(Table1[[#This Row],[Age]]&lt;40,"30-39",IF(Table1[[#This Row],[Age]]&lt;50,"40-49","50+")))</f>
        <v>40-49</v>
      </c>
      <c r="AA842" t="str">
        <f>IF(Table1[[#This Row],[Salary]]&lt;20000000,"low",IF(Table1[[#This Row],[Salary]]&lt;40000000,"medium","high"))</f>
        <v>high</v>
      </c>
      <c r="AB842">
        <f>YEAR(Table1[[#This Row],[Hire Date]])</f>
        <v>2016</v>
      </c>
      <c r="AC842" t="str">
        <f>TEXT(Table1[[#This Row],[Hire Date]],"mmmm")</f>
        <v>ژانويه</v>
      </c>
      <c r="AD842" t="str">
        <f>IF(Table1[[#This Row],[Resigned]]="yes","former","active")</f>
        <v>active</v>
      </c>
    </row>
    <row r="843" spans="1:30" x14ac:dyDescent="0.3">
      <c r="A843" t="s">
        <v>1751</v>
      </c>
      <c r="B843" t="s">
        <v>1752</v>
      </c>
      <c r="C843" t="s">
        <v>39</v>
      </c>
      <c r="D843">
        <v>47</v>
      </c>
      <c r="E843" t="s">
        <v>63</v>
      </c>
      <c r="F843" t="s">
        <v>93</v>
      </c>
      <c r="G843" t="s">
        <v>49</v>
      </c>
      <c r="H843" t="s">
        <v>31</v>
      </c>
      <c r="I843" t="s">
        <v>50</v>
      </c>
      <c r="J843" s="1">
        <v>45843</v>
      </c>
      <c r="K843">
        <v>1</v>
      </c>
      <c r="L843">
        <v>50929113</v>
      </c>
      <c r="M843">
        <v>8463332</v>
      </c>
      <c r="N843" t="s">
        <v>33</v>
      </c>
      <c r="O843">
        <v>4.82</v>
      </c>
      <c r="P843">
        <v>39</v>
      </c>
      <c r="Q843">
        <v>4</v>
      </c>
      <c r="R843">
        <v>4</v>
      </c>
      <c r="S843">
        <v>2</v>
      </c>
      <c r="T843" t="s">
        <v>33</v>
      </c>
      <c r="U843" t="s">
        <v>34</v>
      </c>
      <c r="V843" t="s">
        <v>51</v>
      </c>
      <c r="W843" t="s">
        <v>33</v>
      </c>
      <c r="X843" t="s">
        <v>52</v>
      </c>
      <c r="Z843" t="str">
        <f>IF(Table1[[#This Row],[Age]]&lt;30,"20-29",IF(Table1[[#This Row],[Age]]&lt;40,"30-39",IF(Table1[[#This Row],[Age]]&lt;50,"40-49","50+")))</f>
        <v>40-49</v>
      </c>
      <c r="AA843" t="str">
        <f>IF(Table1[[#This Row],[Salary]]&lt;20000000,"low",IF(Table1[[#This Row],[Salary]]&lt;40000000,"medium","high"))</f>
        <v>high</v>
      </c>
      <c r="AB843">
        <f>YEAR(Table1[[#This Row],[Hire Date]])</f>
        <v>2025</v>
      </c>
      <c r="AC843" t="str">
        <f>TEXT(Table1[[#This Row],[Hire Date]],"mmmm")</f>
        <v>ژوئيه</v>
      </c>
      <c r="AD843" t="str">
        <f>IF(Table1[[#This Row],[Resigned]]="yes","former","active")</f>
        <v>active</v>
      </c>
    </row>
    <row r="844" spans="1:30" x14ac:dyDescent="0.3">
      <c r="A844" t="s">
        <v>1753</v>
      </c>
      <c r="B844" t="s">
        <v>1754</v>
      </c>
      <c r="C844" t="s">
        <v>27</v>
      </c>
      <c r="D844">
        <v>33</v>
      </c>
      <c r="E844" t="s">
        <v>73</v>
      </c>
      <c r="F844" t="s">
        <v>127</v>
      </c>
      <c r="G844" t="s">
        <v>30</v>
      </c>
      <c r="H844" t="s">
        <v>42</v>
      </c>
      <c r="I844" t="s">
        <v>65</v>
      </c>
      <c r="J844" s="1">
        <v>45811</v>
      </c>
      <c r="K844">
        <v>1</v>
      </c>
      <c r="L844">
        <v>20288440</v>
      </c>
      <c r="M844">
        <v>9339195</v>
      </c>
      <c r="N844" t="s">
        <v>34</v>
      </c>
      <c r="O844">
        <v>3.79</v>
      </c>
      <c r="P844">
        <v>26</v>
      </c>
      <c r="Q844">
        <v>5</v>
      </c>
      <c r="R844">
        <v>2</v>
      </c>
      <c r="S844">
        <v>5</v>
      </c>
      <c r="T844" t="s">
        <v>33</v>
      </c>
      <c r="U844" t="s">
        <v>34</v>
      </c>
      <c r="V844" t="s">
        <v>70</v>
      </c>
      <c r="W844" t="s">
        <v>33</v>
      </c>
      <c r="X844" t="s">
        <v>45</v>
      </c>
      <c r="Z844" t="str">
        <f>IF(Table1[[#This Row],[Age]]&lt;30,"20-29",IF(Table1[[#This Row],[Age]]&lt;40,"30-39",IF(Table1[[#This Row],[Age]]&lt;50,"40-49","50+")))</f>
        <v>30-39</v>
      </c>
      <c r="AA844" t="str">
        <f>IF(Table1[[#This Row],[Salary]]&lt;20000000,"low",IF(Table1[[#This Row],[Salary]]&lt;40000000,"medium","high"))</f>
        <v>medium</v>
      </c>
      <c r="AB844">
        <f>YEAR(Table1[[#This Row],[Hire Date]])</f>
        <v>2025</v>
      </c>
      <c r="AC844" t="str">
        <f>TEXT(Table1[[#This Row],[Hire Date]],"mmmm")</f>
        <v>ژوئن</v>
      </c>
      <c r="AD844" t="str">
        <f>IF(Table1[[#This Row],[Resigned]]="yes","former","active")</f>
        <v>active</v>
      </c>
    </row>
    <row r="845" spans="1:30" x14ac:dyDescent="0.3">
      <c r="A845" t="s">
        <v>1755</v>
      </c>
      <c r="B845" t="s">
        <v>1756</v>
      </c>
      <c r="C845" t="s">
        <v>39</v>
      </c>
      <c r="D845">
        <v>45</v>
      </c>
      <c r="E845" t="s">
        <v>63</v>
      </c>
      <c r="F845" t="s">
        <v>93</v>
      </c>
      <c r="G845" t="s">
        <v>30</v>
      </c>
      <c r="H845" t="s">
        <v>31</v>
      </c>
      <c r="I845" t="s">
        <v>50</v>
      </c>
      <c r="J845" s="1">
        <v>43943</v>
      </c>
      <c r="K845">
        <v>6</v>
      </c>
      <c r="L845">
        <v>59392029</v>
      </c>
      <c r="M845">
        <v>4705328</v>
      </c>
      <c r="N845" t="s">
        <v>33</v>
      </c>
      <c r="O845">
        <v>4.0999999999999996</v>
      </c>
      <c r="P845">
        <v>13</v>
      </c>
      <c r="Q845">
        <v>4</v>
      </c>
      <c r="R845">
        <v>4</v>
      </c>
      <c r="S845">
        <v>4</v>
      </c>
      <c r="T845" t="s">
        <v>33</v>
      </c>
      <c r="U845" t="s">
        <v>33</v>
      </c>
      <c r="V845" t="s">
        <v>51</v>
      </c>
      <c r="W845" t="s">
        <v>34</v>
      </c>
      <c r="X845" t="s">
        <v>36</v>
      </c>
      <c r="Y845" t="s">
        <v>60</v>
      </c>
      <c r="Z845" t="str">
        <f>IF(Table1[[#This Row],[Age]]&lt;30,"20-29",IF(Table1[[#This Row],[Age]]&lt;40,"30-39",IF(Table1[[#This Row],[Age]]&lt;50,"40-49","50+")))</f>
        <v>40-49</v>
      </c>
      <c r="AA845" t="str">
        <f>IF(Table1[[#This Row],[Salary]]&lt;20000000,"low",IF(Table1[[#This Row],[Salary]]&lt;40000000,"medium","high"))</f>
        <v>high</v>
      </c>
      <c r="AB845">
        <f>YEAR(Table1[[#This Row],[Hire Date]])</f>
        <v>2020</v>
      </c>
      <c r="AC845" t="str">
        <f>TEXT(Table1[[#This Row],[Hire Date]],"mmmm")</f>
        <v>آوريل</v>
      </c>
      <c r="AD845" t="str">
        <f>IF(Table1[[#This Row],[Resigned]]="yes","former","active")</f>
        <v>former</v>
      </c>
    </row>
    <row r="846" spans="1:30" x14ac:dyDescent="0.3">
      <c r="A846" t="s">
        <v>1757</v>
      </c>
      <c r="B846" t="s">
        <v>1758</v>
      </c>
      <c r="C846" t="s">
        <v>39</v>
      </c>
      <c r="D846">
        <v>49</v>
      </c>
      <c r="E846" t="s">
        <v>63</v>
      </c>
      <c r="F846" t="s">
        <v>64</v>
      </c>
      <c r="G846" t="s">
        <v>30</v>
      </c>
      <c r="H846" t="s">
        <v>42</v>
      </c>
      <c r="I846" t="s">
        <v>65</v>
      </c>
      <c r="J846" s="1">
        <v>45603</v>
      </c>
      <c r="K846">
        <v>2</v>
      </c>
      <c r="L846">
        <v>24862167</v>
      </c>
      <c r="M846">
        <v>3663491</v>
      </c>
      <c r="N846" t="s">
        <v>34</v>
      </c>
      <c r="O846">
        <v>4.68</v>
      </c>
      <c r="P846">
        <v>2</v>
      </c>
      <c r="Q846">
        <v>3</v>
      </c>
      <c r="R846">
        <v>4</v>
      </c>
      <c r="S846">
        <v>14</v>
      </c>
      <c r="T846" t="s">
        <v>33</v>
      </c>
      <c r="U846" t="s">
        <v>34</v>
      </c>
      <c r="V846" t="s">
        <v>70</v>
      </c>
      <c r="W846" t="s">
        <v>34</v>
      </c>
      <c r="X846" t="s">
        <v>36</v>
      </c>
      <c r="Z846" t="str">
        <f>IF(Table1[[#This Row],[Age]]&lt;30,"20-29",IF(Table1[[#This Row],[Age]]&lt;40,"30-39",IF(Table1[[#This Row],[Age]]&lt;50,"40-49","50+")))</f>
        <v>40-49</v>
      </c>
      <c r="AA846" t="str">
        <f>IF(Table1[[#This Row],[Salary]]&lt;20000000,"low",IF(Table1[[#This Row],[Salary]]&lt;40000000,"medium","high"))</f>
        <v>medium</v>
      </c>
      <c r="AB846">
        <f>YEAR(Table1[[#This Row],[Hire Date]])</f>
        <v>2024</v>
      </c>
      <c r="AC846" t="str">
        <f>TEXT(Table1[[#This Row],[Hire Date]],"mmmm")</f>
        <v>نوامبر</v>
      </c>
      <c r="AD846" t="str">
        <f>IF(Table1[[#This Row],[Resigned]]="yes","former","active")</f>
        <v>active</v>
      </c>
    </row>
    <row r="847" spans="1:30" x14ac:dyDescent="0.3">
      <c r="A847" t="s">
        <v>1759</v>
      </c>
      <c r="B847" t="s">
        <v>1760</v>
      </c>
      <c r="C847" t="s">
        <v>27</v>
      </c>
      <c r="D847">
        <v>41</v>
      </c>
      <c r="E847" t="s">
        <v>28</v>
      </c>
      <c r="F847" t="s">
        <v>80</v>
      </c>
      <c r="G847" t="s">
        <v>58</v>
      </c>
      <c r="H847" t="s">
        <v>31</v>
      </c>
      <c r="I847" t="s">
        <v>81</v>
      </c>
      <c r="J847" s="1">
        <v>44361</v>
      </c>
      <c r="K847">
        <v>5</v>
      </c>
      <c r="L847">
        <v>50795954</v>
      </c>
      <c r="M847">
        <v>61301</v>
      </c>
      <c r="N847" t="s">
        <v>33</v>
      </c>
      <c r="O847">
        <v>4.75</v>
      </c>
      <c r="P847">
        <v>75</v>
      </c>
      <c r="Q847">
        <v>4</v>
      </c>
      <c r="R847">
        <v>5</v>
      </c>
      <c r="S847">
        <v>8</v>
      </c>
      <c r="T847" t="s">
        <v>34</v>
      </c>
      <c r="U847" t="s">
        <v>33</v>
      </c>
      <c r="V847" t="s">
        <v>59</v>
      </c>
      <c r="W847" t="s">
        <v>33</v>
      </c>
      <c r="X847" t="s">
        <v>45</v>
      </c>
      <c r="Y847" t="s">
        <v>53</v>
      </c>
      <c r="Z847" t="str">
        <f>IF(Table1[[#This Row],[Age]]&lt;30,"20-29",IF(Table1[[#This Row],[Age]]&lt;40,"30-39",IF(Table1[[#This Row],[Age]]&lt;50,"40-49","50+")))</f>
        <v>40-49</v>
      </c>
      <c r="AA847" t="str">
        <f>IF(Table1[[#This Row],[Salary]]&lt;20000000,"low",IF(Table1[[#This Row],[Salary]]&lt;40000000,"medium","high"))</f>
        <v>high</v>
      </c>
      <c r="AB847">
        <f>YEAR(Table1[[#This Row],[Hire Date]])</f>
        <v>2021</v>
      </c>
      <c r="AC847" t="str">
        <f>TEXT(Table1[[#This Row],[Hire Date]],"mmmm")</f>
        <v>ژوئن</v>
      </c>
      <c r="AD847" t="str">
        <f>IF(Table1[[#This Row],[Resigned]]="yes","former","active")</f>
        <v>former</v>
      </c>
    </row>
    <row r="848" spans="1:30" x14ac:dyDescent="0.3">
      <c r="A848" t="s">
        <v>1761</v>
      </c>
      <c r="B848" t="s">
        <v>1762</v>
      </c>
      <c r="C848" t="s">
        <v>27</v>
      </c>
      <c r="D848">
        <v>39</v>
      </c>
      <c r="E848" t="s">
        <v>110</v>
      </c>
      <c r="F848" t="s">
        <v>111</v>
      </c>
      <c r="G848" t="s">
        <v>49</v>
      </c>
      <c r="H848" t="s">
        <v>31</v>
      </c>
      <c r="I848" t="s">
        <v>50</v>
      </c>
      <c r="J848" s="1">
        <v>45411</v>
      </c>
      <c r="K848">
        <v>2</v>
      </c>
      <c r="L848">
        <v>59701765</v>
      </c>
      <c r="M848">
        <v>4825031</v>
      </c>
      <c r="N848" t="s">
        <v>33</v>
      </c>
      <c r="O848">
        <v>4.17</v>
      </c>
      <c r="P848">
        <v>73</v>
      </c>
      <c r="Q848">
        <v>3</v>
      </c>
      <c r="R848">
        <v>2</v>
      </c>
      <c r="S848">
        <v>19</v>
      </c>
      <c r="T848" t="s">
        <v>33</v>
      </c>
      <c r="U848" t="s">
        <v>33</v>
      </c>
      <c r="V848" t="s">
        <v>51</v>
      </c>
      <c r="W848" t="s">
        <v>33</v>
      </c>
      <c r="X848" t="s">
        <v>36</v>
      </c>
      <c r="Y848" t="s">
        <v>53</v>
      </c>
      <c r="Z848" t="str">
        <f>IF(Table1[[#This Row],[Age]]&lt;30,"20-29",IF(Table1[[#This Row],[Age]]&lt;40,"30-39",IF(Table1[[#This Row],[Age]]&lt;50,"40-49","50+")))</f>
        <v>30-39</v>
      </c>
      <c r="AA848" t="str">
        <f>IF(Table1[[#This Row],[Salary]]&lt;20000000,"low",IF(Table1[[#This Row],[Salary]]&lt;40000000,"medium","high"))</f>
        <v>high</v>
      </c>
      <c r="AB848">
        <f>YEAR(Table1[[#This Row],[Hire Date]])</f>
        <v>2024</v>
      </c>
      <c r="AC848" t="str">
        <f>TEXT(Table1[[#This Row],[Hire Date]],"mmmm")</f>
        <v>آوريل</v>
      </c>
      <c r="AD848" t="str">
        <f>IF(Table1[[#This Row],[Resigned]]="yes","former","active")</f>
        <v>former</v>
      </c>
    </row>
    <row r="849" spans="1:30" x14ac:dyDescent="0.3">
      <c r="A849" t="s">
        <v>1763</v>
      </c>
      <c r="B849" t="s">
        <v>1764</v>
      </c>
      <c r="C849" t="s">
        <v>27</v>
      </c>
      <c r="D849">
        <v>36</v>
      </c>
      <c r="E849" t="s">
        <v>56</v>
      </c>
      <c r="F849" t="s">
        <v>57</v>
      </c>
      <c r="G849" t="s">
        <v>49</v>
      </c>
      <c r="H849" t="s">
        <v>42</v>
      </c>
      <c r="I849" t="s">
        <v>65</v>
      </c>
      <c r="J849" s="1">
        <v>43933</v>
      </c>
      <c r="K849">
        <v>6</v>
      </c>
      <c r="L849">
        <v>45812194</v>
      </c>
      <c r="M849">
        <v>58740</v>
      </c>
      <c r="N849" t="s">
        <v>33</v>
      </c>
      <c r="O849">
        <v>4.57</v>
      </c>
      <c r="P849">
        <v>12</v>
      </c>
      <c r="Q849">
        <v>4</v>
      </c>
      <c r="R849">
        <v>2</v>
      </c>
      <c r="S849">
        <v>2</v>
      </c>
      <c r="T849" t="s">
        <v>33</v>
      </c>
      <c r="U849" t="s">
        <v>34</v>
      </c>
      <c r="V849" t="s">
        <v>44</v>
      </c>
      <c r="W849" t="s">
        <v>33</v>
      </c>
      <c r="X849" t="s">
        <v>52</v>
      </c>
      <c r="Z849" t="str">
        <f>IF(Table1[[#This Row],[Age]]&lt;30,"20-29",IF(Table1[[#This Row],[Age]]&lt;40,"30-39",IF(Table1[[#This Row],[Age]]&lt;50,"40-49","50+")))</f>
        <v>30-39</v>
      </c>
      <c r="AA849" t="str">
        <f>IF(Table1[[#This Row],[Salary]]&lt;20000000,"low",IF(Table1[[#This Row],[Salary]]&lt;40000000,"medium","high"))</f>
        <v>high</v>
      </c>
      <c r="AB849">
        <f>YEAR(Table1[[#This Row],[Hire Date]])</f>
        <v>2020</v>
      </c>
      <c r="AC849" t="str">
        <f>TEXT(Table1[[#This Row],[Hire Date]],"mmmm")</f>
        <v>آوريل</v>
      </c>
      <c r="AD849" t="str">
        <f>IF(Table1[[#This Row],[Resigned]]="yes","former","active")</f>
        <v>active</v>
      </c>
    </row>
    <row r="850" spans="1:30" x14ac:dyDescent="0.3">
      <c r="A850" t="s">
        <v>1765</v>
      </c>
      <c r="B850" t="s">
        <v>1766</v>
      </c>
      <c r="C850" t="s">
        <v>27</v>
      </c>
      <c r="D850">
        <v>38</v>
      </c>
      <c r="E850" t="s">
        <v>40</v>
      </c>
      <c r="F850" t="s">
        <v>41</v>
      </c>
      <c r="G850" t="s">
        <v>30</v>
      </c>
      <c r="H850" t="s">
        <v>42</v>
      </c>
      <c r="I850" t="s">
        <v>81</v>
      </c>
      <c r="J850" s="1">
        <v>43668</v>
      </c>
      <c r="K850">
        <v>7</v>
      </c>
      <c r="L850">
        <v>33514993</v>
      </c>
      <c r="M850">
        <v>9447039</v>
      </c>
      <c r="N850" t="s">
        <v>34</v>
      </c>
      <c r="O850">
        <v>2.57</v>
      </c>
      <c r="P850">
        <v>76</v>
      </c>
      <c r="Q850">
        <v>4</v>
      </c>
      <c r="R850">
        <v>5</v>
      </c>
      <c r="S850">
        <v>11</v>
      </c>
      <c r="T850" t="s">
        <v>33</v>
      </c>
      <c r="U850" t="s">
        <v>34</v>
      </c>
      <c r="V850" t="s">
        <v>51</v>
      </c>
      <c r="W850" t="s">
        <v>34</v>
      </c>
      <c r="X850" t="s">
        <v>45</v>
      </c>
      <c r="Z850" t="str">
        <f>IF(Table1[[#This Row],[Age]]&lt;30,"20-29",IF(Table1[[#This Row],[Age]]&lt;40,"30-39",IF(Table1[[#This Row],[Age]]&lt;50,"40-49","50+")))</f>
        <v>30-39</v>
      </c>
      <c r="AA850" t="str">
        <f>IF(Table1[[#This Row],[Salary]]&lt;20000000,"low",IF(Table1[[#This Row],[Salary]]&lt;40000000,"medium","high"))</f>
        <v>medium</v>
      </c>
      <c r="AB850">
        <f>YEAR(Table1[[#This Row],[Hire Date]])</f>
        <v>2019</v>
      </c>
      <c r="AC850" t="str">
        <f>TEXT(Table1[[#This Row],[Hire Date]],"mmmm")</f>
        <v>ژوئيه</v>
      </c>
      <c r="AD850" t="str">
        <f>IF(Table1[[#This Row],[Resigned]]="yes","former","active")</f>
        <v>active</v>
      </c>
    </row>
    <row r="851" spans="1:30" x14ac:dyDescent="0.3">
      <c r="A851" t="s">
        <v>1767</v>
      </c>
      <c r="B851" t="s">
        <v>1768</v>
      </c>
      <c r="C851" t="s">
        <v>39</v>
      </c>
      <c r="D851">
        <v>58</v>
      </c>
      <c r="E851" t="s">
        <v>56</v>
      </c>
      <c r="F851" t="s">
        <v>57</v>
      </c>
      <c r="G851" t="s">
        <v>58</v>
      </c>
      <c r="H851" t="s">
        <v>42</v>
      </c>
      <c r="I851" t="s">
        <v>65</v>
      </c>
      <c r="J851" s="1">
        <v>43909</v>
      </c>
      <c r="K851">
        <v>6</v>
      </c>
      <c r="L851">
        <v>48593819</v>
      </c>
      <c r="M851">
        <v>5304817</v>
      </c>
      <c r="N851" t="s">
        <v>33</v>
      </c>
      <c r="O851">
        <v>3.24</v>
      </c>
      <c r="P851">
        <v>20</v>
      </c>
      <c r="Q851">
        <v>1</v>
      </c>
      <c r="R851">
        <v>1</v>
      </c>
      <c r="S851">
        <v>8</v>
      </c>
      <c r="T851" t="s">
        <v>34</v>
      </c>
      <c r="U851" t="s">
        <v>34</v>
      </c>
      <c r="V851" t="s">
        <v>70</v>
      </c>
      <c r="W851" t="s">
        <v>34</v>
      </c>
      <c r="X851" t="s">
        <v>45</v>
      </c>
      <c r="Z851" t="str">
        <f>IF(Table1[[#This Row],[Age]]&lt;30,"20-29",IF(Table1[[#This Row],[Age]]&lt;40,"30-39",IF(Table1[[#This Row],[Age]]&lt;50,"40-49","50+")))</f>
        <v>50+</v>
      </c>
      <c r="AA851" t="str">
        <f>IF(Table1[[#This Row],[Salary]]&lt;20000000,"low",IF(Table1[[#This Row],[Salary]]&lt;40000000,"medium","high"))</f>
        <v>high</v>
      </c>
      <c r="AB851">
        <f>YEAR(Table1[[#This Row],[Hire Date]])</f>
        <v>2020</v>
      </c>
      <c r="AC851" t="str">
        <f>TEXT(Table1[[#This Row],[Hire Date]],"mmmm")</f>
        <v>مارس</v>
      </c>
      <c r="AD851" t="str">
        <f>IF(Table1[[#This Row],[Resigned]]="yes","former","active")</f>
        <v>active</v>
      </c>
    </row>
    <row r="852" spans="1:30" x14ac:dyDescent="0.3">
      <c r="A852" t="s">
        <v>1769</v>
      </c>
      <c r="B852" t="s">
        <v>1770</v>
      </c>
      <c r="C852" t="s">
        <v>39</v>
      </c>
      <c r="D852">
        <v>42</v>
      </c>
      <c r="E852" t="s">
        <v>73</v>
      </c>
      <c r="F852" t="s">
        <v>127</v>
      </c>
      <c r="G852" t="s">
        <v>30</v>
      </c>
      <c r="H852" t="s">
        <v>42</v>
      </c>
      <c r="I852" t="s">
        <v>65</v>
      </c>
      <c r="J852" s="1">
        <v>45736</v>
      </c>
      <c r="K852">
        <v>1</v>
      </c>
      <c r="L852">
        <v>44051498</v>
      </c>
      <c r="M852">
        <v>1499692</v>
      </c>
      <c r="N852" t="s">
        <v>33</v>
      </c>
      <c r="O852">
        <v>2.5299999999999998</v>
      </c>
      <c r="P852">
        <v>15</v>
      </c>
      <c r="Q852">
        <v>3</v>
      </c>
      <c r="R852">
        <v>5</v>
      </c>
      <c r="S852">
        <v>19</v>
      </c>
      <c r="T852" t="s">
        <v>34</v>
      </c>
      <c r="U852" t="s">
        <v>34</v>
      </c>
      <c r="V852" t="s">
        <v>35</v>
      </c>
      <c r="W852" t="s">
        <v>33</v>
      </c>
      <c r="X852" t="s">
        <v>45</v>
      </c>
      <c r="Z852" t="str">
        <f>IF(Table1[[#This Row],[Age]]&lt;30,"20-29",IF(Table1[[#This Row],[Age]]&lt;40,"30-39",IF(Table1[[#This Row],[Age]]&lt;50,"40-49","50+")))</f>
        <v>40-49</v>
      </c>
      <c r="AA852" t="str">
        <f>IF(Table1[[#This Row],[Salary]]&lt;20000000,"low",IF(Table1[[#This Row],[Salary]]&lt;40000000,"medium","high"))</f>
        <v>high</v>
      </c>
      <c r="AB852">
        <f>YEAR(Table1[[#This Row],[Hire Date]])</f>
        <v>2025</v>
      </c>
      <c r="AC852" t="str">
        <f>TEXT(Table1[[#This Row],[Hire Date]],"mmmm")</f>
        <v>مارس</v>
      </c>
      <c r="AD852" t="str">
        <f>IF(Table1[[#This Row],[Resigned]]="yes","former","active")</f>
        <v>active</v>
      </c>
    </row>
    <row r="853" spans="1:30" x14ac:dyDescent="0.3">
      <c r="A853" t="s">
        <v>1771</v>
      </c>
      <c r="B853" t="s">
        <v>1772</v>
      </c>
      <c r="C853" t="s">
        <v>39</v>
      </c>
      <c r="D853">
        <v>42</v>
      </c>
      <c r="E853" t="s">
        <v>110</v>
      </c>
      <c r="F853" t="s">
        <v>120</v>
      </c>
      <c r="G853" t="s">
        <v>30</v>
      </c>
      <c r="H853" t="s">
        <v>31</v>
      </c>
      <c r="I853" t="s">
        <v>32</v>
      </c>
      <c r="J853" s="1">
        <v>43141</v>
      </c>
      <c r="K853">
        <v>8</v>
      </c>
      <c r="L853">
        <v>43074021</v>
      </c>
      <c r="M853">
        <v>4527407</v>
      </c>
      <c r="N853" t="s">
        <v>34</v>
      </c>
      <c r="O853">
        <v>2.75</v>
      </c>
      <c r="P853">
        <v>78</v>
      </c>
      <c r="Q853">
        <v>1</v>
      </c>
      <c r="R853">
        <v>1</v>
      </c>
      <c r="S853">
        <v>0</v>
      </c>
      <c r="T853" t="s">
        <v>34</v>
      </c>
      <c r="U853" t="s">
        <v>34</v>
      </c>
      <c r="V853" t="s">
        <v>70</v>
      </c>
      <c r="W853" t="s">
        <v>34</v>
      </c>
      <c r="X853" t="s">
        <v>45</v>
      </c>
      <c r="Z853" t="str">
        <f>IF(Table1[[#This Row],[Age]]&lt;30,"20-29",IF(Table1[[#This Row],[Age]]&lt;40,"30-39",IF(Table1[[#This Row],[Age]]&lt;50,"40-49","50+")))</f>
        <v>40-49</v>
      </c>
      <c r="AA853" t="str">
        <f>IF(Table1[[#This Row],[Salary]]&lt;20000000,"low",IF(Table1[[#This Row],[Salary]]&lt;40000000,"medium","high"))</f>
        <v>high</v>
      </c>
      <c r="AB853">
        <f>YEAR(Table1[[#This Row],[Hire Date]])</f>
        <v>2018</v>
      </c>
      <c r="AC853" t="str">
        <f>TEXT(Table1[[#This Row],[Hire Date]],"mmmm")</f>
        <v>فوريه</v>
      </c>
      <c r="AD853" t="str">
        <f>IF(Table1[[#This Row],[Resigned]]="yes","former","active")</f>
        <v>active</v>
      </c>
    </row>
    <row r="854" spans="1:30" x14ac:dyDescent="0.3">
      <c r="A854" t="s">
        <v>1773</v>
      </c>
      <c r="B854" t="s">
        <v>1774</v>
      </c>
      <c r="C854" t="s">
        <v>27</v>
      </c>
      <c r="D854">
        <v>52</v>
      </c>
      <c r="E854" t="s">
        <v>28</v>
      </c>
      <c r="F854" t="s">
        <v>80</v>
      </c>
      <c r="G854" t="s">
        <v>30</v>
      </c>
      <c r="H854" t="s">
        <v>31</v>
      </c>
      <c r="I854" t="s">
        <v>32</v>
      </c>
      <c r="J854" s="1">
        <v>44787</v>
      </c>
      <c r="K854">
        <v>4</v>
      </c>
      <c r="L854">
        <v>27068310</v>
      </c>
      <c r="M854">
        <v>938524</v>
      </c>
      <c r="N854" t="s">
        <v>34</v>
      </c>
      <c r="O854">
        <v>4.46</v>
      </c>
      <c r="P854">
        <v>14</v>
      </c>
      <c r="Q854">
        <v>3</v>
      </c>
      <c r="R854">
        <v>4</v>
      </c>
      <c r="S854">
        <v>7</v>
      </c>
      <c r="T854" t="s">
        <v>33</v>
      </c>
      <c r="U854" t="s">
        <v>34</v>
      </c>
      <c r="V854" t="s">
        <v>51</v>
      </c>
      <c r="W854" t="s">
        <v>33</v>
      </c>
      <c r="X854" t="s">
        <v>45</v>
      </c>
      <c r="Z854" t="str">
        <f>IF(Table1[[#This Row],[Age]]&lt;30,"20-29",IF(Table1[[#This Row],[Age]]&lt;40,"30-39",IF(Table1[[#This Row],[Age]]&lt;50,"40-49","50+")))</f>
        <v>50+</v>
      </c>
      <c r="AA854" t="str">
        <f>IF(Table1[[#This Row],[Salary]]&lt;20000000,"low",IF(Table1[[#This Row],[Salary]]&lt;40000000,"medium","high"))</f>
        <v>medium</v>
      </c>
      <c r="AB854">
        <f>YEAR(Table1[[#This Row],[Hire Date]])</f>
        <v>2022</v>
      </c>
      <c r="AC854" t="str">
        <f>TEXT(Table1[[#This Row],[Hire Date]],"mmmm")</f>
        <v>اوت</v>
      </c>
      <c r="AD854" t="str">
        <f>IF(Table1[[#This Row],[Resigned]]="yes","former","active")</f>
        <v>active</v>
      </c>
    </row>
    <row r="855" spans="1:30" x14ac:dyDescent="0.3">
      <c r="A855" t="s">
        <v>1775</v>
      </c>
      <c r="B855" t="s">
        <v>1776</v>
      </c>
      <c r="C855" t="s">
        <v>27</v>
      </c>
      <c r="D855">
        <v>43</v>
      </c>
      <c r="E855" t="s">
        <v>56</v>
      </c>
      <c r="F855" t="s">
        <v>57</v>
      </c>
      <c r="G855" t="s">
        <v>49</v>
      </c>
      <c r="H855" t="s">
        <v>31</v>
      </c>
      <c r="I855" t="s">
        <v>81</v>
      </c>
      <c r="J855" s="1">
        <v>43219</v>
      </c>
      <c r="K855">
        <v>8</v>
      </c>
      <c r="L855">
        <v>33983077</v>
      </c>
      <c r="M855">
        <v>3328591</v>
      </c>
      <c r="N855" t="s">
        <v>33</v>
      </c>
      <c r="O855">
        <v>3.3</v>
      </c>
      <c r="P855">
        <v>40</v>
      </c>
      <c r="Q855">
        <v>4</v>
      </c>
      <c r="R855">
        <v>5</v>
      </c>
      <c r="S855">
        <v>19</v>
      </c>
      <c r="T855" t="s">
        <v>33</v>
      </c>
      <c r="U855" t="s">
        <v>34</v>
      </c>
      <c r="V855" t="s">
        <v>51</v>
      </c>
      <c r="W855" t="s">
        <v>34</v>
      </c>
      <c r="X855" t="s">
        <v>45</v>
      </c>
      <c r="Z855" t="str">
        <f>IF(Table1[[#This Row],[Age]]&lt;30,"20-29",IF(Table1[[#This Row],[Age]]&lt;40,"30-39",IF(Table1[[#This Row],[Age]]&lt;50,"40-49","50+")))</f>
        <v>40-49</v>
      </c>
      <c r="AA855" t="str">
        <f>IF(Table1[[#This Row],[Salary]]&lt;20000000,"low",IF(Table1[[#This Row],[Salary]]&lt;40000000,"medium","high"))</f>
        <v>medium</v>
      </c>
      <c r="AB855">
        <f>YEAR(Table1[[#This Row],[Hire Date]])</f>
        <v>2018</v>
      </c>
      <c r="AC855" t="str">
        <f>TEXT(Table1[[#This Row],[Hire Date]],"mmmm")</f>
        <v>آوريل</v>
      </c>
      <c r="AD855" t="str">
        <f>IF(Table1[[#This Row],[Resigned]]="yes","former","active")</f>
        <v>active</v>
      </c>
    </row>
    <row r="856" spans="1:30" x14ac:dyDescent="0.3">
      <c r="A856" t="s">
        <v>1777</v>
      </c>
      <c r="B856" t="s">
        <v>1778</v>
      </c>
      <c r="C856" t="s">
        <v>39</v>
      </c>
      <c r="D856">
        <v>22</v>
      </c>
      <c r="E856" t="s">
        <v>40</v>
      </c>
      <c r="F856" t="s">
        <v>41</v>
      </c>
      <c r="G856" t="s">
        <v>49</v>
      </c>
      <c r="H856" t="s">
        <v>42</v>
      </c>
      <c r="I856" t="s">
        <v>65</v>
      </c>
      <c r="J856" s="1">
        <v>45616</v>
      </c>
      <c r="K856">
        <v>2</v>
      </c>
      <c r="L856">
        <v>57257467</v>
      </c>
      <c r="M856">
        <v>319569</v>
      </c>
      <c r="N856" t="s">
        <v>33</v>
      </c>
      <c r="O856">
        <v>3.49</v>
      </c>
      <c r="P856">
        <v>14</v>
      </c>
      <c r="Q856">
        <v>5</v>
      </c>
      <c r="R856">
        <v>4</v>
      </c>
      <c r="S856">
        <v>12</v>
      </c>
      <c r="T856" t="s">
        <v>33</v>
      </c>
      <c r="U856" t="s">
        <v>34</v>
      </c>
      <c r="V856" t="s">
        <v>59</v>
      </c>
      <c r="W856" t="s">
        <v>34</v>
      </c>
      <c r="X856" t="s">
        <v>36</v>
      </c>
      <c r="Z856" t="str">
        <f>IF(Table1[[#This Row],[Age]]&lt;30,"20-29",IF(Table1[[#This Row],[Age]]&lt;40,"30-39",IF(Table1[[#This Row],[Age]]&lt;50,"40-49","50+")))</f>
        <v>20-29</v>
      </c>
      <c r="AA856" t="str">
        <f>IF(Table1[[#This Row],[Salary]]&lt;20000000,"low",IF(Table1[[#This Row],[Salary]]&lt;40000000,"medium","high"))</f>
        <v>high</v>
      </c>
      <c r="AB856">
        <f>YEAR(Table1[[#This Row],[Hire Date]])</f>
        <v>2024</v>
      </c>
      <c r="AC856" t="str">
        <f>TEXT(Table1[[#This Row],[Hire Date]],"mmmm")</f>
        <v>نوامبر</v>
      </c>
      <c r="AD856" t="str">
        <f>IF(Table1[[#This Row],[Resigned]]="yes","former","active")</f>
        <v>active</v>
      </c>
    </row>
    <row r="857" spans="1:30" x14ac:dyDescent="0.3">
      <c r="A857" t="s">
        <v>1779</v>
      </c>
      <c r="B857" t="s">
        <v>1780</v>
      </c>
      <c r="C857" t="s">
        <v>27</v>
      </c>
      <c r="D857">
        <v>48</v>
      </c>
      <c r="E857" t="s">
        <v>56</v>
      </c>
      <c r="F857" t="s">
        <v>57</v>
      </c>
      <c r="G857" t="s">
        <v>49</v>
      </c>
      <c r="H857" t="s">
        <v>31</v>
      </c>
      <c r="I857" t="s">
        <v>43</v>
      </c>
      <c r="J857" s="1">
        <v>43568</v>
      </c>
      <c r="K857">
        <v>7</v>
      </c>
      <c r="L857">
        <v>13620585</v>
      </c>
      <c r="M857">
        <v>820126</v>
      </c>
      <c r="N857" t="s">
        <v>33</v>
      </c>
      <c r="O857">
        <v>4.72</v>
      </c>
      <c r="P857">
        <v>1</v>
      </c>
      <c r="Q857">
        <v>2</v>
      </c>
      <c r="R857">
        <v>5</v>
      </c>
      <c r="S857">
        <v>19</v>
      </c>
      <c r="T857" t="s">
        <v>34</v>
      </c>
      <c r="U857" t="s">
        <v>34</v>
      </c>
      <c r="V857" t="s">
        <v>44</v>
      </c>
      <c r="W857" t="s">
        <v>34</v>
      </c>
      <c r="X857" t="s">
        <v>36</v>
      </c>
      <c r="Z857" t="str">
        <f>IF(Table1[[#This Row],[Age]]&lt;30,"20-29",IF(Table1[[#This Row],[Age]]&lt;40,"30-39",IF(Table1[[#This Row],[Age]]&lt;50,"40-49","50+")))</f>
        <v>40-49</v>
      </c>
      <c r="AA857" t="str">
        <f>IF(Table1[[#This Row],[Salary]]&lt;20000000,"low",IF(Table1[[#This Row],[Salary]]&lt;40000000,"medium","high"))</f>
        <v>low</v>
      </c>
      <c r="AB857">
        <f>YEAR(Table1[[#This Row],[Hire Date]])</f>
        <v>2019</v>
      </c>
      <c r="AC857" t="str">
        <f>TEXT(Table1[[#This Row],[Hire Date]],"mmmm")</f>
        <v>آوريل</v>
      </c>
      <c r="AD857" t="str">
        <f>IF(Table1[[#This Row],[Resigned]]="yes","former","active")</f>
        <v>active</v>
      </c>
    </row>
    <row r="858" spans="1:30" x14ac:dyDescent="0.3">
      <c r="A858" t="s">
        <v>1781</v>
      </c>
      <c r="B858" t="s">
        <v>1782</v>
      </c>
      <c r="C858" t="s">
        <v>39</v>
      </c>
      <c r="D858">
        <v>39</v>
      </c>
      <c r="E858" t="s">
        <v>63</v>
      </c>
      <c r="F858" t="s">
        <v>64</v>
      </c>
      <c r="G858" t="s">
        <v>58</v>
      </c>
      <c r="H858" t="s">
        <v>42</v>
      </c>
      <c r="I858" t="s">
        <v>43</v>
      </c>
      <c r="J858" s="1">
        <v>45184</v>
      </c>
      <c r="K858">
        <v>3</v>
      </c>
      <c r="L858">
        <v>31776602</v>
      </c>
      <c r="M858">
        <v>6692781</v>
      </c>
      <c r="N858" t="s">
        <v>34</v>
      </c>
      <c r="O858">
        <v>4.55</v>
      </c>
      <c r="P858">
        <v>76</v>
      </c>
      <c r="Q858">
        <v>4</v>
      </c>
      <c r="R858">
        <v>1</v>
      </c>
      <c r="S858">
        <v>14</v>
      </c>
      <c r="T858" t="s">
        <v>34</v>
      </c>
      <c r="U858" t="s">
        <v>33</v>
      </c>
      <c r="V858" t="s">
        <v>44</v>
      </c>
      <c r="W858" t="s">
        <v>34</v>
      </c>
      <c r="X858" t="s">
        <v>52</v>
      </c>
      <c r="Y858" t="s">
        <v>162</v>
      </c>
      <c r="Z858" t="str">
        <f>IF(Table1[[#This Row],[Age]]&lt;30,"20-29",IF(Table1[[#This Row],[Age]]&lt;40,"30-39",IF(Table1[[#This Row],[Age]]&lt;50,"40-49","50+")))</f>
        <v>30-39</v>
      </c>
      <c r="AA858" t="str">
        <f>IF(Table1[[#This Row],[Salary]]&lt;20000000,"low",IF(Table1[[#This Row],[Salary]]&lt;40000000,"medium","high"))</f>
        <v>medium</v>
      </c>
      <c r="AB858">
        <f>YEAR(Table1[[#This Row],[Hire Date]])</f>
        <v>2023</v>
      </c>
      <c r="AC858" t="str">
        <f>TEXT(Table1[[#This Row],[Hire Date]],"mmmm")</f>
        <v>سپتامبر</v>
      </c>
      <c r="AD858" t="str">
        <f>IF(Table1[[#This Row],[Resigned]]="yes","former","active")</f>
        <v>former</v>
      </c>
    </row>
    <row r="859" spans="1:30" x14ac:dyDescent="0.3">
      <c r="A859" t="s">
        <v>1783</v>
      </c>
      <c r="B859" t="s">
        <v>1784</v>
      </c>
      <c r="C859" t="s">
        <v>39</v>
      </c>
      <c r="D859">
        <v>51</v>
      </c>
      <c r="E859" t="s">
        <v>56</v>
      </c>
      <c r="F859" t="s">
        <v>84</v>
      </c>
      <c r="G859" t="s">
        <v>58</v>
      </c>
      <c r="H859" t="s">
        <v>42</v>
      </c>
      <c r="I859" t="s">
        <v>65</v>
      </c>
      <c r="J859" s="1">
        <v>43739</v>
      </c>
      <c r="K859">
        <v>7</v>
      </c>
      <c r="L859">
        <v>17566717</v>
      </c>
      <c r="M859">
        <v>946401</v>
      </c>
      <c r="N859" t="s">
        <v>33</v>
      </c>
      <c r="O859">
        <v>2.57</v>
      </c>
      <c r="P859">
        <v>12</v>
      </c>
      <c r="Q859">
        <v>4</v>
      </c>
      <c r="R859">
        <v>3</v>
      </c>
      <c r="S859">
        <v>12</v>
      </c>
      <c r="T859" t="s">
        <v>33</v>
      </c>
      <c r="U859" t="s">
        <v>33</v>
      </c>
      <c r="V859" t="s">
        <v>59</v>
      </c>
      <c r="W859" t="s">
        <v>33</v>
      </c>
      <c r="X859" t="s">
        <v>45</v>
      </c>
      <c r="Y859" t="s">
        <v>60</v>
      </c>
      <c r="Z859" t="str">
        <f>IF(Table1[[#This Row],[Age]]&lt;30,"20-29",IF(Table1[[#This Row],[Age]]&lt;40,"30-39",IF(Table1[[#This Row],[Age]]&lt;50,"40-49","50+")))</f>
        <v>50+</v>
      </c>
      <c r="AA859" t="str">
        <f>IF(Table1[[#This Row],[Salary]]&lt;20000000,"low",IF(Table1[[#This Row],[Salary]]&lt;40000000,"medium","high"))</f>
        <v>low</v>
      </c>
      <c r="AB859">
        <f>YEAR(Table1[[#This Row],[Hire Date]])</f>
        <v>2019</v>
      </c>
      <c r="AC859" t="str">
        <f>TEXT(Table1[[#This Row],[Hire Date]],"mmmm")</f>
        <v>اُكتبر</v>
      </c>
      <c r="AD859" t="str">
        <f>IF(Table1[[#This Row],[Resigned]]="yes","former","active")</f>
        <v>former</v>
      </c>
    </row>
    <row r="860" spans="1:30" x14ac:dyDescent="0.3">
      <c r="A860" t="s">
        <v>1785</v>
      </c>
      <c r="B860" t="s">
        <v>1786</v>
      </c>
      <c r="C860" t="s">
        <v>27</v>
      </c>
      <c r="D860">
        <v>28</v>
      </c>
      <c r="E860" t="s">
        <v>63</v>
      </c>
      <c r="F860" t="s">
        <v>64</v>
      </c>
      <c r="G860" t="s">
        <v>58</v>
      </c>
      <c r="H860" t="s">
        <v>31</v>
      </c>
      <c r="I860" t="s">
        <v>50</v>
      </c>
      <c r="J860" s="1">
        <v>44487</v>
      </c>
      <c r="K860">
        <v>5</v>
      </c>
      <c r="L860">
        <v>35419909</v>
      </c>
      <c r="M860">
        <v>7005671</v>
      </c>
      <c r="N860" t="s">
        <v>34</v>
      </c>
      <c r="O860">
        <v>3.95</v>
      </c>
      <c r="P860">
        <v>11</v>
      </c>
      <c r="Q860">
        <v>5</v>
      </c>
      <c r="R860">
        <v>3</v>
      </c>
      <c r="S860">
        <v>4</v>
      </c>
      <c r="T860" t="s">
        <v>34</v>
      </c>
      <c r="U860" t="s">
        <v>34</v>
      </c>
      <c r="V860" t="s">
        <v>70</v>
      </c>
      <c r="W860" t="s">
        <v>34</v>
      </c>
      <c r="X860" t="s">
        <v>52</v>
      </c>
      <c r="Z860" t="str">
        <f>IF(Table1[[#This Row],[Age]]&lt;30,"20-29",IF(Table1[[#This Row],[Age]]&lt;40,"30-39",IF(Table1[[#This Row],[Age]]&lt;50,"40-49","50+")))</f>
        <v>20-29</v>
      </c>
      <c r="AA860" t="str">
        <f>IF(Table1[[#This Row],[Salary]]&lt;20000000,"low",IF(Table1[[#This Row],[Salary]]&lt;40000000,"medium","high"))</f>
        <v>medium</v>
      </c>
      <c r="AB860">
        <f>YEAR(Table1[[#This Row],[Hire Date]])</f>
        <v>2021</v>
      </c>
      <c r="AC860" t="str">
        <f>TEXT(Table1[[#This Row],[Hire Date]],"mmmm")</f>
        <v>اُكتبر</v>
      </c>
      <c r="AD860" t="str">
        <f>IF(Table1[[#This Row],[Resigned]]="yes","former","active")</f>
        <v>active</v>
      </c>
    </row>
    <row r="861" spans="1:30" x14ac:dyDescent="0.3">
      <c r="A861" t="s">
        <v>1787</v>
      </c>
      <c r="B861" t="s">
        <v>1788</v>
      </c>
      <c r="C861" t="s">
        <v>39</v>
      </c>
      <c r="D861">
        <v>55</v>
      </c>
      <c r="E861" t="s">
        <v>40</v>
      </c>
      <c r="F861" t="s">
        <v>48</v>
      </c>
      <c r="G861" t="s">
        <v>30</v>
      </c>
      <c r="H861" t="s">
        <v>42</v>
      </c>
      <c r="I861" t="s">
        <v>81</v>
      </c>
      <c r="J861" s="1">
        <v>45102</v>
      </c>
      <c r="K861">
        <v>3</v>
      </c>
      <c r="L861">
        <v>40704110</v>
      </c>
      <c r="M861">
        <v>8131881</v>
      </c>
      <c r="N861" t="s">
        <v>33</v>
      </c>
      <c r="O861">
        <v>2.84</v>
      </c>
      <c r="P861">
        <v>2</v>
      </c>
      <c r="Q861">
        <v>4</v>
      </c>
      <c r="R861">
        <v>4</v>
      </c>
      <c r="S861">
        <v>10</v>
      </c>
      <c r="T861" t="s">
        <v>34</v>
      </c>
      <c r="U861" t="s">
        <v>33</v>
      </c>
      <c r="V861" t="s">
        <v>59</v>
      </c>
      <c r="W861" t="s">
        <v>34</v>
      </c>
      <c r="X861" t="s">
        <v>36</v>
      </c>
      <c r="Y861" t="s">
        <v>53</v>
      </c>
      <c r="Z861" t="str">
        <f>IF(Table1[[#This Row],[Age]]&lt;30,"20-29",IF(Table1[[#This Row],[Age]]&lt;40,"30-39",IF(Table1[[#This Row],[Age]]&lt;50,"40-49","50+")))</f>
        <v>50+</v>
      </c>
      <c r="AA861" t="str">
        <f>IF(Table1[[#This Row],[Salary]]&lt;20000000,"low",IF(Table1[[#This Row],[Salary]]&lt;40000000,"medium","high"))</f>
        <v>high</v>
      </c>
      <c r="AB861">
        <f>YEAR(Table1[[#This Row],[Hire Date]])</f>
        <v>2023</v>
      </c>
      <c r="AC861" t="str">
        <f>TEXT(Table1[[#This Row],[Hire Date]],"mmmm")</f>
        <v>ژوئن</v>
      </c>
      <c r="AD861" t="str">
        <f>IF(Table1[[#This Row],[Resigned]]="yes","former","active")</f>
        <v>former</v>
      </c>
    </row>
    <row r="862" spans="1:30" x14ac:dyDescent="0.3">
      <c r="A862" t="s">
        <v>1789</v>
      </c>
      <c r="B862" t="s">
        <v>1790</v>
      </c>
      <c r="C862" t="s">
        <v>39</v>
      </c>
      <c r="D862">
        <v>55</v>
      </c>
      <c r="E862" t="s">
        <v>63</v>
      </c>
      <c r="F862" t="s">
        <v>93</v>
      </c>
      <c r="G862" t="s">
        <v>30</v>
      </c>
      <c r="H862" t="s">
        <v>31</v>
      </c>
      <c r="I862" t="s">
        <v>81</v>
      </c>
      <c r="J862" s="1">
        <v>44425</v>
      </c>
      <c r="K862">
        <v>5</v>
      </c>
      <c r="L862">
        <v>52581757</v>
      </c>
      <c r="M862">
        <v>5326907</v>
      </c>
      <c r="N862" t="s">
        <v>34</v>
      </c>
      <c r="O862">
        <v>4.12</v>
      </c>
      <c r="P862">
        <v>61</v>
      </c>
      <c r="Q862">
        <v>5</v>
      </c>
      <c r="R862">
        <v>5</v>
      </c>
      <c r="S862">
        <v>13</v>
      </c>
      <c r="T862" t="s">
        <v>34</v>
      </c>
      <c r="U862" t="s">
        <v>33</v>
      </c>
      <c r="V862" t="s">
        <v>35</v>
      </c>
      <c r="W862" t="s">
        <v>33</v>
      </c>
      <c r="X862" t="s">
        <v>36</v>
      </c>
      <c r="Y862" t="s">
        <v>75</v>
      </c>
      <c r="Z862" t="str">
        <f>IF(Table1[[#This Row],[Age]]&lt;30,"20-29",IF(Table1[[#This Row],[Age]]&lt;40,"30-39",IF(Table1[[#This Row],[Age]]&lt;50,"40-49","50+")))</f>
        <v>50+</v>
      </c>
      <c r="AA862" t="str">
        <f>IF(Table1[[#This Row],[Salary]]&lt;20000000,"low",IF(Table1[[#This Row],[Salary]]&lt;40000000,"medium","high"))</f>
        <v>high</v>
      </c>
      <c r="AB862">
        <f>YEAR(Table1[[#This Row],[Hire Date]])</f>
        <v>2021</v>
      </c>
      <c r="AC862" t="str">
        <f>TEXT(Table1[[#This Row],[Hire Date]],"mmmm")</f>
        <v>اوت</v>
      </c>
      <c r="AD862" t="str">
        <f>IF(Table1[[#This Row],[Resigned]]="yes","former","active")</f>
        <v>former</v>
      </c>
    </row>
    <row r="863" spans="1:30" x14ac:dyDescent="0.3">
      <c r="A863" t="s">
        <v>1791</v>
      </c>
      <c r="B863" t="s">
        <v>1792</v>
      </c>
      <c r="C863" t="s">
        <v>27</v>
      </c>
      <c r="D863">
        <v>31</v>
      </c>
      <c r="E863" t="s">
        <v>28</v>
      </c>
      <c r="F863" t="s">
        <v>80</v>
      </c>
      <c r="G863" t="s">
        <v>49</v>
      </c>
      <c r="H863" t="s">
        <v>42</v>
      </c>
      <c r="I863" t="s">
        <v>32</v>
      </c>
      <c r="J863" s="1">
        <v>43641</v>
      </c>
      <c r="K863">
        <v>7</v>
      </c>
      <c r="L863">
        <v>24241321</v>
      </c>
      <c r="M863">
        <v>1783527</v>
      </c>
      <c r="N863" t="s">
        <v>34</v>
      </c>
      <c r="O863">
        <v>4.67</v>
      </c>
      <c r="P863">
        <v>36</v>
      </c>
      <c r="Q863">
        <v>3</v>
      </c>
      <c r="R863">
        <v>1</v>
      </c>
      <c r="S863">
        <v>0</v>
      </c>
      <c r="T863" t="s">
        <v>34</v>
      </c>
      <c r="U863" t="s">
        <v>34</v>
      </c>
      <c r="V863" t="s">
        <v>59</v>
      </c>
      <c r="W863" t="s">
        <v>33</v>
      </c>
      <c r="X863" t="s">
        <v>52</v>
      </c>
      <c r="Z863" t="str">
        <f>IF(Table1[[#This Row],[Age]]&lt;30,"20-29",IF(Table1[[#This Row],[Age]]&lt;40,"30-39",IF(Table1[[#This Row],[Age]]&lt;50,"40-49","50+")))</f>
        <v>30-39</v>
      </c>
      <c r="AA863" t="str">
        <f>IF(Table1[[#This Row],[Salary]]&lt;20000000,"low",IF(Table1[[#This Row],[Salary]]&lt;40000000,"medium","high"))</f>
        <v>medium</v>
      </c>
      <c r="AB863">
        <f>YEAR(Table1[[#This Row],[Hire Date]])</f>
        <v>2019</v>
      </c>
      <c r="AC863" t="str">
        <f>TEXT(Table1[[#This Row],[Hire Date]],"mmmm")</f>
        <v>ژوئن</v>
      </c>
      <c r="AD863" t="str">
        <f>IF(Table1[[#This Row],[Resigned]]="yes","former","active")</f>
        <v>active</v>
      </c>
    </row>
    <row r="864" spans="1:30" x14ac:dyDescent="0.3">
      <c r="A864" t="s">
        <v>1793</v>
      </c>
      <c r="B864" t="s">
        <v>1794</v>
      </c>
      <c r="C864" t="s">
        <v>39</v>
      </c>
      <c r="D864">
        <v>23</v>
      </c>
      <c r="E864" t="s">
        <v>110</v>
      </c>
      <c r="F864" t="s">
        <v>111</v>
      </c>
      <c r="G864" t="s">
        <v>49</v>
      </c>
      <c r="H864" t="s">
        <v>42</v>
      </c>
      <c r="I864" t="s">
        <v>32</v>
      </c>
      <c r="J864" s="1">
        <v>43709</v>
      </c>
      <c r="K864">
        <v>7</v>
      </c>
      <c r="L864">
        <v>41449199</v>
      </c>
      <c r="M864">
        <v>3506311</v>
      </c>
      <c r="N864" t="s">
        <v>34</v>
      </c>
      <c r="O864">
        <v>3.64</v>
      </c>
      <c r="P864">
        <v>30</v>
      </c>
      <c r="Q864">
        <v>1</v>
      </c>
      <c r="R864">
        <v>4</v>
      </c>
      <c r="S864">
        <v>3</v>
      </c>
      <c r="T864" t="s">
        <v>34</v>
      </c>
      <c r="U864" t="s">
        <v>34</v>
      </c>
      <c r="V864" t="s">
        <v>44</v>
      </c>
      <c r="W864" t="s">
        <v>33</v>
      </c>
      <c r="X864" t="s">
        <v>52</v>
      </c>
      <c r="Z864" t="str">
        <f>IF(Table1[[#This Row],[Age]]&lt;30,"20-29",IF(Table1[[#This Row],[Age]]&lt;40,"30-39",IF(Table1[[#This Row],[Age]]&lt;50,"40-49","50+")))</f>
        <v>20-29</v>
      </c>
      <c r="AA864" t="str">
        <f>IF(Table1[[#This Row],[Salary]]&lt;20000000,"low",IF(Table1[[#This Row],[Salary]]&lt;40000000,"medium","high"))</f>
        <v>high</v>
      </c>
      <c r="AB864">
        <f>YEAR(Table1[[#This Row],[Hire Date]])</f>
        <v>2019</v>
      </c>
      <c r="AC864" t="str">
        <f>TEXT(Table1[[#This Row],[Hire Date]],"mmmm")</f>
        <v>سپتامبر</v>
      </c>
      <c r="AD864" t="str">
        <f>IF(Table1[[#This Row],[Resigned]]="yes","former","active")</f>
        <v>active</v>
      </c>
    </row>
    <row r="865" spans="1:30" x14ac:dyDescent="0.3">
      <c r="A865" t="s">
        <v>1795</v>
      </c>
      <c r="B865" t="s">
        <v>1796</v>
      </c>
      <c r="C865" t="s">
        <v>27</v>
      </c>
      <c r="D865">
        <v>47</v>
      </c>
      <c r="E865" t="s">
        <v>40</v>
      </c>
      <c r="F865" t="s">
        <v>48</v>
      </c>
      <c r="G865" t="s">
        <v>49</v>
      </c>
      <c r="H865" t="s">
        <v>42</v>
      </c>
      <c r="I865" t="s">
        <v>43</v>
      </c>
      <c r="J865" s="1">
        <v>45598</v>
      </c>
      <c r="K865">
        <v>2</v>
      </c>
      <c r="L865">
        <v>19250146</v>
      </c>
      <c r="M865">
        <v>7486528</v>
      </c>
      <c r="N865" t="s">
        <v>34</v>
      </c>
      <c r="O865">
        <v>4.5199999999999996</v>
      </c>
      <c r="P865">
        <v>15</v>
      </c>
      <c r="Q865">
        <v>1</v>
      </c>
      <c r="R865">
        <v>3</v>
      </c>
      <c r="S865">
        <v>1</v>
      </c>
      <c r="T865" t="s">
        <v>33</v>
      </c>
      <c r="U865" t="s">
        <v>34</v>
      </c>
      <c r="V865" t="s">
        <v>59</v>
      </c>
      <c r="W865" t="s">
        <v>33</v>
      </c>
      <c r="X865" t="s">
        <v>45</v>
      </c>
      <c r="Z865" t="str">
        <f>IF(Table1[[#This Row],[Age]]&lt;30,"20-29",IF(Table1[[#This Row],[Age]]&lt;40,"30-39",IF(Table1[[#This Row],[Age]]&lt;50,"40-49","50+")))</f>
        <v>40-49</v>
      </c>
      <c r="AA865" t="str">
        <f>IF(Table1[[#This Row],[Salary]]&lt;20000000,"low",IF(Table1[[#This Row],[Salary]]&lt;40000000,"medium","high"))</f>
        <v>low</v>
      </c>
      <c r="AB865">
        <f>YEAR(Table1[[#This Row],[Hire Date]])</f>
        <v>2024</v>
      </c>
      <c r="AC865" t="str">
        <f>TEXT(Table1[[#This Row],[Hire Date]],"mmmm")</f>
        <v>نوامبر</v>
      </c>
      <c r="AD865" t="str">
        <f>IF(Table1[[#This Row],[Resigned]]="yes","former","active")</f>
        <v>active</v>
      </c>
    </row>
    <row r="866" spans="1:30" x14ac:dyDescent="0.3">
      <c r="A866" t="s">
        <v>1797</v>
      </c>
      <c r="B866" t="s">
        <v>1798</v>
      </c>
      <c r="C866" t="s">
        <v>27</v>
      </c>
      <c r="D866">
        <v>49</v>
      </c>
      <c r="E866" t="s">
        <v>28</v>
      </c>
      <c r="F866" t="s">
        <v>29</v>
      </c>
      <c r="G866" t="s">
        <v>30</v>
      </c>
      <c r="H866" t="s">
        <v>42</v>
      </c>
      <c r="I866" t="s">
        <v>81</v>
      </c>
      <c r="J866" s="1">
        <v>45853</v>
      </c>
      <c r="K866">
        <v>1</v>
      </c>
      <c r="L866">
        <v>54814830</v>
      </c>
      <c r="M866">
        <v>3645361</v>
      </c>
      <c r="N866" t="s">
        <v>33</v>
      </c>
      <c r="O866">
        <v>4.53</v>
      </c>
      <c r="P866">
        <v>15</v>
      </c>
      <c r="Q866">
        <v>4</v>
      </c>
      <c r="R866">
        <v>1</v>
      </c>
      <c r="S866">
        <v>10</v>
      </c>
      <c r="T866" t="s">
        <v>33</v>
      </c>
      <c r="U866" t="s">
        <v>34</v>
      </c>
      <c r="V866" t="s">
        <v>44</v>
      </c>
      <c r="W866" t="s">
        <v>33</v>
      </c>
      <c r="X866" t="s">
        <v>45</v>
      </c>
      <c r="Z866" t="str">
        <f>IF(Table1[[#This Row],[Age]]&lt;30,"20-29",IF(Table1[[#This Row],[Age]]&lt;40,"30-39",IF(Table1[[#This Row],[Age]]&lt;50,"40-49","50+")))</f>
        <v>40-49</v>
      </c>
      <c r="AA866" t="str">
        <f>IF(Table1[[#This Row],[Salary]]&lt;20000000,"low",IF(Table1[[#This Row],[Salary]]&lt;40000000,"medium","high"))</f>
        <v>high</v>
      </c>
      <c r="AB866">
        <f>YEAR(Table1[[#This Row],[Hire Date]])</f>
        <v>2025</v>
      </c>
      <c r="AC866" t="str">
        <f>TEXT(Table1[[#This Row],[Hire Date]],"mmmm")</f>
        <v>ژوئيه</v>
      </c>
      <c r="AD866" t="str">
        <f>IF(Table1[[#This Row],[Resigned]]="yes","former","active")</f>
        <v>active</v>
      </c>
    </row>
    <row r="867" spans="1:30" x14ac:dyDescent="0.3">
      <c r="A867" t="s">
        <v>1799</v>
      </c>
      <c r="B867" t="s">
        <v>1800</v>
      </c>
      <c r="C867" t="s">
        <v>39</v>
      </c>
      <c r="D867">
        <v>57</v>
      </c>
      <c r="E867" t="s">
        <v>28</v>
      </c>
      <c r="F867" t="s">
        <v>29</v>
      </c>
      <c r="G867" t="s">
        <v>49</v>
      </c>
      <c r="H867" t="s">
        <v>42</v>
      </c>
      <c r="I867" t="s">
        <v>43</v>
      </c>
      <c r="J867" s="1">
        <v>43399</v>
      </c>
      <c r="K867">
        <v>8</v>
      </c>
      <c r="L867">
        <v>55605632</v>
      </c>
      <c r="M867">
        <v>2452953</v>
      </c>
      <c r="N867" t="s">
        <v>33</v>
      </c>
      <c r="O867">
        <v>4.1900000000000004</v>
      </c>
      <c r="P867">
        <v>6</v>
      </c>
      <c r="Q867">
        <v>2</v>
      </c>
      <c r="R867">
        <v>2</v>
      </c>
      <c r="S867">
        <v>2</v>
      </c>
      <c r="T867" t="s">
        <v>33</v>
      </c>
      <c r="U867" t="s">
        <v>34</v>
      </c>
      <c r="V867" t="s">
        <v>44</v>
      </c>
      <c r="W867" t="s">
        <v>34</v>
      </c>
      <c r="X867" t="s">
        <v>52</v>
      </c>
      <c r="Z867" t="str">
        <f>IF(Table1[[#This Row],[Age]]&lt;30,"20-29",IF(Table1[[#This Row],[Age]]&lt;40,"30-39",IF(Table1[[#This Row],[Age]]&lt;50,"40-49","50+")))</f>
        <v>50+</v>
      </c>
      <c r="AA867" t="str">
        <f>IF(Table1[[#This Row],[Salary]]&lt;20000000,"low",IF(Table1[[#This Row],[Salary]]&lt;40000000,"medium","high"))</f>
        <v>high</v>
      </c>
      <c r="AB867">
        <f>YEAR(Table1[[#This Row],[Hire Date]])</f>
        <v>2018</v>
      </c>
      <c r="AC867" t="str">
        <f>TEXT(Table1[[#This Row],[Hire Date]],"mmmm")</f>
        <v>اُكتبر</v>
      </c>
      <c r="AD867" t="str">
        <f>IF(Table1[[#This Row],[Resigned]]="yes","former","active")</f>
        <v>active</v>
      </c>
    </row>
    <row r="868" spans="1:30" x14ac:dyDescent="0.3">
      <c r="A868" t="s">
        <v>1801</v>
      </c>
      <c r="B868" t="s">
        <v>1802</v>
      </c>
      <c r="C868" t="s">
        <v>39</v>
      </c>
      <c r="D868">
        <v>47</v>
      </c>
      <c r="E868" t="s">
        <v>73</v>
      </c>
      <c r="F868" t="s">
        <v>127</v>
      </c>
      <c r="G868" t="s">
        <v>58</v>
      </c>
      <c r="H868" t="s">
        <v>31</v>
      </c>
      <c r="I868" t="s">
        <v>81</v>
      </c>
      <c r="J868" s="1">
        <v>43979</v>
      </c>
      <c r="K868">
        <v>6</v>
      </c>
      <c r="L868">
        <v>42148499</v>
      </c>
      <c r="M868">
        <v>4543646</v>
      </c>
      <c r="N868" t="s">
        <v>33</v>
      </c>
      <c r="O868">
        <v>5</v>
      </c>
      <c r="P868">
        <v>18</v>
      </c>
      <c r="Q868">
        <v>3</v>
      </c>
      <c r="R868">
        <v>2</v>
      </c>
      <c r="S868">
        <v>14</v>
      </c>
      <c r="T868" t="s">
        <v>33</v>
      </c>
      <c r="U868" t="s">
        <v>34</v>
      </c>
      <c r="V868" t="s">
        <v>44</v>
      </c>
      <c r="W868" t="s">
        <v>33</v>
      </c>
      <c r="X868" t="s">
        <v>36</v>
      </c>
      <c r="Z868" t="str">
        <f>IF(Table1[[#This Row],[Age]]&lt;30,"20-29",IF(Table1[[#This Row],[Age]]&lt;40,"30-39",IF(Table1[[#This Row],[Age]]&lt;50,"40-49","50+")))</f>
        <v>40-49</v>
      </c>
      <c r="AA868" t="str">
        <f>IF(Table1[[#This Row],[Salary]]&lt;20000000,"low",IF(Table1[[#This Row],[Salary]]&lt;40000000,"medium","high"))</f>
        <v>high</v>
      </c>
      <c r="AB868">
        <f>YEAR(Table1[[#This Row],[Hire Date]])</f>
        <v>2020</v>
      </c>
      <c r="AC868" t="str">
        <f>TEXT(Table1[[#This Row],[Hire Date]],"mmmm")</f>
        <v>مه</v>
      </c>
      <c r="AD868" t="str">
        <f>IF(Table1[[#This Row],[Resigned]]="yes","former","active")</f>
        <v>active</v>
      </c>
    </row>
    <row r="869" spans="1:30" x14ac:dyDescent="0.3">
      <c r="A869" t="s">
        <v>1803</v>
      </c>
      <c r="B869" t="s">
        <v>1804</v>
      </c>
      <c r="C869" t="s">
        <v>27</v>
      </c>
      <c r="D869">
        <v>49</v>
      </c>
      <c r="E869" t="s">
        <v>28</v>
      </c>
      <c r="F869" t="s">
        <v>80</v>
      </c>
      <c r="G869" t="s">
        <v>49</v>
      </c>
      <c r="H869" t="s">
        <v>31</v>
      </c>
      <c r="I869" t="s">
        <v>32</v>
      </c>
      <c r="J869" s="1">
        <v>42392</v>
      </c>
      <c r="K869">
        <v>10</v>
      </c>
      <c r="L869">
        <v>36194609</v>
      </c>
      <c r="M869">
        <v>894923</v>
      </c>
      <c r="N869" t="s">
        <v>34</v>
      </c>
      <c r="O869">
        <v>4.1900000000000004</v>
      </c>
      <c r="P869">
        <v>65</v>
      </c>
      <c r="Q869">
        <v>4</v>
      </c>
      <c r="R869">
        <v>5</v>
      </c>
      <c r="S869">
        <v>15</v>
      </c>
      <c r="T869" t="s">
        <v>34</v>
      </c>
      <c r="U869" t="s">
        <v>34</v>
      </c>
      <c r="V869" t="s">
        <v>59</v>
      </c>
      <c r="W869" t="s">
        <v>34</v>
      </c>
      <c r="X869" t="s">
        <v>52</v>
      </c>
      <c r="Z869" t="str">
        <f>IF(Table1[[#This Row],[Age]]&lt;30,"20-29",IF(Table1[[#This Row],[Age]]&lt;40,"30-39",IF(Table1[[#This Row],[Age]]&lt;50,"40-49","50+")))</f>
        <v>40-49</v>
      </c>
      <c r="AA869" t="str">
        <f>IF(Table1[[#This Row],[Salary]]&lt;20000000,"low",IF(Table1[[#This Row],[Salary]]&lt;40000000,"medium","high"))</f>
        <v>medium</v>
      </c>
      <c r="AB869">
        <f>YEAR(Table1[[#This Row],[Hire Date]])</f>
        <v>2016</v>
      </c>
      <c r="AC869" t="str">
        <f>TEXT(Table1[[#This Row],[Hire Date]],"mmmm")</f>
        <v>ژانويه</v>
      </c>
      <c r="AD869" t="str">
        <f>IF(Table1[[#This Row],[Resigned]]="yes","former","active")</f>
        <v>active</v>
      </c>
    </row>
    <row r="870" spans="1:30" x14ac:dyDescent="0.3">
      <c r="A870" t="s">
        <v>1805</v>
      </c>
      <c r="B870" t="s">
        <v>1806</v>
      </c>
      <c r="C870" t="s">
        <v>39</v>
      </c>
      <c r="D870">
        <v>54</v>
      </c>
      <c r="E870" t="s">
        <v>73</v>
      </c>
      <c r="F870" t="s">
        <v>74</v>
      </c>
      <c r="G870" t="s">
        <v>30</v>
      </c>
      <c r="H870" t="s">
        <v>42</v>
      </c>
      <c r="I870" t="s">
        <v>50</v>
      </c>
      <c r="J870" s="1">
        <v>44399</v>
      </c>
      <c r="K870">
        <v>5</v>
      </c>
      <c r="L870">
        <v>48179711</v>
      </c>
      <c r="M870">
        <v>9837611</v>
      </c>
      <c r="N870" t="s">
        <v>34</v>
      </c>
      <c r="O870">
        <v>4.67</v>
      </c>
      <c r="P870">
        <v>33</v>
      </c>
      <c r="Q870">
        <v>3</v>
      </c>
      <c r="R870">
        <v>3</v>
      </c>
      <c r="S870">
        <v>9</v>
      </c>
      <c r="T870" t="s">
        <v>34</v>
      </c>
      <c r="U870" t="s">
        <v>33</v>
      </c>
      <c r="V870" t="s">
        <v>70</v>
      </c>
      <c r="W870" t="s">
        <v>33</v>
      </c>
      <c r="X870" t="s">
        <v>36</v>
      </c>
      <c r="Y870" t="s">
        <v>60</v>
      </c>
      <c r="Z870" t="str">
        <f>IF(Table1[[#This Row],[Age]]&lt;30,"20-29",IF(Table1[[#This Row],[Age]]&lt;40,"30-39",IF(Table1[[#This Row],[Age]]&lt;50,"40-49","50+")))</f>
        <v>50+</v>
      </c>
      <c r="AA870" t="str">
        <f>IF(Table1[[#This Row],[Salary]]&lt;20000000,"low",IF(Table1[[#This Row],[Salary]]&lt;40000000,"medium","high"))</f>
        <v>high</v>
      </c>
      <c r="AB870">
        <f>YEAR(Table1[[#This Row],[Hire Date]])</f>
        <v>2021</v>
      </c>
      <c r="AC870" t="str">
        <f>TEXT(Table1[[#This Row],[Hire Date]],"mmmm")</f>
        <v>ژوئيه</v>
      </c>
      <c r="AD870" t="str">
        <f>IF(Table1[[#This Row],[Resigned]]="yes","former","active")</f>
        <v>former</v>
      </c>
    </row>
    <row r="871" spans="1:30" x14ac:dyDescent="0.3">
      <c r="A871" t="s">
        <v>1807</v>
      </c>
      <c r="B871" t="s">
        <v>1808</v>
      </c>
      <c r="C871" t="s">
        <v>39</v>
      </c>
      <c r="D871">
        <v>34</v>
      </c>
      <c r="E871" t="s">
        <v>73</v>
      </c>
      <c r="F871" t="s">
        <v>74</v>
      </c>
      <c r="G871" t="s">
        <v>49</v>
      </c>
      <c r="H871" t="s">
        <v>42</v>
      </c>
      <c r="I871" t="s">
        <v>81</v>
      </c>
      <c r="J871" s="1">
        <v>45279</v>
      </c>
      <c r="K871">
        <v>3</v>
      </c>
      <c r="L871">
        <v>52941650</v>
      </c>
      <c r="M871">
        <v>9476735</v>
      </c>
      <c r="N871" t="s">
        <v>33</v>
      </c>
      <c r="O871">
        <v>4.8099999999999996</v>
      </c>
      <c r="P871">
        <v>8</v>
      </c>
      <c r="Q871">
        <v>3</v>
      </c>
      <c r="R871">
        <v>5</v>
      </c>
      <c r="S871">
        <v>11</v>
      </c>
      <c r="T871" t="s">
        <v>34</v>
      </c>
      <c r="U871" t="s">
        <v>34</v>
      </c>
      <c r="V871" t="s">
        <v>44</v>
      </c>
      <c r="W871" t="s">
        <v>33</v>
      </c>
      <c r="X871" t="s">
        <v>36</v>
      </c>
      <c r="Z871" t="str">
        <f>IF(Table1[[#This Row],[Age]]&lt;30,"20-29",IF(Table1[[#This Row],[Age]]&lt;40,"30-39",IF(Table1[[#This Row],[Age]]&lt;50,"40-49","50+")))</f>
        <v>30-39</v>
      </c>
      <c r="AA871" t="str">
        <f>IF(Table1[[#This Row],[Salary]]&lt;20000000,"low",IF(Table1[[#This Row],[Salary]]&lt;40000000,"medium","high"))</f>
        <v>high</v>
      </c>
      <c r="AB871">
        <f>YEAR(Table1[[#This Row],[Hire Date]])</f>
        <v>2023</v>
      </c>
      <c r="AC871" t="str">
        <f>TEXT(Table1[[#This Row],[Hire Date]],"mmmm")</f>
        <v>دسامبر</v>
      </c>
      <c r="AD871" t="str">
        <f>IF(Table1[[#This Row],[Resigned]]="yes","former","active")</f>
        <v>active</v>
      </c>
    </row>
    <row r="872" spans="1:30" x14ac:dyDescent="0.3">
      <c r="A872" t="s">
        <v>1809</v>
      </c>
      <c r="B872" t="s">
        <v>1810</v>
      </c>
      <c r="C872" t="s">
        <v>39</v>
      </c>
      <c r="D872">
        <v>37</v>
      </c>
      <c r="E872" t="s">
        <v>73</v>
      </c>
      <c r="F872" t="s">
        <v>74</v>
      </c>
      <c r="G872" t="s">
        <v>58</v>
      </c>
      <c r="H872" t="s">
        <v>42</v>
      </c>
      <c r="I872" t="s">
        <v>81</v>
      </c>
      <c r="J872" s="1">
        <v>44634</v>
      </c>
      <c r="K872">
        <v>4</v>
      </c>
      <c r="L872">
        <v>41064517</v>
      </c>
      <c r="M872">
        <v>9769465</v>
      </c>
      <c r="N872" t="s">
        <v>33</v>
      </c>
      <c r="O872">
        <v>3.43</v>
      </c>
      <c r="P872">
        <v>46</v>
      </c>
      <c r="Q872">
        <v>4</v>
      </c>
      <c r="R872">
        <v>3</v>
      </c>
      <c r="S872">
        <v>16</v>
      </c>
      <c r="T872" t="s">
        <v>33</v>
      </c>
      <c r="U872" t="s">
        <v>34</v>
      </c>
      <c r="V872" t="s">
        <v>44</v>
      </c>
      <c r="W872" t="s">
        <v>34</v>
      </c>
      <c r="X872" t="s">
        <v>52</v>
      </c>
      <c r="Z872" t="str">
        <f>IF(Table1[[#This Row],[Age]]&lt;30,"20-29",IF(Table1[[#This Row],[Age]]&lt;40,"30-39",IF(Table1[[#This Row],[Age]]&lt;50,"40-49","50+")))</f>
        <v>30-39</v>
      </c>
      <c r="AA872" t="str">
        <f>IF(Table1[[#This Row],[Salary]]&lt;20000000,"low",IF(Table1[[#This Row],[Salary]]&lt;40000000,"medium","high"))</f>
        <v>high</v>
      </c>
      <c r="AB872">
        <f>YEAR(Table1[[#This Row],[Hire Date]])</f>
        <v>2022</v>
      </c>
      <c r="AC872" t="str">
        <f>TEXT(Table1[[#This Row],[Hire Date]],"mmmm")</f>
        <v>مارس</v>
      </c>
      <c r="AD872" t="str">
        <f>IF(Table1[[#This Row],[Resigned]]="yes","former","active")</f>
        <v>active</v>
      </c>
    </row>
    <row r="873" spans="1:30" x14ac:dyDescent="0.3">
      <c r="A873" t="s">
        <v>1811</v>
      </c>
      <c r="B873" t="s">
        <v>1812</v>
      </c>
      <c r="C873" t="s">
        <v>39</v>
      </c>
      <c r="D873">
        <v>56</v>
      </c>
      <c r="E873" t="s">
        <v>56</v>
      </c>
      <c r="F873" t="s">
        <v>84</v>
      </c>
      <c r="G873" t="s">
        <v>30</v>
      </c>
      <c r="H873" t="s">
        <v>31</v>
      </c>
      <c r="I873" t="s">
        <v>32</v>
      </c>
      <c r="J873" s="1">
        <v>42609</v>
      </c>
      <c r="K873">
        <v>10</v>
      </c>
      <c r="L873">
        <v>17672629</v>
      </c>
      <c r="M873">
        <v>5910190</v>
      </c>
      <c r="N873" t="s">
        <v>33</v>
      </c>
      <c r="O873">
        <v>2.87</v>
      </c>
      <c r="P873">
        <v>25</v>
      </c>
      <c r="Q873">
        <v>1</v>
      </c>
      <c r="R873">
        <v>5</v>
      </c>
      <c r="S873">
        <v>4</v>
      </c>
      <c r="T873" t="s">
        <v>34</v>
      </c>
      <c r="U873" t="s">
        <v>34</v>
      </c>
      <c r="V873" t="s">
        <v>70</v>
      </c>
      <c r="W873" t="s">
        <v>33</v>
      </c>
      <c r="X873" t="s">
        <v>36</v>
      </c>
      <c r="Z873" t="str">
        <f>IF(Table1[[#This Row],[Age]]&lt;30,"20-29",IF(Table1[[#This Row],[Age]]&lt;40,"30-39",IF(Table1[[#This Row],[Age]]&lt;50,"40-49","50+")))</f>
        <v>50+</v>
      </c>
      <c r="AA873" t="str">
        <f>IF(Table1[[#This Row],[Salary]]&lt;20000000,"low",IF(Table1[[#This Row],[Salary]]&lt;40000000,"medium","high"))</f>
        <v>low</v>
      </c>
      <c r="AB873">
        <f>YEAR(Table1[[#This Row],[Hire Date]])</f>
        <v>2016</v>
      </c>
      <c r="AC873" t="str">
        <f>TEXT(Table1[[#This Row],[Hire Date]],"mmmm")</f>
        <v>اوت</v>
      </c>
      <c r="AD873" t="str">
        <f>IF(Table1[[#This Row],[Resigned]]="yes","former","active")</f>
        <v>active</v>
      </c>
    </row>
    <row r="874" spans="1:30" x14ac:dyDescent="0.3">
      <c r="A874" t="s">
        <v>1813</v>
      </c>
      <c r="B874" t="s">
        <v>1814</v>
      </c>
      <c r="C874" t="s">
        <v>39</v>
      </c>
      <c r="D874">
        <v>43</v>
      </c>
      <c r="E874" t="s">
        <v>28</v>
      </c>
      <c r="F874" t="s">
        <v>80</v>
      </c>
      <c r="G874" t="s">
        <v>58</v>
      </c>
      <c r="H874" t="s">
        <v>31</v>
      </c>
      <c r="I874" t="s">
        <v>65</v>
      </c>
      <c r="J874" s="1">
        <v>42456</v>
      </c>
      <c r="K874">
        <v>10</v>
      </c>
      <c r="L874">
        <v>31455054</v>
      </c>
      <c r="M874">
        <v>5040805</v>
      </c>
      <c r="N874" t="s">
        <v>33</v>
      </c>
      <c r="O874">
        <v>4.51</v>
      </c>
      <c r="P874">
        <v>11</v>
      </c>
      <c r="Q874">
        <v>1</v>
      </c>
      <c r="R874">
        <v>5</v>
      </c>
      <c r="S874">
        <v>11</v>
      </c>
      <c r="T874" t="s">
        <v>33</v>
      </c>
      <c r="U874" t="s">
        <v>34</v>
      </c>
      <c r="V874" t="s">
        <v>35</v>
      </c>
      <c r="W874" t="s">
        <v>34</v>
      </c>
      <c r="X874" t="s">
        <v>52</v>
      </c>
      <c r="Z874" t="str">
        <f>IF(Table1[[#This Row],[Age]]&lt;30,"20-29",IF(Table1[[#This Row],[Age]]&lt;40,"30-39",IF(Table1[[#This Row],[Age]]&lt;50,"40-49","50+")))</f>
        <v>40-49</v>
      </c>
      <c r="AA874" t="str">
        <f>IF(Table1[[#This Row],[Salary]]&lt;20000000,"low",IF(Table1[[#This Row],[Salary]]&lt;40000000,"medium","high"))</f>
        <v>medium</v>
      </c>
      <c r="AB874">
        <f>YEAR(Table1[[#This Row],[Hire Date]])</f>
        <v>2016</v>
      </c>
      <c r="AC874" t="str">
        <f>TEXT(Table1[[#This Row],[Hire Date]],"mmmm")</f>
        <v>مارس</v>
      </c>
      <c r="AD874" t="str">
        <f>IF(Table1[[#This Row],[Resigned]]="yes","former","active")</f>
        <v>active</v>
      </c>
    </row>
    <row r="875" spans="1:30" x14ac:dyDescent="0.3">
      <c r="A875" t="s">
        <v>1815</v>
      </c>
      <c r="B875" t="s">
        <v>1816</v>
      </c>
      <c r="C875" t="s">
        <v>27</v>
      </c>
      <c r="D875">
        <v>25</v>
      </c>
      <c r="E875" t="s">
        <v>110</v>
      </c>
      <c r="F875" t="s">
        <v>120</v>
      </c>
      <c r="G875" t="s">
        <v>30</v>
      </c>
      <c r="H875" t="s">
        <v>42</v>
      </c>
      <c r="I875" t="s">
        <v>43</v>
      </c>
      <c r="J875" s="1">
        <v>43589</v>
      </c>
      <c r="K875">
        <v>7</v>
      </c>
      <c r="L875">
        <v>19678119</v>
      </c>
      <c r="M875">
        <v>9652649</v>
      </c>
      <c r="N875" t="s">
        <v>33</v>
      </c>
      <c r="O875">
        <v>4.53</v>
      </c>
      <c r="P875">
        <v>74</v>
      </c>
      <c r="Q875">
        <v>3</v>
      </c>
      <c r="R875">
        <v>2</v>
      </c>
      <c r="S875">
        <v>3</v>
      </c>
      <c r="T875" t="s">
        <v>33</v>
      </c>
      <c r="U875" t="s">
        <v>34</v>
      </c>
      <c r="V875" t="s">
        <v>35</v>
      </c>
      <c r="W875" t="s">
        <v>34</v>
      </c>
      <c r="X875" t="s">
        <v>36</v>
      </c>
      <c r="Z875" t="str">
        <f>IF(Table1[[#This Row],[Age]]&lt;30,"20-29",IF(Table1[[#This Row],[Age]]&lt;40,"30-39",IF(Table1[[#This Row],[Age]]&lt;50,"40-49","50+")))</f>
        <v>20-29</v>
      </c>
      <c r="AA875" t="str">
        <f>IF(Table1[[#This Row],[Salary]]&lt;20000000,"low",IF(Table1[[#This Row],[Salary]]&lt;40000000,"medium","high"))</f>
        <v>low</v>
      </c>
      <c r="AB875">
        <f>YEAR(Table1[[#This Row],[Hire Date]])</f>
        <v>2019</v>
      </c>
      <c r="AC875" t="str">
        <f>TEXT(Table1[[#This Row],[Hire Date]],"mmmm")</f>
        <v>مه</v>
      </c>
      <c r="AD875" t="str">
        <f>IF(Table1[[#This Row],[Resigned]]="yes","former","active")</f>
        <v>active</v>
      </c>
    </row>
    <row r="876" spans="1:30" x14ac:dyDescent="0.3">
      <c r="A876" t="s">
        <v>1817</v>
      </c>
      <c r="B876" t="s">
        <v>1818</v>
      </c>
      <c r="C876" t="s">
        <v>39</v>
      </c>
      <c r="D876">
        <v>40</v>
      </c>
      <c r="E876" t="s">
        <v>56</v>
      </c>
      <c r="F876" t="s">
        <v>84</v>
      </c>
      <c r="G876" t="s">
        <v>58</v>
      </c>
      <c r="H876" t="s">
        <v>31</v>
      </c>
      <c r="I876" t="s">
        <v>65</v>
      </c>
      <c r="J876" s="1">
        <v>43887</v>
      </c>
      <c r="K876">
        <v>6</v>
      </c>
      <c r="L876">
        <v>40401294</v>
      </c>
      <c r="M876">
        <v>8891568</v>
      </c>
      <c r="N876" t="s">
        <v>33</v>
      </c>
      <c r="O876">
        <v>3.62</v>
      </c>
      <c r="P876">
        <v>66</v>
      </c>
      <c r="Q876">
        <v>1</v>
      </c>
      <c r="R876">
        <v>1</v>
      </c>
      <c r="S876">
        <v>4</v>
      </c>
      <c r="T876" t="s">
        <v>33</v>
      </c>
      <c r="U876" t="s">
        <v>34</v>
      </c>
      <c r="V876" t="s">
        <v>35</v>
      </c>
      <c r="W876" t="s">
        <v>34</v>
      </c>
      <c r="X876" t="s">
        <v>36</v>
      </c>
      <c r="Z876" t="str">
        <f>IF(Table1[[#This Row],[Age]]&lt;30,"20-29",IF(Table1[[#This Row],[Age]]&lt;40,"30-39",IF(Table1[[#This Row],[Age]]&lt;50,"40-49","50+")))</f>
        <v>40-49</v>
      </c>
      <c r="AA876" t="str">
        <f>IF(Table1[[#This Row],[Salary]]&lt;20000000,"low",IF(Table1[[#This Row],[Salary]]&lt;40000000,"medium","high"))</f>
        <v>high</v>
      </c>
      <c r="AB876">
        <f>YEAR(Table1[[#This Row],[Hire Date]])</f>
        <v>2020</v>
      </c>
      <c r="AC876" t="str">
        <f>TEXT(Table1[[#This Row],[Hire Date]],"mmmm")</f>
        <v>فوريه</v>
      </c>
      <c r="AD876" t="str">
        <f>IF(Table1[[#This Row],[Resigned]]="yes","former","active")</f>
        <v>active</v>
      </c>
    </row>
    <row r="877" spans="1:30" x14ac:dyDescent="0.3">
      <c r="A877" t="s">
        <v>1819</v>
      </c>
      <c r="B877" t="s">
        <v>1820</v>
      </c>
      <c r="C877" t="s">
        <v>39</v>
      </c>
      <c r="D877">
        <v>43</v>
      </c>
      <c r="E877" t="s">
        <v>56</v>
      </c>
      <c r="F877" t="s">
        <v>57</v>
      </c>
      <c r="G877" t="s">
        <v>30</v>
      </c>
      <c r="H877" t="s">
        <v>31</v>
      </c>
      <c r="I877" t="s">
        <v>32</v>
      </c>
      <c r="J877" s="1">
        <v>43385</v>
      </c>
      <c r="K877">
        <v>8</v>
      </c>
      <c r="L877">
        <v>35637056</v>
      </c>
      <c r="M877">
        <v>6278418</v>
      </c>
      <c r="N877" t="s">
        <v>34</v>
      </c>
      <c r="O877">
        <v>4.7</v>
      </c>
      <c r="P877">
        <v>2</v>
      </c>
      <c r="Q877">
        <v>4</v>
      </c>
      <c r="R877">
        <v>4</v>
      </c>
      <c r="S877">
        <v>3</v>
      </c>
      <c r="T877" t="s">
        <v>34</v>
      </c>
      <c r="U877" t="s">
        <v>34</v>
      </c>
      <c r="V877" t="s">
        <v>59</v>
      </c>
      <c r="W877" t="s">
        <v>33</v>
      </c>
      <c r="X877" t="s">
        <v>36</v>
      </c>
      <c r="Z877" t="str">
        <f>IF(Table1[[#This Row],[Age]]&lt;30,"20-29",IF(Table1[[#This Row],[Age]]&lt;40,"30-39",IF(Table1[[#This Row],[Age]]&lt;50,"40-49","50+")))</f>
        <v>40-49</v>
      </c>
      <c r="AA877" t="str">
        <f>IF(Table1[[#This Row],[Salary]]&lt;20000000,"low",IF(Table1[[#This Row],[Salary]]&lt;40000000,"medium","high"))</f>
        <v>medium</v>
      </c>
      <c r="AB877">
        <f>YEAR(Table1[[#This Row],[Hire Date]])</f>
        <v>2018</v>
      </c>
      <c r="AC877" t="str">
        <f>TEXT(Table1[[#This Row],[Hire Date]],"mmmm")</f>
        <v>اُكتبر</v>
      </c>
      <c r="AD877" t="str">
        <f>IF(Table1[[#This Row],[Resigned]]="yes","former","active")</f>
        <v>active</v>
      </c>
    </row>
    <row r="878" spans="1:30" x14ac:dyDescent="0.3">
      <c r="A878" t="s">
        <v>1821</v>
      </c>
      <c r="B878" t="s">
        <v>1822</v>
      </c>
      <c r="C878" t="s">
        <v>39</v>
      </c>
      <c r="D878">
        <v>41</v>
      </c>
      <c r="E878" t="s">
        <v>110</v>
      </c>
      <c r="F878" t="s">
        <v>111</v>
      </c>
      <c r="G878" t="s">
        <v>49</v>
      </c>
      <c r="H878" t="s">
        <v>42</v>
      </c>
      <c r="I878" t="s">
        <v>32</v>
      </c>
      <c r="J878" s="1">
        <v>45538</v>
      </c>
      <c r="K878">
        <v>2</v>
      </c>
      <c r="L878">
        <v>49351168</v>
      </c>
      <c r="M878">
        <v>910274</v>
      </c>
      <c r="N878" t="s">
        <v>34</v>
      </c>
      <c r="O878">
        <v>4.1100000000000003</v>
      </c>
      <c r="P878">
        <v>53</v>
      </c>
      <c r="Q878">
        <v>5</v>
      </c>
      <c r="R878">
        <v>3</v>
      </c>
      <c r="S878">
        <v>10</v>
      </c>
      <c r="T878" t="s">
        <v>33</v>
      </c>
      <c r="U878" t="s">
        <v>34</v>
      </c>
      <c r="V878" t="s">
        <v>44</v>
      </c>
      <c r="W878" t="s">
        <v>34</v>
      </c>
      <c r="X878" t="s">
        <v>45</v>
      </c>
      <c r="Z878" t="str">
        <f>IF(Table1[[#This Row],[Age]]&lt;30,"20-29",IF(Table1[[#This Row],[Age]]&lt;40,"30-39",IF(Table1[[#This Row],[Age]]&lt;50,"40-49","50+")))</f>
        <v>40-49</v>
      </c>
      <c r="AA878" t="str">
        <f>IF(Table1[[#This Row],[Salary]]&lt;20000000,"low",IF(Table1[[#This Row],[Salary]]&lt;40000000,"medium","high"))</f>
        <v>high</v>
      </c>
      <c r="AB878">
        <f>YEAR(Table1[[#This Row],[Hire Date]])</f>
        <v>2024</v>
      </c>
      <c r="AC878" t="str">
        <f>TEXT(Table1[[#This Row],[Hire Date]],"mmmm")</f>
        <v>سپتامبر</v>
      </c>
      <c r="AD878" t="str">
        <f>IF(Table1[[#This Row],[Resigned]]="yes","former","active")</f>
        <v>active</v>
      </c>
    </row>
    <row r="879" spans="1:30" x14ac:dyDescent="0.3">
      <c r="A879" t="s">
        <v>1823</v>
      </c>
      <c r="B879" t="s">
        <v>1824</v>
      </c>
      <c r="C879" t="s">
        <v>39</v>
      </c>
      <c r="D879">
        <v>49</v>
      </c>
      <c r="E879" t="s">
        <v>40</v>
      </c>
      <c r="F879" t="s">
        <v>48</v>
      </c>
      <c r="G879" t="s">
        <v>49</v>
      </c>
      <c r="H879" t="s">
        <v>42</v>
      </c>
      <c r="I879" t="s">
        <v>65</v>
      </c>
      <c r="J879" s="1">
        <v>44873</v>
      </c>
      <c r="K879">
        <v>4</v>
      </c>
      <c r="L879">
        <v>34769879</v>
      </c>
      <c r="M879">
        <v>9313502</v>
      </c>
      <c r="N879" t="s">
        <v>33</v>
      </c>
      <c r="O879">
        <v>4.75</v>
      </c>
      <c r="P879">
        <v>2</v>
      </c>
      <c r="Q879">
        <v>4</v>
      </c>
      <c r="R879">
        <v>1</v>
      </c>
      <c r="S879">
        <v>3</v>
      </c>
      <c r="T879" t="s">
        <v>34</v>
      </c>
      <c r="U879" t="s">
        <v>34</v>
      </c>
      <c r="V879" t="s">
        <v>44</v>
      </c>
      <c r="W879" t="s">
        <v>34</v>
      </c>
      <c r="X879" t="s">
        <v>36</v>
      </c>
      <c r="Z879" t="str">
        <f>IF(Table1[[#This Row],[Age]]&lt;30,"20-29",IF(Table1[[#This Row],[Age]]&lt;40,"30-39",IF(Table1[[#This Row],[Age]]&lt;50,"40-49","50+")))</f>
        <v>40-49</v>
      </c>
      <c r="AA879" t="str">
        <f>IF(Table1[[#This Row],[Salary]]&lt;20000000,"low",IF(Table1[[#This Row],[Salary]]&lt;40000000,"medium","high"))</f>
        <v>medium</v>
      </c>
      <c r="AB879">
        <f>YEAR(Table1[[#This Row],[Hire Date]])</f>
        <v>2022</v>
      </c>
      <c r="AC879" t="str">
        <f>TEXT(Table1[[#This Row],[Hire Date]],"mmmm")</f>
        <v>نوامبر</v>
      </c>
      <c r="AD879" t="str">
        <f>IF(Table1[[#This Row],[Resigned]]="yes","former","active")</f>
        <v>active</v>
      </c>
    </row>
    <row r="880" spans="1:30" x14ac:dyDescent="0.3">
      <c r="A880" t="s">
        <v>1825</v>
      </c>
      <c r="B880" t="s">
        <v>1826</v>
      </c>
      <c r="C880" t="s">
        <v>27</v>
      </c>
      <c r="D880">
        <v>43</v>
      </c>
      <c r="E880" t="s">
        <v>73</v>
      </c>
      <c r="F880" t="s">
        <v>74</v>
      </c>
      <c r="G880" t="s">
        <v>30</v>
      </c>
      <c r="H880" t="s">
        <v>42</v>
      </c>
      <c r="I880" t="s">
        <v>32</v>
      </c>
      <c r="J880" s="1">
        <v>45838</v>
      </c>
      <c r="K880">
        <v>1</v>
      </c>
      <c r="L880">
        <v>21034186</v>
      </c>
      <c r="M880">
        <v>9443168</v>
      </c>
      <c r="N880" t="s">
        <v>34</v>
      </c>
      <c r="O880">
        <v>3.18</v>
      </c>
      <c r="P880">
        <v>67</v>
      </c>
      <c r="Q880">
        <v>5</v>
      </c>
      <c r="R880">
        <v>2</v>
      </c>
      <c r="S880">
        <v>4</v>
      </c>
      <c r="T880" t="s">
        <v>33</v>
      </c>
      <c r="U880" t="s">
        <v>34</v>
      </c>
      <c r="V880" t="s">
        <v>59</v>
      </c>
      <c r="W880" t="s">
        <v>33</v>
      </c>
      <c r="X880" t="s">
        <v>52</v>
      </c>
      <c r="Z880" t="str">
        <f>IF(Table1[[#This Row],[Age]]&lt;30,"20-29",IF(Table1[[#This Row],[Age]]&lt;40,"30-39",IF(Table1[[#This Row],[Age]]&lt;50,"40-49","50+")))</f>
        <v>40-49</v>
      </c>
      <c r="AA880" t="str">
        <f>IF(Table1[[#This Row],[Salary]]&lt;20000000,"low",IF(Table1[[#This Row],[Salary]]&lt;40000000,"medium","high"))</f>
        <v>medium</v>
      </c>
      <c r="AB880">
        <f>YEAR(Table1[[#This Row],[Hire Date]])</f>
        <v>2025</v>
      </c>
      <c r="AC880" t="str">
        <f>TEXT(Table1[[#This Row],[Hire Date]],"mmmm")</f>
        <v>ژوئن</v>
      </c>
      <c r="AD880" t="str">
        <f>IF(Table1[[#This Row],[Resigned]]="yes","former","active")</f>
        <v>active</v>
      </c>
    </row>
    <row r="881" spans="1:30" x14ac:dyDescent="0.3">
      <c r="A881" t="s">
        <v>1827</v>
      </c>
      <c r="B881" t="s">
        <v>1828</v>
      </c>
      <c r="C881" t="s">
        <v>39</v>
      </c>
      <c r="D881">
        <v>58</v>
      </c>
      <c r="E881" t="s">
        <v>73</v>
      </c>
      <c r="F881" t="s">
        <v>127</v>
      </c>
      <c r="G881" t="s">
        <v>30</v>
      </c>
      <c r="H881" t="s">
        <v>31</v>
      </c>
      <c r="I881" t="s">
        <v>32</v>
      </c>
      <c r="J881" s="1">
        <v>44273</v>
      </c>
      <c r="K881">
        <v>5</v>
      </c>
      <c r="L881">
        <v>12161809</v>
      </c>
      <c r="M881">
        <v>7738498</v>
      </c>
      <c r="N881" t="s">
        <v>34</v>
      </c>
      <c r="O881">
        <v>3.59</v>
      </c>
      <c r="P881">
        <v>45</v>
      </c>
      <c r="Q881">
        <v>5</v>
      </c>
      <c r="R881">
        <v>2</v>
      </c>
      <c r="S881">
        <v>4</v>
      </c>
      <c r="T881" t="s">
        <v>33</v>
      </c>
      <c r="U881" t="s">
        <v>34</v>
      </c>
      <c r="V881" t="s">
        <v>35</v>
      </c>
      <c r="W881" t="s">
        <v>34</v>
      </c>
      <c r="X881" t="s">
        <v>36</v>
      </c>
      <c r="Z881" t="str">
        <f>IF(Table1[[#This Row],[Age]]&lt;30,"20-29",IF(Table1[[#This Row],[Age]]&lt;40,"30-39",IF(Table1[[#This Row],[Age]]&lt;50,"40-49","50+")))</f>
        <v>50+</v>
      </c>
      <c r="AA881" t="str">
        <f>IF(Table1[[#This Row],[Salary]]&lt;20000000,"low",IF(Table1[[#This Row],[Salary]]&lt;40000000,"medium","high"))</f>
        <v>low</v>
      </c>
      <c r="AB881">
        <f>YEAR(Table1[[#This Row],[Hire Date]])</f>
        <v>2021</v>
      </c>
      <c r="AC881" t="str">
        <f>TEXT(Table1[[#This Row],[Hire Date]],"mmmm")</f>
        <v>مارس</v>
      </c>
      <c r="AD881" t="str">
        <f>IF(Table1[[#This Row],[Resigned]]="yes","former","active")</f>
        <v>active</v>
      </c>
    </row>
    <row r="882" spans="1:30" x14ac:dyDescent="0.3">
      <c r="A882" t="s">
        <v>1829</v>
      </c>
      <c r="B882" t="s">
        <v>1830</v>
      </c>
      <c r="C882" t="s">
        <v>39</v>
      </c>
      <c r="D882">
        <v>49</v>
      </c>
      <c r="E882" t="s">
        <v>63</v>
      </c>
      <c r="F882" t="s">
        <v>64</v>
      </c>
      <c r="G882" t="s">
        <v>30</v>
      </c>
      <c r="H882" t="s">
        <v>31</v>
      </c>
      <c r="I882" t="s">
        <v>65</v>
      </c>
      <c r="J882" s="1">
        <v>44373</v>
      </c>
      <c r="K882">
        <v>5</v>
      </c>
      <c r="L882">
        <v>22816739</v>
      </c>
      <c r="M882">
        <v>1068690</v>
      </c>
      <c r="N882" t="s">
        <v>33</v>
      </c>
      <c r="O882">
        <v>4.95</v>
      </c>
      <c r="P882">
        <v>31</v>
      </c>
      <c r="Q882">
        <v>3</v>
      </c>
      <c r="R882">
        <v>2</v>
      </c>
      <c r="S882">
        <v>12</v>
      </c>
      <c r="T882" t="s">
        <v>33</v>
      </c>
      <c r="U882" t="s">
        <v>33</v>
      </c>
      <c r="V882" t="s">
        <v>51</v>
      </c>
      <c r="W882" t="s">
        <v>33</v>
      </c>
      <c r="X882" t="s">
        <v>52</v>
      </c>
      <c r="Y882" t="s">
        <v>75</v>
      </c>
      <c r="Z882" t="str">
        <f>IF(Table1[[#This Row],[Age]]&lt;30,"20-29",IF(Table1[[#This Row],[Age]]&lt;40,"30-39",IF(Table1[[#This Row],[Age]]&lt;50,"40-49","50+")))</f>
        <v>40-49</v>
      </c>
      <c r="AA882" t="str">
        <f>IF(Table1[[#This Row],[Salary]]&lt;20000000,"low",IF(Table1[[#This Row],[Salary]]&lt;40000000,"medium","high"))</f>
        <v>medium</v>
      </c>
      <c r="AB882">
        <f>YEAR(Table1[[#This Row],[Hire Date]])</f>
        <v>2021</v>
      </c>
      <c r="AC882" t="str">
        <f>TEXT(Table1[[#This Row],[Hire Date]],"mmmm")</f>
        <v>ژوئن</v>
      </c>
      <c r="AD882" t="str">
        <f>IF(Table1[[#This Row],[Resigned]]="yes","former","active")</f>
        <v>former</v>
      </c>
    </row>
    <row r="883" spans="1:30" x14ac:dyDescent="0.3">
      <c r="A883" t="s">
        <v>1831</v>
      </c>
      <c r="B883" t="s">
        <v>1832</v>
      </c>
      <c r="C883" t="s">
        <v>27</v>
      </c>
      <c r="D883">
        <v>49</v>
      </c>
      <c r="E883" t="s">
        <v>40</v>
      </c>
      <c r="F883" t="s">
        <v>41</v>
      </c>
      <c r="G883" t="s">
        <v>30</v>
      </c>
      <c r="H883" t="s">
        <v>42</v>
      </c>
      <c r="I883" t="s">
        <v>50</v>
      </c>
      <c r="J883" s="1">
        <v>43659</v>
      </c>
      <c r="K883">
        <v>7</v>
      </c>
      <c r="L883">
        <v>53328159</v>
      </c>
      <c r="M883">
        <v>5399411</v>
      </c>
      <c r="N883" t="s">
        <v>34</v>
      </c>
      <c r="O883">
        <v>4.4000000000000004</v>
      </c>
      <c r="P883">
        <v>47</v>
      </c>
      <c r="Q883">
        <v>3</v>
      </c>
      <c r="R883">
        <v>3</v>
      </c>
      <c r="S883">
        <v>7</v>
      </c>
      <c r="T883" t="s">
        <v>34</v>
      </c>
      <c r="U883" t="s">
        <v>34</v>
      </c>
      <c r="V883" t="s">
        <v>70</v>
      </c>
      <c r="W883" t="s">
        <v>33</v>
      </c>
      <c r="X883" t="s">
        <v>36</v>
      </c>
      <c r="Z883" t="str">
        <f>IF(Table1[[#This Row],[Age]]&lt;30,"20-29",IF(Table1[[#This Row],[Age]]&lt;40,"30-39",IF(Table1[[#This Row],[Age]]&lt;50,"40-49","50+")))</f>
        <v>40-49</v>
      </c>
      <c r="AA883" t="str">
        <f>IF(Table1[[#This Row],[Salary]]&lt;20000000,"low",IF(Table1[[#This Row],[Salary]]&lt;40000000,"medium","high"))</f>
        <v>high</v>
      </c>
      <c r="AB883">
        <f>YEAR(Table1[[#This Row],[Hire Date]])</f>
        <v>2019</v>
      </c>
      <c r="AC883" t="str">
        <f>TEXT(Table1[[#This Row],[Hire Date]],"mmmm")</f>
        <v>ژوئيه</v>
      </c>
      <c r="AD883" t="str">
        <f>IF(Table1[[#This Row],[Resigned]]="yes","former","active")</f>
        <v>active</v>
      </c>
    </row>
    <row r="884" spans="1:30" x14ac:dyDescent="0.3">
      <c r="A884" t="s">
        <v>1833</v>
      </c>
      <c r="B884" t="s">
        <v>1834</v>
      </c>
      <c r="C884" t="s">
        <v>27</v>
      </c>
      <c r="D884">
        <v>44</v>
      </c>
      <c r="E884" t="s">
        <v>73</v>
      </c>
      <c r="F884" t="s">
        <v>127</v>
      </c>
      <c r="G884" t="s">
        <v>58</v>
      </c>
      <c r="H884" t="s">
        <v>42</v>
      </c>
      <c r="I884" t="s">
        <v>43</v>
      </c>
      <c r="J884" s="1">
        <v>44606</v>
      </c>
      <c r="K884">
        <v>4</v>
      </c>
      <c r="L884">
        <v>34274569</v>
      </c>
      <c r="M884">
        <v>8080286</v>
      </c>
      <c r="N884" t="s">
        <v>33</v>
      </c>
      <c r="O884">
        <v>3.99</v>
      </c>
      <c r="P884">
        <v>63</v>
      </c>
      <c r="Q884">
        <v>2</v>
      </c>
      <c r="R884">
        <v>3</v>
      </c>
      <c r="S884">
        <v>9</v>
      </c>
      <c r="T884" t="s">
        <v>33</v>
      </c>
      <c r="U884" t="s">
        <v>33</v>
      </c>
      <c r="V884" t="s">
        <v>44</v>
      </c>
      <c r="W884" t="s">
        <v>33</v>
      </c>
      <c r="X884" t="s">
        <v>45</v>
      </c>
      <c r="Y884" t="s">
        <v>75</v>
      </c>
      <c r="Z884" t="str">
        <f>IF(Table1[[#This Row],[Age]]&lt;30,"20-29",IF(Table1[[#This Row],[Age]]&lt;40,"30-39",IF(Table1[[#This Row],[Age]]&lt;50,"40-49","50+")))</f>
        <v>40-49</v>
      </c>
      <c r="AA884" t="str">
        <f>IF(Table1[[#This Row],[Salary]]&lt;20000000,"low",IF(Table1[[#This Row],[Salary]]&lt;40000000,"medium","high"))</f>
        <v>medium</v>
      </c>
      <c r="AB884">
        <f>YEAR(Table1[[#This Row],[Hire Date]])</f>
        <v>2022</v>
      </c>
      <c r="AC884" t="str">
        <f>TEXT(Table1[[#This Row],[Hire Date]],"mmmm")</f>
        <v>فوريه</v>
      </c>
      <c r="AD884" t="str">
        <f>IF(Table1[[#This Row],[Resigned]]="yes","former","active")</f>
        <v>former</v>
      </c>
    </row>
    <row r="885" spans="1:30" x14ac:dyDescent="0.3">
      <c r="A885" t="s">
        <v>1835</v>
      </c>
      <c r="B885" t="s">
        <v>1836</v>
      </c>
      <c r="C885" t="s">
        <v>39</v>
      </c>
      <c r="D885">
        <v>26</v>
      </c>
      <c r="E885" t="s">
        <v>40</v>
      </c>
      <c r="F885" t="s">
        <v>48</v>
      </c>
      <c r="G885" t="s">
        <v>58</v>
      </c>
      <c r="H885" t="s">
        <v>31</v>
      </c>
      <c r="I885" t="s">
        <v>81</v>
      </c>
      <c r="J885" s="1">
        <v>44471</v>
      </c>
      <c r="K885">
        <v>5</v>
      </c>
      <c r="L885">
        <v>26579635</v>
      </c>
      <c r="M885">
        <v>5792323</v>
      </c>
      <c r="N885" t="s">
        <v>34</v>
      </c>
      <c r="O885">
        <v>3.11</v>
      </c>
      <c r="P885">
        <v>45</v>
      </c>
      <c r="Q885">
        <v>3</v>
      </c>
      <c r="R885">
        <v>4</v>
      </c>
      <c r="S885">
        <v>4</v>
      </c>
      <c r="T885" t="s">
        <v>33</v>
      </c>
      <c r="U885" t="s">
        <v>34</v>
      </c>
      <c r="V885" t="s">
        <v>35</v>
      </c>
      <c r="W885" t="s">
        <v>33</v>
      </c>
      <c r="X885" t="s">
        <v>52</v>
      </c>
      <c r="Z885" t="str">
        <f>IF(Table1[[#This Row],[Age]]&lt;30,"20-29",IF(Table1[[#This Row],[Age]]&lt;40,"30-39",IF(Table1[[#This Row],[Age]]&lt;50,"40-49","50+")))</f>
        <v>20-29</v>
      </c>
      <c r="AA885" t="str">
        <f>IF(Table1[[#This Row],[Salary]]&lt;20000000,"low",IF(Table1[[#This Row],[Salary]]&lt;40000000,"medium","high"))</f>
        <v>medium</v>
      </c>
      <c r="AB885">
        <f>YEAR(Table1[[#This Row],[Hire Date]])</f>
        <v>2021</v>
      </c>
      <c r="AC885" t="str">
        <f>TEXT(Table1[[#This Row],[Hire Date]],"mmmm")</f>
        <v>اُكتبر</v>
      </c>
      <c r="AD885" t="str">
        <f>IF(Table1[[#This Row],[Resigned]]="yes","former","active")</f>
        <v>active</v>
      </c>
    </row>
    <row r="886" spans="1:30" x14ac:dyDescent="0.3">
      <c r="A886" t="s">
        <v>1837</v>
      </c>
      <c r="B886" t="s">
        <v>1838</v>
      </c>
      <c r="C886" t="s">
        <v>39</v>
      </c>
      <c r="D886">
        <v>54</v>
      </c>
      <c r="E886" t="s">
        <v>28</v>
      </c>
      <c r="F886" t="s">
        <v>29</v>
      </c>
      <c r="G886" t="s">
        <v>58</v>
      </c>
      <c r="H886" t="s">
        <v>42</v>
      </c>
      <c r="I886" t="s">
        <v>43</v>
      </c>
      <c r="J886" s="1">
        <v>42704</v>
      </c>
      <c r="K886">
        <v>10</v>
      </c>
      <c r="L886">
        <v>34931132</v>
      </c>
      <c r="M886">
        <v>7021948</v>
      </c>
      <c r="N886" t="s">
        <v>34</v>
      </c>
      <c r="O886">
        <v>3.47</v>
      </c>
      <c r="P886">
        <v>40</v>
      </c>
      <c r="Q886">
        <v>2</v>
      </c>
      <c r="R886">
        <v>2</v>
      </c>
      <c r="S886">
        <v>1</v>
      </c>
      <c r="T886" t="s">
        <v>33</v>
      </c>
      <c r="U886" t="s">
        <v>34</v>
      </c>
      <c r="V886" t="s">
        <v>70</v>
      </c>
      <c r="W886" t="s">
        <v>33</v>
      </c>
      <c r="X886" t="s">
        <v>45</v>
      </c>
      <c r="Z886" t="str">
        <f>IF(Table1[[#This Row],[Age]]&lt;30,"20-29",IF(Table1[[#This Row],[Age]]&lt;40,"30-39",IF(Table1[[#This Row],[Age]]&lt;50,"40-49","50+")))</f>
        <v>50+</v>
      </c>
      <c r="AA886" t="str">
        <f>IF(Table1[[#This Row],[Salary]]&lt;20000000,"low",IF(Table1[[#This Row],[Salary]]&lt;40000000,"medium","high"))</f>
        <v>medium</v>
      </c>
      <c r="AB886">
        <f>YEAR(Table1[[#This Row],[Hire Date]])</f>
        <v>2016</v>
      </c>
      <c r="AC886" t="str">
        <f>TEXT(Table1[[#This Row],[Hire Date]],"mmmm")</f>
        <v>نوامبر</v>
      </c>
      <c r="AD886" t="str">
        <f>IF(Table1[[#This Row],[Resigned]]="yes","former","active")</f>
        <v>active</v>
      </c>
    </row>
    <row r="887" spans="1:30" x14ac:dyDescent="0.3">
      <c r="A887" t="s">
        <v>1839</v>
      </c>
      <c r="B887" t="s">
        <v>1840</v>
      </c>
      <c r="C887" t="s">
        <v>27</v>
      </c>
      <c r="D887">
        <v>41</v>
      </c>
      <c r="E887" t="s">
        <v>73</v>
      </c>
      <c r="F887" t="s">
        <v>127</v>
      </c>
      <c r="G887" t="s">
        <v>49</v>
      </c>
      <c r="H887" t="s">
        <v>42</v>
      </c>
      <c r="I887" t="s">
        <v>43</v>
      </c>
      <c r="J887" s="1">
        <v>43702</v>
      </c>
      <c r="K887">
        <v>7</v>
      </c>
      <c r="L887">
        <v>34763981</v>
      </c>
      <c r="M887">
        <v>6799073</v>
      </c>
      <c r="N887" t="s">
        <v>34</v>
      </c>
      <c r="O887">
        <v>4.05</v>
      </c>
      <c r="P887">
        <v>11</v>
      </c>
      <c r="Q887">
        <v>5</v>
      </c>
      <c r="R887">
        <v>2</v>
      </c>
      <c r="S887">
        <v>7</v>
      </c>
      <c r="T887" t="s">
        <v>33</v>
      </c>
      <c r="U887" t="s">
        <v>34</v>
      </c>
      <c r="V887" t="s">
        <v>70</v>
      </c>
      <c r="W887" t="s">
        <v>34</v>
      </c>
      <c r="X887" t="s">
        <v>52</v>
      </c>
      <c r="Z887" t="str">
        <f>IF(Table1[[#This Row],[Age]]&lt;30,"20-29",IF(Table1[[#This Row],[Age]]&lt;40,"30-39",IF(Table1[[#This Row],[Age]]&lt;50,"40-49","50+")))</f>
        <v>40-49</v>
      </c>
      <c r="AA887" t="str">
        <f>IF(Table1[[#This Row],[Salary]]&lt;20000000,"low",IF(Table1[[#This Row],[Salary]]&lt;40000000,"medium","high"))</f>
        <v>medium</v>
      </c>
      <c r="AB887">
        <f>YEAR(Table1[[#This Row],[Hire Date]])</f>
        <v>2019</v>
      </c>
      <c r="AC887" t="str">
        <f>TEXT(Table1[[#This Row],[Hire Date]],"mmmm")</f>
        <v>اوت</v>
      </c>
      <c r="AD887" t="str">
        <f>IF(Table1[[#This Row],[Resigned]]="yes","former","active")</f>
        <v>active</v>
      </c>
    </row>
    <row r="888" spans="1:30" x14ac:dyDescent="0.3">
      <c r="A888" t="s">
        <v>1841</v>
      </c>
      <c r="B888" t="s">
        <v>1842</v>
      </c>
      <c r="C888" t="s">
        <v>39</v>
      </c>
      <c r="D888">
        <v>31</v>
      </c>
      <c r="E888" t="s">
        <v>28</v>
      </c>
      <c r="F888" t="s">
        <v>29</v>
      </c>
      <c r="G888" t="s">
        <v>30</v>
      </c>
      <c r="H888" t="s">
        <v>42</v>
      </c>
      <c r="I888" t="s">
        <v>50</v>
      </c>
      <c r="J888" s="1">
        <v>42382</v>
      </c>
      <c r="K888">
        <v>10</v>
      </c>
      <c r="L888">
        <v>24349670</v>
      </c>
      <c r="M888">
        <v>9945395</v>
      </c>
      <c r="N888" t="s">
        <v>34</v>
      </c>
      <c r="O888">
        <v>4.8499999999999996</v>
      </c>
      <c r="P888">
        <v>48</v>
      </c>
      <c r="Q888">
        <v>3</v>
      </c>
      <c r="R888">
        <v>3</v>
      </c>
      <c r="S888">
        <v>3</v>
      </c>
      <c r="T888" t="s">
        <v>33</v>
      </c>
      <c r="U888" t="s">
        <v>34</v>
      </c>
      <c r="V888" t="s">
        <v>44</v>
      </c>
      <c r="W888" t="s">
        <v>33</v>
      </c>
      <c r="X888" t="s">
        <v>52</v>
      </c>
      <c r="Z888" t="str">
        <f>IF(Table1[[#This Row],[Age]]&lt;30,"20-29",IF(Table1[[#This Row],[Age]]&lt;40,"30-39",IF(Table1[[#This Row],[Age]]&lt;50,"40-49","50+")))</f>
        <v>30-39</v>
      </c>
      <c r="AA888" t="str">
        <f>IF(Table1[[#This Row],[Salary]]&lt;20000000,"low",IF(Table1[[#This Row],[Salary]]&lt;40000000,"medium","high"))</f>
        <v>medium</v>
      </c>
      <c r="AB888">
        <f>YEAR(Table1[[#This Row],[Hire Date]])</f>
        <v>2016</v>
      </c>
      <c r="AC888" t="str">
        <f>TEXT(Table1[[#This Row],[Hire Date]],"mmmm")</f>
        <v>ژانويه</v>
      </c>
      <c r="AD888" t="str">
        <f>IF(Table1[[#This Row],[Resigned]]="yes","former","active")</f>
        <v>active</v>
      </c>
    </row>
    <row r="889" spans="1:30" x14ac:dyDescent="0.3">
      <c r="A889" t="s">
        <v>1843</v>
      </c>
      <c r="B889" t="s">
        <v>1844</v>
      </c>
      <c r="C889" t="s">
        <v>27</v>
      </c>
      <c r="D889">
        <v>26</v>
      </c>
      <c r="E889" t="s">
        <v>73</v>
      </c>
      <c r="F889" t="s">
        <v>127</v>
      </c>
      <c r="G889" t="s">
        <v>49</v>
      </c>
      <c r="H889" t="s">
        <v>31</v>
      </c>
      <c r="I889" t="s">
        <v>32</v>
      </c>
      <c r="J889" s="1">
        <v>43553</v>
      </c>
      <c r="K889">
        <v>7</v>
      </c>
      <c r="L889">
        <v>31854911</v>
      </c>
      <c r="M889">
        <v>5368387</v>
      </c>
      <c r="N889" t="s">
        <v>33</v>
      </c>
      <c r="O889">
        <v>4.07</v>
      </c>
      <c r="P889">
        <v>78</v>
      </c>
      <c r="Q889">
        <v>3</v>
      </c>
      <c r="R889">
        <v>4</v>
      </c>
      <c r="S889">
        <v>11</v>
      </c>
      <c r="T889" t="s">
        <v>33</v>
      </c>
      <c r="U889" t="s">
        <v>34</v>
      </c>
      <c r="V889" t="s">
        <v>59</v>
      </c>
      <c r="W889" t="s">
        <v>34</v>
      </c>
      <c r="X889" t="s">
        <v>52</v>
      </c>
      <c r="Z889" t="str">
        <f>IF(Table1[[#This Row],[Age]]&lt;30,"20-29",IF(Table1[[#This Row],[Age]]&lt;40,"30-39",IF(Table1[[#This Row],[Age]]&lt;50,"40-49","50+")))</f>
        <v>20-29</v>
      </c>
      <c r="AA889" t="str">
        <f>IF(Table1[[#This Row],[Salary]]&lt;20000000,"low",IF(Table1[[#This Row],[Salary]]&lt;40000000,"medium","high"))</f>
        <v>medium</v>
      </c>
      <c r="AB889">
        <f>YEAR(Table1[[#This Row],[Hire Date]])</f>
        <v>2019</v>
      </c>
      <c r="AC889" t="str">
        <f>TEXT(Table1[[#This Row],[Hire Date]],"mmmm")</f>
        <v>مارس</v>
      </c>
      <c r="AD889" t="str">
        <f>IF(Table1[[#This Row],[Resigned]]="yes","former","active")</f>
        <v>active</v>
      </c>
    </row>
    <row r="890" spans="1:30" x14ac:dyDescent="0.3">
      <c r="A890" t="s">
        <v>1845</v>
      </c>
      <c r="B890" t="s">
        <v>1846</v>
      </c>
      <c r="C890" t="s">
        <v>39</v>
      </c>
      <c r="D890">
        <v>43</v>
      </c>
      <c r="E890" t="s">
        <v>63</v>
      </c>
      <c r="F890" t="s">
        <v>64</v>
      </c>
      <c r="G890" t="s">
        <v>49</v>
      </c>
      <c r="H890" t="s">
        <v>42</v>
      </c>
      <c r="I890" t="s">
        <v>32</v>
      </c>
      <c r="J890" s="1">
        <v>43305</v>
      </c>
      <c r="K890">
        <v>8</v>
      </c>
      <c r="L890">
        <v>19537937</v>
      </c>
      <c r="M890">
        <v>7629614</v>
      </c>
      <c r="N890" t="s">
        <v>34</v>
      </c>
      <c r="O890">
        <v>3.58</v>
      </c>
      <c r="P890">
        <v>45</v>
      </c>
      <c r="Q890">
        <v>2</v>
      </c>
      <c r="R890">
        <v>2</v>
      </c>
      <c r="S890">
        <v>7</v>
      </c>
      <c r="T890" t="s">
        <v>33</v>
      </c>
      <c r="U890" t="s">
        <v>34</v>
      </c>
      <c r="V890" t="s">
        <v>51</v>
      </c>
      <c r="W890" t="s">
        <v>34</v>
      </c>
      <c r="X890" t="s">
        <v>52</v>
      </c>
      <c r="Z890" t="str">
        <f>IF(Table1[[#This Row],[Age]]&lt;30,"20-29",IF(Table1[[#This Row],[Age]]&lt;40,"30-39",IF(Table1[[#This Row],[Age]]&lt;50,"40-49","50+")))</f>
        <v>40-49</v>
      </c>
      <c r="AA890" t="str">
        <f>IF(Table1[[#This Row],[Salary]]&lt;20000000,"low",IF(Table1[[#This Row],[Salary]]&lt;40000000,"medium","high"))</f>
        <v>low</v>
      </c>
      <c r="AB890">
        <f>YEAR(Table1[[#This Row],[Hire Date]])</f>
        <v>2018</v>
      </c>
      <c r="AC890" t="str">
        <f>TEXT(Table1[[#This Row],[Hire Date]],"mmmm")</f>
        <v>ژوئيه</v>
      </c>
      <c r="AD890" t="str">
        <f>IF(Table1[[#This Row],[Resigned]]="yes","former","active")</f>
        <v>active</v>
      </c>
    </row>
    <row r="891" spans="1:30" x14ac:dyDescent="0.3">
      <c r="A891" t="s">
        <v>1847</v>
      </c>
      <c r="B891" t="s">
        <v>1848</v>
      </c>
      <c r="C891" t="s">
        <v>39</v>
      </c>
      <c r="D891">
        <v>58</v>
      </c>
      <c r="E891" t="s">
        <v>56</v>
      </c>
      <c r="F891" t="s">
        <v>84</v>
      </c>
      <c r="G891" t="s">
        <v>49</v>
      </c>
      <c r="H891" t="s">
        <v>31</v>
      </c>
      <c r="I891" t="s">
        <v>81</v>
      </c>
      <c r="J891" s="1">
        <v>44563</v>
      </c>
      <c r="K891">
        <v>4</v>
      </c>
      <c r="L891">
        <v>33035808</v>
      </c>
      <c r="M891">
        <v>4313959</v>
      </c>
      <c r="N891" t="s">
        <v>34</v>
      </c>
      <c r="O891">
        <v>4.68</v>
      </c>
      <c r="P891">
        <v>58</v>
      </c>
      <c r="Q891">
        <v>3</v>
      </c>
      <c r="R891">
        <v>4</v>
      </c>
      <c r="S891">
        <v>9</v>
      </c>
      <c r="T891" t="s">
        <v>33</v>
      </c>
      <c r="U891" t="s">
        <v>34</v>
      </c>
      <c r="V891" t="s">
        <v>59</v>
      </c>
      <c r="W891" t="s">
        <v>34</v>
      </c>
      <c r="X891" t="s">
        <v>45</v>
      </c>
      <c r="Z891" t="str">
        <f>IF(Table1[[#This Row],[Age]]&lt;30,"20-29",IF(Table1[[#This Row],[Age]]&lt;40,"30-39",IF(Table1[[#This Row],[Age]]&lt;50,"40-49","50+")))</f>
        <v>50+</v>
      </c>
      <c r="AA891" t="str">
        <f>IF(Table1[[#This Row],[Salary]]&lt;20000000,"low",IF(Table1[[#This Row],[Salary]]&lt;40000000,"medium","high"))</f>
        <v>medium</v>
      </c>
      <c r="AB891">
        <f>YEAR(Table1[[#This Row],[Hire Date]])</f>
        <v>2022</v>
      </c>
      <c r="AC891" t="str">
        <f>TEXT(Table1[[#This Row],[Hire Date]],"mmmm")</f>
        <v>ژانويه</v>
      </c>
      <c r="AD891" t="str">
        <f>IF(Table1[[#This Row],[Resigned]]="yes","former","active")</f>
        <v>active</v>
      </c>
    </row>
    <row r="892" spans="1:30" x14ac:dyDescent="0.3">
      <c r="A892" t="s">
        <v>1849</v>
      </c>
      <c r="B892" t="s">
        <v>1850</v>
      </c>
      <c r="C892" t="s">
        <v>39</v>
      </c>
      <c r="D892">
        <v>51</v>
      </c>
      <c r="E892" t="s">
        <v>110</v>
      </c>
      <c r="F892" t="s">
        <v>120</v>
      </c>
      <c r="G892" t="s">
        <v>49</v>
      </c>
      <c r="H892" t="s">
        <v>31</v>
      </c>
      <c r="I892" t="s">
        <v>50</v>
      </c>
      <c r="J892" s="1">
        <v>45687</v>
      </c>
      <c r="K892">
        <v>1</v>
      </c>
      <c r="L892">
        <v>59672874</v>
      </c>
      <c r="M892">
        <v>9327794</v>
      </c>
      <c r="N892" t="s">
        <v>33</v>
      </c>
      <c r="O892">
        <v>4.1100000000000003</v>
      </c>
      <c r="P892">
        <v>33</v>
      </c>
      <c r="Q892">
        <v>2</v>
      </c>
      <c r="R892">
        <v>5</v>
      </c>
      <c r="S892">
        <v>12</v>
      </c>
      <c r="T892" t="s">
        <v>33</v>
      </c>
      <c r="U892" t="s">
        <v>33</v>
      </c>
      <c r="V892" t="s">
        <v>59</v>
      </c>
      <c r="W892" t="s">
        <v>34</v>
      </c>
      <c r="X892" t="s">
        <v>36</v>
      </c>
      <c r="Y892" t="s">
        <v>60</v>
      </c>
      <c r="Z892" t="str">
        <f>IF(Table1[[#This Row],[Age]]&lt;30,"20-29",IF(Table1[[#This Row],[Age]]&lt;40,"30-39",IF(Table1[[#This Row],[Age]]&lt;50,"40-49","50+")))</f>
        <v>50+</v>
      </c>
      <c r="AA892" t="str">
        <f>IF(Table1[[#This Row],[Salary]]&lt;20000000,"low",IF(Table1[[#This Row],[Salary]]&lt;40000000,"medium","high"))</f>
        <v>high</v>
      </c>
      <c r="AB892">
        <f>YEAR(Table1[[#This Row],[Hire Date]])</f>
        <v>2025</v>
      </c>
      <c r="AC892" t="str">
        <f>TEXT(Table1[[#This Row],[Hire Date]],"mmmm")</f>
        <v>ژانويه</v>
      </c>
      <c r="AD892" t="str">
        <f>IF(Table1[[#This Row],[Resigned]]="yes","former","active")</f>
        <v>former</v>
      </c>
    </row>
    <row r="893" spans="1:30" x14ac:dyDescent="0.3">
      <c r="A893" t="s">
        <v>1851</v>
      </c>
      <c r="B893" t="s">
        <v>1852</v>
      </c>
      <c r="C893" t="s">
        <v>27</v>
      </c>
      <c r="D893">
        <v>42</v>
      </c>
      <c r="E893" t="s">
        <v>110</v>
      </c>
      <c r="F893" t="s">
        <v>111</v>
      </c>
      <c r="G893" t="s">
        <v>30</v>
      </c>
      <c r="H893" t="s">
        <v>42</v>
      </c>
      <c r="I893" t="s">
        <v>50</v>
      </c>
      <c r="J893" s="1">
        <v>42491</v>
      </c>
      <c r="K893">
        <v>10</v>
      </c>
      <c r="L893">
        <v>29392041</v>
      </c>
      <c r="M893">
        <v>5286750</v>
      </c>
      <c r="N893" t="s">
        <v>34</v>
      </c>
      <c r="O893">
        <v>3.13</v>
      </c>
      <c r="P893">
        <v>13</v>
      </c>
      <c r="Q893">
        <v>3</v>
      </c>
      <c r="R893">
        <v>2</v>
      </c>
      <c r="S893">
        <v>9</v>
      </c>
      <c r="T893" t="s">
        <v>34</v>
      </c>
      <c r="U893" t="s">
        <v>33</v>
      </c>
      <c r="V893" t="s">
        <v>35</v>
      </c>
      <c r="W893" t="s">
        <v>33</v>
      </c>
      <c r="X893" t="s">
        <v>45</v>
      </c>
      <c r="Y893" t="s">
        <v>53</v>
      </c>
      <c r="Z893" t="str">
        <f>IF(Table1[[#This Row],[Age]]&lt;30,"20-29",IF(Table1[[#This Row],[Age]]&lt;40,"30-39",IF(Table1[[#This Row],[Age]]&lt;50,"40-49","50+")))</f>
        <v>40-49</v>
      </c>
      <c r="AA893" t="str">
        <f>IF(Table1[[#This Row],[Salary]]&lt;20000000,"low",IF(Table1[[#This Row],[Salary]]&lt;40000000,"medium","high"))</f>
        <v>medium</v>
      </c>
      <c r="AB893">
        <f>YEAR(Table1[[#This Row],[Hire Date]])</f>
        <v>2016</v>
      </c>
      <c r="AC893" t="str">
        <f>TEXT(Table1[[#This Row],[Hire Date]],"mmmm")</f>
        <v>مه</v>
      </c>
      <c r="AD893" t="str">
        <f>IF(Table1[[#This Row],[Resigned]]="yes","former","active")</f>
        <v>former</v>
      </c>
    </row>
    <row r="894" spans="1:30" x14ac:dyDescent="0.3">
      <c r="A894" t="s">
        <v>1853</v>
      </c>
      <c r="B894" t="s">
        <v>1854</v>
      </c>
      <c r="C894" t="s">
        <v>39</v>
      </c>
      <c r="D894">
        <v>54</v>
      </c>
      <c r="E894" t="s">
        <v>73</v>
      </c>
      <c r="F894" t="s">
        <v>74</v>
      </c>
      <c r="G894" t="s">
        <v>49</v>
      </c>
      <c r="H894" t="s">
        <v>31</v>
      </c>
      <c r="I894" t="s">
        <v>81</v>
      </c>
      <c r="J894" s="1">
        <v>43861</v>
      </c>
      <c r="K894">
        <v>6</v>
      </c>
      <c r="L894">
        <v>20779660</v>
      </c>
      <c r="M894">
        <v>6859317</v>
      </c>
      <c r="N894" t="s">
        <v>33</v>
      </c>
      <c r="O894">
        <v>3.09</v>
      </c>
      <c r="P894">
        <v>36</v>
      </c>
      <c r="Q894">
        <v>3</v>
      </c>
      <c r="R894">
        <v>3</v>
      </c>
      <c r="S894">
        <v>17</v>
      </c>
      <c r="T894" t="s">
        <v>33</v>
      </c>
      <c r="U894" t="s">
        <v>33</v>
      </c>
      <c r="V894" t="s">
        <v>35</v>
      </c>
      <c r="W894" t="s">
        <v>34</v>
      </c>
      <c r="X894" t="s">
        <v>45</v>
      </c>
      <c r="Y894" t="s">
        <v>75</v>
      </c>
      <c r="Z894" t="str">
        <f>IF(Table1[[#This Row],[Age]]&lt;30,"20-29",IF(Table1[[#This Row],[Age]]&lt;40,"30-39",IF(Table1[[#This Row],[Age]]&lt;50,"40-49","50+")))</f>
        <v>50+</v>
      </c>
      <c r="AA894" t="str">
        <f>IF(Table1[[#This Row],[Salary]]&lt;20000000,"low",IF(Table1[[#This Row],[Salary]]&lt;40000000,"medium","high"))</f>
        <v>medium</v>
      </c>
      <c r="AB894">
        <f>YEAR(Table1[[#This Row],[Hire Date]])</f>
        <v>2020</v>
      </c>
      <c r="AC894" t="str">
        <f>TEXT(Table1[[#This Row],[Hire Date]],"mmmm")</f>
        <v>ژانويه</v>
      </c>
      <c r="AD894" t="str">
        <f>IF(Table1[[#This Row],[Resigned]]="yes","former","active")</f>
        <v>former</v>
      </c>
    </row>
    <row r="895" spans="1:30" x14ac:dyDescent="0.3">
      <c r="A895" t="s">
        <v>1855</v>
      </c>
      <c r="B895" t="s">
        <v>1856</v>
      </c>
      <c r="C895" t="s">
        <v>27</v>
      </c>
      <c r="D895">
        <v>39</v>
      </c>
      <c r="E895" t="s">
        <v>40</v>
      </c>
      <c r="F895" t="s">
        <v>48</v>
      </c>
      <c r="G895" t="s">
        <v>49</v>
      </c>
      <c r="H895" t="s">
        <v>42</v>
      </c>
      <c r="I895" t="s">
        <v>81</v>
      </c>
      <c r="J895" s="1">
        <v>45007</v>
      </c>
      <c r="K895">
        <v>3</v>
      </c>
      <c r="L895">
        <v>51891060</v>
      </c>
      <c r="M895">
        <v>9011676</v>
      </c>
      <c r="N895" t="s">
        <v>34</v>
      </c>
      <c r="O895">
        <v>3.37</v>
      </c>
      <c r="P895">
        <v>48</v>
      </c>
      <c r="Q895">
        <v>4</v>
      </c>
      <c r="R895">
        <v>1</v>
      </c>
      <c r="S895">
        <v>20</v>
      </c>
      <c r="T895" t="s">
        <v>33</v>
      </c>
      <c r="U895" t="s">
        <v>34</v>
      </c>
      <c r="V895" t="s">
        <v>59</v>
      </c>
      <c r="W895" t="s">
        <v>34</v>
      </c>
      <c r="X895" t="s">
        <v>52</v>
      </c>
      <c r="Z895" t="str">
        <f>IF(Table1[[#This Row],[Age]]&lt;30,"20-29",IF(Table1[[#This Row],[Age]]&lt;40,"30-39",IF(Table1[[#This Row],[Age]]&lt;50,"40-49","50+")))</f>
        <v>30-39</v>
      </c>
      <c r="AA895" t="str">
        <f>IF(Table1[[#This Row],[Salary]]&lt;20000000,"low",IF(Table1[[#This Row],[Salary]]&lt;40000000,"medium","high"))</f>
        <v>high</v>
      </c>
      <c r="AB895">
        <f>YEAR(Table1[[#This Row],[Hire Date]])</f>
        <v>2023</v>
      </c>
      <c r="AC895" t="str">
        <f>TEXT(Table1[[#This Row],[Hire Date]],"mmmm")</f>
        <v>مارس</v>
      </c>
      <c r="AD895" t="str">
        <f>IF(Table1[[#This Row],[Resigned]]="yes","former","active")</f>
        <v>active</v>
      </c>
    </row>
    <row r="896" spans="1:30" x14ac:dyDescent="0.3">
      <c r="A896" t="s">
        <v>1857</v>
      </c>
      <c r="B896" t="s">
        <v>1858</v>
      </c>
      <c r="C896" t="s">
        <v>39</v>
      </c>
      <c r="D896">
        <v>46</v>
      </c>
      <c r="E896" t="s">
        <v>40</v>
      </c>
      <c r="F896" t="s">
        <v>41</v>
      </c>
      <c r="G896" t="s">
        <v>58</v>
      </c>
      <c r="H896" t="s">
        <v>31</v>
      </c>
      <c r="I896" t="s">
        <v>81</v>
      </c>
      <c r="J896" s="1">
        <v>43128</v>
      </c>
      <c r="K896">
        <v>8</v>
      </c>
      <c r="L896">
        <v>15521137</v>
      </c>
      <c r="M896">
        <v>5889680</v>
      </c>
      <c r="N896" t="s">
        <v>34</v>
      </c>
      <c r="O896">
        <v>4.7</v>
      </c>
      <c r="P896">
        <v>69</v>
      </c>
      <c r="Q896">
        <v>4</v>
      </c>
      <c r="R896">
        <v>3</v>
      </c>
      <c r="S896">
        <v>0</v>
      </c>
      <c r="T896" t="s">
        <v>34</v>
      </c>
      <c r="U896" t="s">
        <v>34</v>
      </c>
      <c r="V896" t="s">
        <v>51</v>
      </c>
      <c r="W896" t="s">
        <v>34</v>
      </c>
      <c r="X896" t="s">
        <v>52</v>
      </c>
      <c r="Z896" t="str">
        <f>IF(Table1[[#This Row],[Age]]&lt;30,"20-29",IF(Table1[[#This Row],[Age]]&lt;40,"30-39",IF(Table1[[#This Row],[Age]]&lt;50,"40-49","50+")))</f>
        <v>40-49</v>
      </c>
      <c r="AA896" t="str">
        <f>IF(Table1[[#This Row],[Salary]]&lt;20000000,"low",IF(Table1[[#This Row],[Salary]]&lt;40000000,"medium","high"))</f>
        <v>low</v>
      </c>
      <c r="AB896">
        <f>YEAR(Table1[[#This Row],[Hire Date]])</f>
        <v>2018</v>
      </c>
      <c r="AC896" t="str">
        <f>TEXT(Table1[[#This Row],[Hire Date]],"mmmm")</f>
        <v>ژانويه</v>
      </c>
      <c r="AD896" t="str">
        <f>IF(Table1[[#This Row],[Resigned]]="yes","former","active")</f>
        <v>active</v>
      </c>
    </row>
    <row r="897" spans="1:30" x14ac:dyDescent="0.3">
      <c r="A897" t="s">
        <v>1859</v>
      </c>
      <c r="B897" t="s">
        <v>1860</v>
      </c>
      <c r="C897" t="s">
        <v>27</v>
      </c>
      <c r="D897">
        <v>29</v>
      </c>
      <c r="E897" t="s">
        <v>73</v>
      </c>
      <c r="F897" t="s">
        <v>127</v>
      </c>
      <c r="G897" t="s">
        <v>30</v>
      </c>
      <c r="H897" t="s">
        <v>31</v>
      </c>
      <c r="I897" t="s">
        <v>81</v>
      </c>
      <c r="J897" s="1">
        <v>45847</v>
      </c>
      <c r="K897">
        <v>1</v>
      </c>
      <c r="L897">
        <v>34834755</v>
      </c>
      <c r="M897">
        <v>558077</v>
      </c>
      <c r="N897" t="s">
        <v>34</v>
      </c>
      <c r="O897">
        <v>2.63</v>
      </c>
      <c r="P897">
        <v>69</v>
      </c>
      <c r="Q897">
        <v>2</v>
      </c>
      <c r="R897">
        <v>2</v>
      </c>
      <c r="S897">
        <v>3</v>
      </c>
      <c r="T897" t="s">
        <v>33</v>
      </c>
      <c r="U897" t="s">
        <v>34</v>
      </c>
      <c r="V897" t="s">
        <v>35</v>
      </c>
      <c r="W897" t="s">
        <v>33</v>
      </c>
      <c r="X897" t="s">
        <v>36</v>
      </c>
      <c r="Z897" t="str">
        <f>IF(Table1[[#This Row],[Age]]&lt;30,"20-29",IF(Table1[[#This Row],[Age]]&lt;40,"30-39",IF(Table1[[#This Row],[Age]]&lt;50,"40-49","50+")))</f>
        <v>20-29</v>
      </c>
      <c r="AA897" t="str">
        <f>IF(Table1[[#This Row],[Salary]]&lt;20000000,"low",IF(Table1[[#This Row],[Salary]]&lt;40000000,"medium","high"))</f>
        <v>medium</v>
      </c>
      <c r="AB897">
        <f>YEAR(Table1[[#This Row],[Hire Date]])</f>
        <v>2025</v>
      </c>
      <c r="AC897" t="str">
        <f>TEXT(Table1[[#This Row],[Hire Date]],"mmmm")</f>
        <v>ژوئيه</v>
      </c>
      <c r="AD897" t="str">
        <f>IF(Table1[[#This Row],[Resigned]]="yes","former","active")</f>
        <v>active</v>
      </c>
    </row>
    <row r="898" spans="1:30" x14ac:dyDescent="0.3">
      <c r="A898" t="s">
        <v>1861</v>
      </c>
      <c r="B898" t="s">
        <v>1862</v>
      </c>
      <c r="C898" t="s">
        <v>27</v>
      </c>
      <c r="D898">
        <v>40</v>
      </c>
      <c r="E898" t="s">
        <v>28</v>
      </c>
      <c r="F898" t="s">
        <v>29</v>
      </c>
      <c r="G898" t="s">
        <v>58</v>
      </c>
      <c r="H898" t="s">
        <v>42</v>
      </c>
      <c r="I898" t="s">
        <v>65</v>
      </c>
      <c r="J898" s="1">
        <v>43007</v>
      </c>
      <c r="K898">
        <v>9</v>
      </c>
      <c r="L898">
        <v>29947089</v>
      </c>
      <c r="M898">
        <v>5444943</v>
      </c>
      <c r="N898" t="s">
        <v>33</v>
      </c>
      <c r="O898">
        <v>3.12</v>
      </c>
      <c r="P898">
        <v>9</v>
      </c>
      <c r="Q898">
        <v>5</v>
      </c>
      <c r="R898">
        <v>4</v>
      </c>
      <c r="S898">
        <v>0</v>
      </c>
      <c r="T898" t="s">
        <v>34</v>
      </c>
      <c r="U898" t="s">
        <v>34</v>
      </c>
      <c r="V898" t="s">
        <v>59</v>
      </c>
      <c r="W898" t="s">
        <v>34</v>
      </c>
      <c r="X898" t="s">
        <v>36</v>
      </c>
      <c r="Z898" t="str">
        <f>IF(Table1[[#This Row],[Age]]&lt;30,"20-29",IF(Table1[[#This Row],[Age]]&lt;40,"30-39",IF(Table1[[#This Row],[Age]]&lt;50,"40-49","50+")))</f>
        <v>40-49</v>
      </c>
      <c r="AA898" t="str">
        <f>IF(Table1[[#This Row],[Salary]]&lt;20000000,"low",IF(Table1[[#This Row],[Salary]]&lt;40000000,"medium","high"))</f>
        <v>medium</v>
      </c>
      <c r="AB898">
        <f>YEAR(Table1[[#This Row],[Hire Date]])</f>
        <v>2017</v>
      </c>
      <c r="AC898" t="str">
        <f>TEXT(Table1[[#This Row],[Hire Date]],"mmmm")</f>
        <v>سپتامبر</v>
      </c>
      <c r="AD898" t="str">
        <f>IF(Table1[[#This Row],[Resigned]]="yes","former","active")</f>
        <v>active</v>
      </c>
    </row>
    <row r="899" spans="1:30" x14ac:dyDescent="0.3">
      <c r="A899" t="s">
        <v>1863</v>
      </c>
      <c r="B899" t="s">
        <v>1864</v>
      </c>
      <c r="C899" t="s">
        <v>39</v>
      </c>
      <c r="D899">
        <v>51</v>
      </c>
      <c r="E899" t="s">
        <v>73</v>
      </c>
      <c r="F899" t="s">
        <v>74</v>
      </c>
      <c r="G899" t="s">
        <v>30</v>
      </c>
      <c r="H899" t="s">
        <v>42</v>
      </c>
      <c r="I899" t="s">
        <v>50</v>
      </c>
      <c r="J899" s="1">
        <v>42673</v>
      </c>
      <c r="K899">
        <v>10</v>
      </c>
      <c r="L899">
        <v>45576446</v>
      </c>
      <c r="M899">
        <v>7337393</v>
      </c>
      <c r="N899" t="s">
        <v>34</v>
      </c>
      <c r="O899">
        <v>4.24</v>
      </c>
      <c r="P899">
        <v>7</v>
      </c>
      <c r="Q899">
        <v>5</v>
      </c>
      <c r="R899">
        <v>1</v>
      </c>
      <c r="S899">
        <v>15</v>
      </c>
      <c r="T899" t="s">
        <v>34</v>
      </c>
      <c r="U899" t="s">
        <v>33</v>
      </c>
      <c r="V899" t="s">
        <v>44</v>
      </c>
      <c r="W899" t="s">
        <v>34</v>
      </c>
      <c r="X899" t="s">
        <v>36</v>
      </c>
      <c r="Y899" t="s">
        <v>162</v>
      </c>
      <c r="Z899" t="str">
        <f>IF(Table1[[#This Row],[Age]]&lt;30,"20-29",IF(Table1[[#This Row],[Age]]&lt;40,"30-39",IF(Table1[[#This Row],[Age]]&lt;50,"40-49","50+")))</f>
        <v>50+</v>
      </c>
      <c r="AA899" t="str">
        <f>IF(Table1[[#This Row],[Salary]]&lt;20000000,"low",IF(Table1[[#This Row],[Salary]]&lt;40000000,"medium","high"))</f>
        <v>high</v>
      </c>
      <c r="AB899">
        <f>YEAR(Table1[[#This Row],[Hire Date]])</f>
        <v>2016</v>
      </c>
      <c r="AC899" t="str">
        <f>TEXT(Table1[[#This Row],[Hire Date]],"mmmm")</f>
        <v>اُكتبر</v>
      </c>
      <c r="AD899" t="str">
        <f>IF(Table1[[#This Row],[Resigned]]="yes","former","active")</f>
        <v>former</v>
      </c>
    </row>
    <row r="900" spans="1:30" x14ac:dyDescent="0.3">
      <c r="A900" t="s">
        <v>1865</v>
      </c>
      <c r="B900" t="s">
        <v>1866</v>
      </c>
      <c r="C900" t="s">
        <v>27</v>
      </c>
      <c r="D900">
        <v>25</v>
      </c>
      <c r="E900" t="s">
        <v>110</v>
      </c>
      <c r="F900" t="s">
        <v>120</v>
      </c>
      <c r="G900" t="s">
        <v>30</v>
      </c>
      <c r="H900" t="s">
        <v>31</v>
      </c>
      <c r="I900" t="s">
        <v>65</v>
      </c>
      <c r="J900" s="1">
        <v>45849</v>
      </c>
      <c r="K900">
        <v>1</v>
      </c>
      <c r="L900">
        <v>28729864</v>
      </c>
      <c r="M900">
        <v>742281</v>
      </c>
      <c r="N900" t="s">
        <v>34</v>
      </c>
      <c r="O900">
        <v>3.51</v>
      </c>
      <c r="P900">
        <v>70</v>
      </c>
      <c r="Q900">
        <v>1</v>
      </c>
      <c r="R900">
        <v>1</v>
      </c>
      <c r="S900">
        <v>3</v>
      </c>
      <c r="T900" t="s">
        <v>34</v>
      </c>
      <c r="U900" t="s">
        <v>34</v>
      </c>
      <c r="V900" t="s">
        <v>70</v>
      </c>
      <c r="W900" t="s">
        <v>33</v>
      </c>
      <c r="X900" t="s">
        <v>52</v>
      </c>
      <c r="Z900" t="str">
        <f>IF(Table1[[#This Row],[Age]]&lt;30,"20-29",IF(Table1[[#This Row],[Age]]&lt;40,"30-39",IF(Table1[[#This Row],[Age]]&lt;50,"40-49","50+")))</f>
        <v>20-29</v>
      </c>
      <c r="AA900" t="str">
        <f>IF(Table1[[#This Row],[Salary]]&lt;20000000,"low",IF(Table1[[#This Row],[Salary]]&lt;40000000,"medium","high"))</f>
        <v>medium</v>
      </c>
      <c r="AB900">
        <f>YEAR(Table1[[#This Row],[Hire Date]])</f>
        <v>2025</v>
      </c>
      <c r="AC900" t="str">
        <f>TEXT(Table1[[#This Row],[Hire Date]],"mmmm")</f>
        <v>ژوئيه</v>
      </c>
      <c r="AD900" t="str">
        <f>IF(Table1[[#This Row],[Resigned]]="yes","former","active")</f>
        <v>active</v>
      </c>
    </row>
    <row r="901" spans="1:30" x14ac:dyDescent="0.3">
      <c r="A901" t="s">
        <v>1867</v>
      </c>
      <c r="B901" t="s">
        <v>1868</v>
      </c>
      <c r="C901" t="s">
        <v>27</v>
      </c>
      <c r="D901">
        <v>30</v>
      </c>
      <c r="E901" t="s">
        <v>28</v>
      </c>
      <c r="F901" t="s">
        <v>29</v>
      </c>
      <c r="G901" t="s">
        <v>58</v>
      </c>
      <c r="H901" t="s">
        <v>31</v>
      </c>
      <c r="I901" t="s">
        <v>43</v>
      </c>
      <c r="J901" s="1">
        <v>42419</v>
      </c>
      <c r="K901">
        <v>10</v>
      </c>
      <c r="L901">
        <v>38860733</v>
      </c>
      <c r="M901">
        <v>696778</v>
      </c>
      <c r="N901" t="s">
        <v>33</v>
      </c>
      <c r="O901">
        <v>3.72</v>
      </c>
      <c r="P901">
        <v>64</v>
      </c>
      <c r="Q901">
        <v>2</v>
      </c>
      <c r="R901">
        <v>2</v>
      </c>
      <c r="S901">
        <v>7</v>
      </c>
      <c r="T901" t="s">
        <v>33</v>
      </c>
      <c r="U901" t="s">
        <v>34</v>
      </c>
      <c r="V901" t="s">
        <v>51</v>
      </c>
      <c r="W901" t="s">
        <v>34</v>
      </c>
      <c r="X901" t="s">
        <v>52</v>
      </c>
      <c r="Z901" t="str">
        <f>IF(Table1[[#This Row],[Age]]&lt;30,"20-29",IF(Table1[[#This Row],[Age]]&lt;40,"30-39",IF(Table1[[#This Row],[Age]]&lt;50,"40-49","50+")))</f>
        <v>30-39</v>
      </c>
      <c r="AA901" t="str">
        <f>IF(Table1[[#This Row],[Salary]]&lt;20000000,"low",IF(Table1[[#This Row],[Salary]]&lt;40000000,"medium","high"))</f>
        <v>medium</v>
      </c>
      <c r="AB901">
        <f>YEAR(Table1[[#This Row],[Hire Date]])</f>
        <v>2016</v>
      </c>
      <c r="AC901" t="str">
        <f>TEXT(Table1[[#This Row],[Hire Date]],"mmmm")</f>
        <v>فوريه</v>
      </c>
      <c r="AD901" t="str">
        <f>IF(Table1[[#This Row],[Resigned]]="yes","former","active")</f>
        <v>active</v>
      </c>
    </row>
    <row r="902" spans="1:30" x14ac:dyDescent="0.3">
      <c r="A902" t="s">
        <v>1869</v>
      </c>
      <c r="B902" t="s">
        <v>1870</v>
      </c>
      <c r="C902" t="s">
        <v>27</v>
      </c>
      <c r="D902">
        <v>46</v>
      </c>
      <c r="E902" t="s">
        <v>63</v>
      </c>
      <c r="F902" t="s">
        <v>93</v>
      </c>
      <c r="G902" t="s">
        <v>58</v>
      </c>
      <c r="H902" t="s">
        <v>42</v>
      </c>
      <c r="I902" t="s">
        <v>65</v>
      </c>
      <c r="J902" s="1">
        <v>44870</v>
      </c>
      <c r="K902">
        <v>4</v>
      </c>
      <c r="L902">
        <v>17232447</v>
      </c>
      <c r="M902">
        <v>472527</v>
      </c>
      <c r="N902" t="s">
        <v>33</v>
      </c>
      <c r="O902">
        <v>3.29</v>
      </c>
      <c r="P902">
        <v>75</v>
      </c>
      <c r="Q902">
        <v>3</v>
      </c>
      <c r="R902">
        <v>5</v>
      </c>
      <c r="S902">
        <v>5</v>
      </c>
      <c r="T902" t="s">
        <v>34</v>
      </c>
      <c r="U902" t="s">
        <v>34</v>
      </c>
      <c r="V902" t="s">
        <v>44</v>
      </c>
      <c r="W902" t="s">
        <v>34</v>
      </c>
      <c r="X902" t="s">
        <v>36</v>
      </c>
      <c r="Z902" t="str">
        <f>IF(Table1[[#This Row],[Age]]&lt;30,"20-29",IF(Table1[[#This Row],[Age]]&lt;40,"30-39",IF(Table1[[#This Row],[Age]]&lt;50,"40-49","50+")))</f>
        <v>40-49</v>
      </c>
      <c r="AA902" t="str">
        <f>IF(Table1[[#This Row],[Salary]]&lt;20000000,"low",IF(Table1[[#This Row],[Salary]]&lt;40000000,"medium","high"))</f>
        <v>low</v>
      </c>
      <c r="AB902">
        <f>YEAR(Table1[[#This Row],[Hire Date]])</f>
        <v>2022</v>
      </c>
      <c r="AC902" t="str">
        <f>TEXT(Table1[[#This Row],[Hire Date]],"mmmm")</f>
        <v>نوامبر</v>
      </c>
      <c r="AD902" t="str">
        <f>IF(Table1[[#This Row],[Resigned]]="yes","former","active")</f>
        <v>active</v>
      </c>
    </row>
    <row r="903" spans="1:30" x14ac:dyDescent="0.3">
      <c r="A903" t="s">
        <v>1871</v>
      </c>
      <c r="B903" t="s">
        <v>1872</v>
      </c>
      <c r="C903" t="s">
        <v>27</v>
      </c>
      <c r="D903">
        <v>52</v>
      </c>
      <c r="E903" t="s">
        <v>73</v>
      </c>
      <c r="F903" t="s">
        <v>74</v>
      </c>
      <c r="G903" t="s">
        <v>49</v>
      </c>
      <c r="H903" t="s">
        <v>42</v>
      </c>
      <c r="I903" t="s">
        <v>50</v>
      </c>
      <c r="J903" s="1">
        <v>44137</v>
      </c>
      <c r="K903">
        <v>6</v>
      </c>
      <c r="L903">
        <v>48739461</v>
      </c>
      <c r="M903">
        <v>8065093</v>
      </c>
      <c r="N903" t="s">
        <v>34</v>
      </c>
      <c r="O903">
        <v>4.8</v>
      </c>
      <c r="P903">
        <v>51</v>
      </c>
      <c r="Q903">
        <v>1</v>
      </c>
      <c r="R903">
        <v>2</v>
      </c>
      <c r="S903">
        <v>0</v>
      </c>
      <c r="T903" t="s">
        <v>34</v>
      </c>
      <c r="U903" t="s">
        <v>34</v>
      </c>
      <c r="V903" t="s">
        <v>35</v>
      </c>
      <c r="W903" t="s">
        <v>33</v>
      </c>
      <c r="X903" t="s">
        <v>45</v>
      </c>
      <c r="Z903" t="str">
        <f>IF(Table1[[#This Row],[Age]]&lt;30,"20-29",IF(Table1[[#This Row],[Age]]&lt;40,"30-39",IF(Table1[[#This Row],[Age]]&lt;50,"40-49","50+")))</f>
        <v>50+</v>
      </c>
      <c r="AA903" t="str">
        <f>IF(Table1[[#This Row],[Salary]]&lt;20000000,"low",IF(Table1[[#This Row],[Salary]]&lt;40000000,"medium","high"))</f>
        <v>high</v>
      </c>
      <c r="AB903">
        <f>YEAR(Table1[[#This Row],[Hire Date]])</f>
        <v>2020</v>
      </c>
      <c r="AC903" t="str">
        <f>TEXT(Table1[[#This Row],[Hire Date]],"mmmm")</f>
        <v>نوامبر</v>
      </c>
      <c r="AD903" t="str">
        <f>IF(Table1[[#This Row],[Resigned]]="yes","former","active")</f>
        <v>active</v>
      </c>
    </row>
    <row r="904" spans="1:30" x14ac:dyDescent="0.3">
      <c r="A904" t="s">
        <v>1873</v>
      </c>
      <c r="B904" t="s">
        <v>1874</v>
      </c>
      <c r="C904" t="s">
        <v>39</v>
      </c>
      <c r="D904">
        <v>36</v>
      </c>
      <c r="E904" t="s">
        <v>56</v>
      </c>
      <c r="F904" t="s">
        <v>84</v>
      </c>
      <c r="G904" t="s">
        <v>58</v>
      </c>
      <c r="H904" t="s">
        <v>31</v>
      </c>
      <c r="I904" t="s">
        <v>43</v>
      </c>
      <c r="J904" s="1">
        <v>43080</v>
      </c>
      <c r="K904">
        <v>9</v>
      </c>
      <c r="L904">
        <v>39092019</v>
      </c>
      <c r="M904">
        <v>2292725</v>
      </c>
      <c r="N904" t="s">
        <v>33</v>
      </c>
      <c r="O904">
        <v>3.58</v>
      </c>
      <c r="P904">
        <v>23</v>
      </c>
      <c r="Q904">
        <v>3</v>
      </c>
      <c r="R904">
        <v>5</v>
      </c>
      <c r="S904">
        <v>19</v>
      </c>
      <c r="T904" t="s">
        <v>33</v>
      </c>
      <c r="U904" t="s">
        <v>34</v>
      </c>
      <c r="V904" t="s">
        <v>51</v>
      </c>
      <c r="W904" t="s">
        <v>33</v>
      </c>
      <c r="X904" t="s">
        <v>52</v>
      </c>
      <c r="Z904" t="str">
        <f>IF(Table1[[#This Row],[Age]]&lt;30,"20-29",IF(Table1[[#This Row],[Age]]&lt;40,"30-39",IF(Table1[[#This Row],[Age]]&lt;50,"40-49","50+")))</f>
        <v>30-39</v>
      </c>
      <c r="AA904" t="str">
        <f>IF(Table1[[#This Row],[Salary]]&lt;20000000,"low",IF(Table1[[#This Row],[Salary]]&lt;40000000,"medium","high"))</f>
        <v>medium</v>
      </c>
      <c r="AB904">
        <f>YEAR(Table1[[#This Row],[Hire Date]])</f>
        <v>2017</v>
      </c>
      <c r="AC904" t="str">
        <f>TEXT(Table1[[#This Row],[Hire Date]],"mmmm")</f>
        <v>دسامبر</v>
      </c>
      <c r="AD904" t="str">
        <f>IF(Table1[[#This Row],[Resigned]]="yes","former","active")</f>
        <v>active</v>
      </c>
    </row>
    <row r="905" spans="1:30" x14ac:dyDescent="0.3">
      <c r="A905" t="s">
        <v>1875</v>
      </c>
      <c r="B905" t="s">
        <v>1876</v>
      </c>
      <c r="C905" t="s">
        <v>39</v>
      </c>
      <c r="D905">
        <v>27</v>
      </c>
      <c r="E905" t="s">
        <v>56</v>
      </c>
      <c r="F905" t="s">
        <v>57</v>
      </c>
      <c r="G905" t="s">
        <v>30</v>
      </c>
      <c r="H905" t="s">
        <v>31</v>
      </c>
      <c r="I905" t="s">
        <v>32</v>
      </c>
      <c r="J905" s="1">
        <v>44217</v>
      </c>
      <c r="K905">
        <v>5</v>
      </c>
      <c r="L905">
        <v>27843601</v>
      </c>
      <c r="M905">
        <v>5186120</v>
      </c>
      <c r="N905" t="s">
        <v>34</v>
      </c>
      <c r="O905">
        <v>2.56</v>
      </c>
      <c r="P905">
        <v>50</v>
      </c>
      <c r="Q905">
        <v>4</v>
      </c>
      <c r="R905">
        <v>5</v>
      </c>
      <c r="S905">
        <v>10</v>
      </c>
      <c r="T905" t="s">
        <v>33</v>
      </c>
      <c r="U905" t="s">
        <v>34</v>
      </c>
      <c r="V905" t="s">
        <v>44</v>
      </c>
      <c r="W905" t="s">
        <v>33</v>
      </c>
      <c r="X905" t="s">
        <v>52</v>
      </c>
      <c r="Z905" t="str">
        <f>IF(Table1[[#This Row],[Age]]&lt;30,"20-29",IF(Table1[[#This Row],[Age]]&lt;40,"30-39",IF(Table1[[#This Row],[Age]]&lt;50,"40-49","50+")))</f>
        <v>20-29</v>
      </c>
      <c r="AA905" t="str">
        <f>IF(Table1[[#This Row],[Salary]]&lt;20000000,"low",IF(Table1[[#This Row],[Salary]]&lt;40000000,"medium","high"))</f>
        <v>medium</v>
      </c>
      <c r="AB905">
        <f>YEAR(Table1[[#This Row],[Hire Date]])</f>
        <v>2021</v>
      </c>
      <c r="AC905" t="str">
        <f>TEXT(Table1[[#This Row],[Hire Date]],"mmmm")</f>
        <v>ژانويه</v>
      </c>
      <c r="AD905" t="str">
        <f>IF(Table1[[#This Row],[Resigned]]="yes","former","active")</f>
        <v>active</v>
      </c>
    </row>
    <row r="906" spans="1:30" x14ac:dyDescent="0.3">
      <c r="A906" t="s">
        <v>1877</v>
      </c>
      <c r="B906" t="s">
        <v>1878</v>
      </c>
      <c r="C906" t="s">
        <v>27</v>
      </c>
      <c r="D906">
        <v>57</v>
      </c>
      <c r="E906" t="s">
        <v>40</v>
      </c>
      <c r="F906" t="s">
        <v>48</v>
      </c>
      <c r="G906" t="s">
        <v>30</v>
      </c>
      <c r="H906" t="s">
        <v>42</v>
      </c>
      <c r="I906" t="s">
        <v>43</v>
      </c>
      <c r="J906" s="1">
        <v>43453</v>
      </c>
      <c r="K906">
        <v>8</v>
      </c>
      <c r="L906">
        <v>46152996</v>
      </c>
      <c r="M906">
        <v>9478129</v>
      </c>
      <c r="N906" t="s">
        <v>33</v>
      </c>
      <c r="O906">
        <v>3.88</v>
      </c>
      <c r="P906">
        <v>21</v>
      </c>
      <c r="Q906">
        <v>3</v>
      </c>
      <c r="R906">
        <v>5</v>
      </c>
      <c r="S906">
        <v>11</v>
      </c>
      <c r="T906" t="s">
        <v>33</v>
      </c>
      <c r="U906" t="s">
        <v>34</v>
      </c>
      <c r="V906" t="s">
        <v>59</v>
      </c>
      <c r="W906" t="s">
        <v>33</v>
      </c>
      <c r="X906" t="s">
        <v>52</v>
      </c>
      <c r="Z906" t="str">
        <f>IF(Table1[[#This Row],[Age]]&lt;30,"20-29",IF(Table1[[#This Row],[Age]]&lt;40,"30-39",IF(Table1[[#This Row],[Age]]&lt;50,"40-49","50+")))</f>
        <v>50+</v>
      </c>
      <c r="AA906" t="str">
        <f>IF(Table1[[#This Row],[Salary]]&lt;20000000,"low",IF(Table1[[#This Row],[Salary]]&lt;40000000,"medium","high"))</f>
        <v>high</v>
      </c>
      <c r="AB906">
        <f>YEAR(Table1[[#This Row],[Hire Date]])</f>
        <v>2018</v>
      </c>
      <c r="AC906" t="str">
        <f>TEXT(Table1[[#This Row],[Hire Date]],"mmmm")</f>
        <v>دسامبر</v>
      </c>
      <c r="AD906" t="str">
        <f>IF(Table1[[#This Row],[Resigned]]="yes","former","active")</f>
        <v>active</v>
      </c>
    </row>
    <row r="907" spans="1:30" x14ac:dyDescent="0.3">
      <c r="A907" t="s">
        <v>1879</v>
      </c>
      <c r="B907" t="s">
        <v>1880</v>
      </c>
      <c r="C907" t="s">
        <v>39</v>
      </c>
      <c r="D907">
        <v>27</v>
      </c>
      <c r="E907" t="s">
        <v>110</v>
      </c>
      <c r="F907" t="s">
        <v>120</v>
      </c>
      <c r="G907" t="s">
        <v>49</v>
      </c>
      <c r="H907" t="s">
        <v>42</v>
      </c>
      <c r="I907" t="s">
        <v>32</v>
      </c>
      <c r="J907" s="1">
        <v>42443</v>
      </c>
      <c r="K907">
        <v>10</v>
      </c>
      <c r="L907">
        <v>36792864</v>
      </c>
      <c r="M907">
        <v>5704576</v>
      </c>
      <c r="N907" t="s">
        <v>33</v>
      </c>
      <c r="O907">
        <v>3</v>
      </c>
      <c r="P907">
        <v>67</v>
      </c>
      <c r="Q907">
        <v>5</v>
      </c>
      <c r="R907">
        <v>5</v>
      </c>
      <c r="S907">
        <v>1</v>
      </c>
      <c r="T907" t="s">
        <v>33</v>
      </c>
      <c r="U907" t="s">
        <v>34</v>
      </c>
      <c r="V907" t="s">
        <v>35</v>
      </c>
      <c r="W907" t="s">
        <v>33</v>
      </c>
      <c r="X907" t="s">
        <v>45</v>
      </c>
      <c r="Z907" t="str">
        <f>IF(Table1[[#This Row],[Age]]&lt;30,"20-29",IF(Table1[[#This Row],[Age]]&lt;40,"30-39",IF(Table1[[#This Row],[Age]]&lt;50,"40-49","50+")))</f>
        <v>20-29</v>
      </c>
      <c r="AA907" t="str">
        <f>IF(Table1[[#This Row],[Salary]]&lt;20000000,"low",IF(Table1[[#This Row],[Salary]]&lt;40000000,"medium","high"))</f>
        <v>medium</v>
      </c>
      <c r="AB907">
        <f>YEAR(Table1[[#This Row],[Hire Date]])</f>
        <v>2016</v>
      </c>
      <c r="AC907" t="str">
        <f>TEXT(Table1[[#This Row],[Hire Date]],"mmmm")</f>
        <v>مارس</v>
      </c>
      <c r="AD907" t="str">
        <f>IF(Table1[[#This Row],[Resigned]]="yes","former","active")</f>
        <v>active</v>
      </c>
    </row>
    <row r="908" spans="1:30" x14ac:dyDescent="0.3">
      <c r="A908" t="s">
        <v>1881</v>
      </c>
      <c r="B908" t="s">
        <v>1882</v>
      </c>
      <c r="C908" t="s">
        <v>39</v>
      </c>
      <c r="D908">
        <v>39</v>
      </c>
      <c r="E908" t="s">
        <v>40</v>
      </c>
      <c r="F908" t="s">
        <v>41</v>
      </c>
      <c r="G908" t="s">
        <v>58</v>
      </c>
      <c r="H908" t="s">
        <v>42</v>
      </c>
      <c r="I908" t="s">
        <v>81</v>
      </c>
      <c r="J908" s="1">
        <v>42639</v>
      </c>
      <c r="K908">
        <v>10</v>
      </c>
      <c r="L908">
        <v>49272144</v>
      </c>
      <c r="M908">
        <v>4497240</v>
      </c>
      <c r="N908" t="s">
        <v>33</v>
      </c>
      <c r="O908">
        <v>3.07</v>
      </c>
      <c r="P908">
        <v>10</v>
      </c>
      <c r="Q908">
        <v>5</v>
      </c>
      <c r="R908">
        <v>4</v>
      </c>
      <c r="S908">
        <v>17</v>
      </c>
      <c r="T908" t="s">
        <v>34</v>
      </c>
      <c r="U908" t="s">
        <v>33</v>
      </c>
      <c r="V908" t="s">
        <v>70</v>
      </c>
      <c r="W908" t="s">
        <v>34</v>
      </c>
      <c r="X908" t="s">
        <v>45</v>
      </c>
      <c r="Y908" t="s">
        <v>75</v>
      </c>
      <c r="Z908" t="str">
        <f>IF(Table1[[#This Row],[Age]]&lt;30,"20-29",IF(Table1[[#This Row],[Age]]&lt;40,"30-39",IF(Table1[[#This Row],[Age]]&lt;50,"40-49","50+")))</f>
        <v>30-39</v>
      </c>
      <c r="AA908" t="str">
        <f>IF(Table1[[#This Row],[Salary]]&lt;20000000,"low",IF(Table1[[#This Row],[Salary]]&lt;40000000,"medium","high"))</f>
        <v>high</v>
      </c>
      <c r="AB908">
        <f>YEAR(Table1[[#This Row],[Hire Date]])</f>
        <v>2016</v>
      </c>
      <c r="AC908" t="str">
        <f>TEXT(Table1[[#This Row],[Hire Date]],"mmmm")</f>
        <v>سپتامبر</v>
      </c>
      <c r="AD908" t="str">
        <f>IF(Table1[[#This Row],[Resigned]]="yes","former","active")</f>
        <v>former</v>
      </c>
    </row>
    <row r="909" spans="1:30" x14ac:dyDescent="0.3">
      <c r="A909" t="s">
        <v>1883</v>
      </c>
      <c r="B909" t="s">
        <v>1884</v>
      </c>
      <c r="C909" t="s">
        <v>39</v>
      </c>
      <c r="D909">
        <v>22</v>
      </c>
      <c r="E909" t="s">
        <v>63</v>
      </c>
      <c r="F909" t="s">
        <v>93</v>
      </c>
      <c r="G909" t="s">
        <v>30</v>
      </c>
      <c r="H909" t="s">
        <v>42</v>
      </c>
      <c r="I909" t="s">
        <v>50</v>
      </c>
      <c r="J909" s="1">
        <v>43625</v>
      </c>
      <c r="K909">
        <v>7</v>
      </c>
      <c r="L909">
        <v>27678610</v>
      </c>
      <c r="M909">
        <v>1252000</v>
      </c>
      <c r="N909" t="s">
        <v>33</v>
      </c>
      <c r="O909">
        <v>3.13</v>
      </c>
      <c r="P909">
        <v>28</v>
      </c>
      <c r="Q909">
        <v>4</v>
      </c>
      <c r="R909">
        <v>3</v>
      </c>
      <c r="S909">
        <v>2</v>
      </c>
      <c r="T909" t="s">
        <v>33</v>
      </c>
      <c r="U909" t="s">
        <v>34</v>
      </c>
      <c r="V909" t="s">
        <v>70</v>
      </c>
      <c r="W909" t="s">
        <v>34</v>
      </c>
      <c r="X909" t="s">
        <v>36</v>
      </c>
      <c r="Z909" t="str">
        <f>IF(Table1[[#This Row],[Age]]&lt;30,"20-29",IF(Table1[[#This Row],[Age]]&lt;40,"30-39",IF(Table1[[#This Row],[Age]]&lt;50,"40-49","50+")))</f>
        <v>20-29</v>
      </c>
      <c r="AA909" t="str">
        <f>IF(Table1[[#This Row],[Salary]]&lt;20000000,"low",IF(Table1[[#This Row],[Salary]]&lt;40000000,"medium","high"))</f>
        <v>medium</v>
      </c>
      <c r="AB909">
        <f>YEAR(Table1[[#This Row],[Hire Date]])</f>
        <v>2019</v>
      </c>
      <c r="AC909" t="str">
        <f>TEXT(Table1[[#This Row],[Hire Date]],"mmmm")</f>
        <v>ژوئن</v>
      </c>
      <c r="AD909" t="str">
        <f>IF(Table1[[#This Row],[Resigned]]="yes","former","active")</f>
        <v>active</v>
      </c>
    </row>
    <row r="910" spans="1:30" x14ac:dyDescent="0.3">
      <c r="A910" t="s">
        <v>1885</v>
      </c>
      <c r="B910" t="s">
        <v>1886</v>
      </c>
      <c r="C910" t="s">
        <v>27</v>
      </c>
      <c r="D910">
        <v>58</v>
      </c>
      <c r="E910" t="s">
        <v>40</v>
      </c>
      <c r="F910" t="s">
        <v>41</v>
      </c>
      <c r="G910" t="s">
        <v>30</v>
      </c>
      <c r="H910" t="s">
        <v>31</v>
      </c>
      <c r="I910" t="s">
        <v>43</v>
      </c>
      <c r="J910" s="1">
        <v>45868</v>
      </c>
      <c r="K910">
        <v>1</v>
      </c>
      <c r="L910">
        <v>22322676</v>
      </c>
      <c r="M910">
        <v>678277</v>
      </c>
      <c r="N910" t="s">
        <v>34</v>
      </c>
      <c r="O910">
        <v>4.2300000000000004</v>
      </c>
      <c r="P910">
        <v>39</v>
      </c>
      <c r="Q910">
        <v>1</v>
      </c>
      <c r="R910">
        <v>2</v>
      </c>
      <c r="S910">
        <v>5</v>
      </c>
      <c r="T910" t="s">
        <v>34</v>
      </c>
      <c r="U910" t="s">
        <v>34</v>
      </c>
      <c r="V910" t="s">
        <v>44</v>
      </c>
      <c r="W910" t="s">
        <v>34</v>
      </c>
      <c r="X910" t="s">
        <v>36</v>
      </c>
      <c r="Z910" t="str">
        <f>IF(Table1[[#This Row],[Age]]&lt;30,"20-29",IF(Table1[[#This Row],[Age]]&lt;40,"30-39",IF(Table1[[#This Row],[Age]]&lt;50,"40-49","50+")))</f>
        <v>50+</v>
      </c>
      <c r="AA910" t="str">
        <f>IF(Table1[[#This Row],[Salary]]&lt;20000000,"low",IF(Table1[[#This Row],[Salary]]&lt;40000000,"medium","high"))</f>
        <v>medium</v>
      </c>
      <c r="AB910">
        <f>YEAR(Table1[[#This Row],[Hire Date]])</f>
        <v>2025</v>
      </c>
      <c r="AC910" t="str">
        <f>TEXT(Table1[[#This Row],[Hire Date]],"mmmm")</f>
        <v>ژوئيه</v>
      </c>
      <c r="AD910" t="str">
        <f>IF(Table1[[#This Row],[Resigned]]="yes","former","active")</f>
        <v>active</v>
      </c>
    </row>
    <row r="911" spans="1:30" x14ac:dyDescent="0.3">
      <c r="A911" t="s">
        <v>1887</v>
      </c>
      <c r="B911" t="s">
        <v>1888</v>
      </c>
      <c r="C911" t="s">
        <v>27</v>
      </c>
      <c r="D911">
        <v>47</v>
      </c>
      <c r="E911" t="s">
        <v>56</v>
      </c>
      <c r="F911" t="s">
        <v>84</v>
      </c>
      <c r="G911" t="s">
        <v>49</v>
      </c>
      <c r="H911" t="s">
        <v>31</v>
      </c>
      <c r="I911" t="s">
        <v>50</v>
      </c>
      <c r="J911" s="1">
        <v>44441</v>
      </c>
      <c r="K911">
        <v>5</v>
      </c>
      <c r="L911">
        <v>20325015</v>
      </c>
      <c r="M911">
        <v>2428690</v>
      </c>
      <c r="N911" t="s">
        <v>33</v>
      </c>
      <c r="O911">
        <v>4.91</v>
      </c>
      <c r="P911">
        <v>2</v>
      </c>
      <c r="Q911">
        <v>5</v>
      </c>
      <c r="R911">
        <v>1</v>
      </c>
      <c r="S911">
        <v>18</v>
      </c>
      <c r="T911" t="s">
        <v>34</v>
      </c>
      <c r="U911" t="s">
        <v>34</v>
      </c>
      <c r="V911" t="s">
        <v>51</v>
      </c>
      <c r="W911" t="s">
        <v>34</v>
      </c>
      <c r="X911" t="s">
        <v>45</v>
      </c>
      <c r="Z911" t="str">
        <f>IF(Table1[[#This Row],[Age]]&lt;30,"20-29",IF(Table1[[#This Row],[Age]]&lt;40,"30-39",IF(Table1[[#This Row],[Age]]&lt;50,"40-49","50+")))</f>
        <v>40-49</v>
      </c>
      <c r="AA911" t="str">
        <f>IF(Table1[[#This Row],[Salary]]&lt;20000000,"low",IF(Table1[[#This Row],[Salary]]&lt;40000000,"medium","high"))</f>
        <v>medium</v>
      </c>
      <c r="AB911">
        <f>YEAR(Table1[[#This Row],[Hire Date]])</f>
        <v>2021</v>
      </c>
      <c r="AC911" t="str">
        <f>TEXT(Table1[[#This Row],[Hire Date]],"mmmm")</f>
        <v>سپتامبر</v>
      </c>
      <c r="AD911" t="str">
        <f>IF(Table1[[#This Row],[Resigned]]="yes","former","active")</f>
        <v>active</v>
      </c>
    </row>
    <row r="912" spans="1:30" x14ac:dyDescent="0.3">
      <c r="A912" t="s">
        <v>1889</v>
      </c>
      <c r="B912" t="s">
        <v>1890</v>
      </c>
      <c r="C912" t="s">
        <v>27</v>
      </c>
      <c r="D912">
        <v>27</v>
      </c>
      <c r="E912" t="s">
        <v>56</v>
      </c>
      <c r="F912" t="s">
        <v>84</v>
      </c>
      <c r="G912" t="s">
        <v>58</v>
      </c>
      <c r="H912" t="s">
        <v>31</v>
      </c>
      <c r="I912" t="s">
        <v>43</v>
      </c>
      <c r="J912" s="1">
        <v>45682</v>
      </c>
      <c r="K912">
        <v>1</v>
      </c>
      <c r="L912">
        <v>34229737</v>
      </c>
      <c r="M912">
        <v>2349904</v>
      </c>
      <c r="N912" t="s">
        <v>33</v>
      </c>
      <c r="O912">
        <v>3.49</v>
      </c>
      <c r="P912">
        <v>37</v>
      </c>
      <c r="Q912">
        <v>4</v>
      </c>
      <c r="R912">
        <v>2</v>
      </c>
      <c r="S912">
        <v>19</v>
      </c>
      <c r="T912" t="s">
        <v>33</v>
      </c>
      <c r="U912" t="s">
        <v>34</v>
      </c>
      <c r="V912" t="s">
        <v>70</v>
      </c>
      <c r="W912" t="s">
        <v>34</v>
      </c>
      <c r="X912" t="s">
        <v>36</v>
      </c>
      <c r="Z912" t="str">
        <f>IF(Table1[[#This Row],[Age]]&lt;30,"20-29",IF(Table1[[#This Row],[Age]]&lt;40,"30-39",IF(Table1[[#This Row],[Age]]&lt;50,"40-49","50+")))</f>
        <v>20-29</v>
      </c>
      <c r="AA912" t="str">
        <f>IF(Table1[[#This Row],[Salary]]&lt;20000000,"low",IF(Table1[[#This Row],[Salary]]&lt;40000000,"medium","high"))</f>
        <v>medium</v>
      </c>
      <c r="AB912">
        <f>YEAR(Table1[[#This Row],[Hire Date]])</f>
        <v>2025</v>
      </c>
      <c r="AC912" t="str">
        <f>TEXT(Table1[[#This Row],[Hire Date]],"mmmm")</f>
        <v>ژانويه</v>
      </c>
      <c r="AD912" t="str">
        <f>IF(Table1[[#This Row],[Resigned]]="yes","former","active")</f>
        <v>active</v>
      </c>
    </row>
    <row r="913" spans="1:30" x14ac:dyDescent="0.3">
      <c r="A913" t="s">
        <v>1891</v>
      </c>
      <c r="B913" t="s">
        <v>1892</v>
      </c>
      <c r="C913" t="s">
        <v>27</v>
      </c>
      <c r="D913">
        <v>56</v>
      </c>
      <c r="E913" t="s">
        <v>40</v>
      </c>
      <c r="F913" t="s">
        <v>41</v>
      </c>
      <c r="G913" t="s">
        <v>58</v>
      </c>
      <c r="H913" t="s">
        <v>42</v>
      </c>
      <c r="I913" t="s">
        <v>32</v>
      </c>
      <c r="J913" s="1">
        <v>44581</v>
      </c>
      <c r="K913">
        <v>4</v>
      </c>
      <c r="L913">
        <v>27564573</v>
      </c>
      <c r="M913">
        <v>7090914</v>
      </c>
      <c r="N913" t="s">
        <v>33</v>
      </c>
      <c r="O913">
        <v>2.97</v>
      </c>
      <c r="P913">
        <v>27</v>
      </c>
      <c r="Q913">
        <v>1</v>
      </c>
      <c r="R913">
        <v>1</v>
      </c>
      <c r="S913">
        <v>2</v>
      </c>
      <c r="T913" t="s">
        <v>33</v>
      </c>
      <c r="U913" t="s">
        <v>34</v>
      </c>
      <c r="V913" t="s">
        <v>35</v>
      </c>
      <c r="W913" t="s">
        <v>34</v>
      </c>
      <c r="X913" t="s">
        <v>52</v>
      </c>
      <c r="Z913" t="str">
        <f>IF(Table1[[#This Row],[Age]]&lt;30,"20-29",IF(Table1[[#This Row],[Age]]&lt;40,"30-39",IF(Table1[[#This Row],[Age]]&lt;50,"40-49","50+")))</f>
        <v>50+</v>
      </c>
      <c r="AA913" t="str">
        <f>IF(Table1[[#This Row],[Salary]]&lt;20000000,"low",IF(Table1[[#This Row],[Salary]]&lt;40000000,"medium","high"))</f>
        <v>medium</v>
      </c>
      <c r="AB913">
        <f>YEAR(Table1[[#This Row],[Hire Date]])</f>
        <v>2022</v>
      </c>
      <c r="AC913" t="str">
        <f>TEXT(Table1[[#This Row],[Hire Date]],"mmmm")</f>
        <v>ژانويه</v>
      </c>
      <c r="AD913" t="str">
        <f>IF(Table1[[#This Row],[Resigned]]="yes","former","active")</f>
        <v>active</v>
      </c>
    </row>
    <row r="914" spans="1:30" x14ac:dyDescent="0.3">
      <c r="A914" t="s">
        <v>1893</v>
      </c>
      <c r="B914" t="s">
        <v>1894</v>
      </c>
      <c r="C914" t="s">
        <v>39</v>
      </c>
      <c r="D914">
        <v>24</v>
      </c>
      <c r="E914" t="s">
        <v>110</v>
      </c>
      <c r="F914" t="s">
        <v>111</v>
      </c>
      <c r="G914" t="s">
        <v>30</v>
      </c>
      <c r="H914" t="s">
        <v>42</v>
      </c>
      <c r="I914" t="s">
        <v>32</v>
      </c>
      <c r="J914" s="1">
        <v>44416</v>
      </c>
      <c r="K914">
        <v>5</v>
      </c>
      <c r="L914">
        <v>29698306</v>
      </c>
      <c r="M914">
        <v>2925357</v>
      </c>
      <c r="N914" t="s">
        <v>34</v>
      </c>
      <c r="O914">
        <v>3.24</v>
      </c>
      <c r="P914">
        <v>57</v>
      </c>
      <c r="Q914">
        <v>1</v>
      </c>
      <c r="R914">
        <v>4</v>
      </c>
      <c r="S914">
        <v>8</v>
      </c>
      <c r="T914" t="s">
        <v>33</v>
      </c>
      <c r="U914" t="s">
        <v>34</v>
      </c>
      <c r="V914" t="s">
        <v>35</v>
      </c>
      <c r="W914" t="s">
        <v>34</v>
      </c>
      <c r="X914" t="s">
        <v>45</v>
      </c>
      <c r="Z914" t="str">
        <f>IF(Table1[[#This Row],[Age]]&lt;30,"20-29",IF(Table1[[#This Row],[Age]]&lt;40,"30-39",IF(Table1[[#This Row],[Age]]&lt;50,"40-49","50+")))</f>
        <v>20-29</v>
      </c>
      <c r="AA914" t="str">
        <f>IF(Table1[[#This Row],[Salary]]&lt;20000000,"low",IF(Table1[[#This Row],[Salary]]&lt;40000000,"medium","high"))</f>
        <v>medium</v>
      </c>
      <c r="AB914">
        <f>YEAR(Table1[[#This Row],[Hire Date]])</f>
        <v>2021</v>
      </c>
      <c r="AC914" t="str">
        <f>TEXT(Table1[[#This Row],[Hire Date]],"mmmm")</f>
        <v>اوت</v>
      </c>
      <c r="AD914" t="str">
        <f>IF(Table1[[#This Row],[Resigned]]="yes","former","active")</f>
        <v>active</v>
      </c>
    </row>
    <row r="915" spans="1:30" x14ac:dyDescent="0.3">
      <c r="A915" t="s">
        <v>1895</v>
      </c>
      <c r="B915" t="s">
        <v>1896</v>
      </c>
      <c r="C915" t="s">
        <v>27</v>
      </c>
      <c r="D915">
        <v>26</v>
      </c>
      <c r="E915" t="s">
        <v>110</v>
      </c>
      <c r="F915" t="s">
        <v>120</v>
      </c>
      <c r="G915" t="s">
        <v>58</v>
      </c>
      <c r="H915" t="s">
        <v>42</v>
      </c>
      <c r="I915" t="s">
        <v>65</v>
      </c>
      <c r="J915" s="1">
        <v>43047</v>
      </c>
      <c r="K915">
        <v>9</v>
      </c>
      <c r="L915">
        <v>20117912</v>
      </c>
      <c r="M915">
        <v>4105373</v>
      </c>
      <c r="N915" t="s">
        <v>33</v>
      </c>
      <c r="O915">
        <v>3.05</v>
      </c>
      <c r="P915">
        <v>44</v>
      </c>
      <c r="Q915">
        <v>1</v>
      </c>
      <c r="R915">
        <v>2</v>
      </c>
      <c r="S915">
        <v>13</v>
      </c>
      <c r="T915" t="s">
        <v>34</v>
      </c>
      <c r="U915" t="s">
        <v>34</v>
      </c>
      <c r="V915" t="s">
        <v>35</v>
      </c>
      <c r="W915" t="s">
        <v>34</v>
      </c>
      <c r="X915" t="s">
        <v>45</v>
      </c>
      <c r="Z915" t="str">
        <f>IF(Table1[[#This Row],[Age]]&lt;30,"20-29",IF(Table1[[#This Row],[Age]]&lt;40,"30-39",IF(Table1[[#This Row],[Age]]&lt;50,"40-49","50+")))</f>
        <v>20-29</v>
      </c>
      <c r="AA915" t="str">
        <f>IF(Table1[[#This Row],[Salary]]&lt;20000000,"low",IF(Table1[[#This Row],[Salary]]&lt;40000000,"medium","high"))</f>
        <v>medium</v>
      </c>
      <c r="AB915">
        <f>YEAR(Table1[[#This Row],[Hire Date]])</f>
        <v>2017</v>
      </c>
      <c r="AC915" t="str">
        <f>TEXT(Table1[[#This Row],[Hire Date]],"mmmm")</f>
        <v>نوامبر</v>
      </c>
      <c r="AD915" t="str">
        <f>IF(Table1[[#This Row],[Resigned]]="yes","former","active")</f>
        <v>active</v>
      </c>
    </row>
    <row r="916" spans="1:30" x14ac:dyDescent="0.3">
      <c r="A916" t="s">
        <v>1897</v>
      </c>
      <c r="B916" t="s">
        <v>1898</v>
      </c>
      <c r="C916" t="s">
        <v>27</v>
      </c>
      <c r="D916">
        <v>55</v>
      </c>
      <c r="E916" t="s">
        <v>56</v>
      </c>
      <c r="F916" t="s">
        <v>84</v>
      </c>
      <c r="G916" t="s">
        <v>49</v>
      </c>
      <c r="H916" t="s">
        <v>31</v>
      </c>
      <c r="I916" t="s">
        <v>81</v>
      </c>
      <c r="J916" s="1">
        <v>43961</v>
      </c>
      <c r="K916">
        <v>6</v>
      </c>
      <c r="L916">
        <v>48725750</v>
      </c>
      <c r="M916">
        <v>2764764</v>
      </c>
      <c r="N916" t="s">
        <v>33</v>
      </c>
      <c r="O916">
        <v>4.08</v>
      </c>
      <c r="P916">
        <v>75</v>
      </c>
      <c r="Q916">
        <v>1</v>
      </c>
      <c r="R916">
        <v>5</v>
      </c>
      <c r="S916">
        <v>3</v>
      </c>
      <c r="T916" t="s">
        <v>33</v>
      </c>
      <c r="U916" t="s">
        <v>34</v>
      </c>
      <c r="V916" t="s">
        <v>59</v>
      </c>
      <c r="W916" t="s">
        <v>34</v>
      </c>
      <c r="X916" t="s">
        <v>45</v>
      </c>
      <c r="Z916" t="str">
        <f>IF(Table1[[#This Row],[Age]]&lt;30,"20-29",IF(Table1[[#This Row],[Age]]&lt;40,"30-39",IF(Table1[[#This Row],[Age]]&lt;50,"40-49","50+")))</f>
        <v>50+</v>
      </c>
      <c r="AA916" t="str">
        <f>IF(Table1[[#This Row],[Salary]]&lt;20000000,"low",IF(Table1[[#This Row],[Salary]]&lt;40000000,"medium","high"))</f>
        <v>high</v>
      </c>
      <c r="AB916">
        <f>YEAR(Table1[[#This Row],[Hire Date]])</f>
        <v>2020</v>
      </c>
      <c r="AC916" t="str">
        <f>TEXT(Table1[[#This Row],[Hire Date]],"mmmm")</f>
        <v>مه</v>
      </c>
      <c r="AD916" t="str">
        <f>IF(Table1[[#This Row],[Resigned]]="yes","former","active")</f>
        <v>active</v>
      </c>
    </row>
    <row r="917" spans="1:30" x14ac:dyDescent="0.3">
      <c r="A917" t="s">
        <v>1899</v>
      </c>
      <c r="B917" t="s">
        <v>1900</v>
      </c>
      <c r="C917" t="s">
        <v>27</v>
      </c>
      <c r="D917">
        <v>32</v>
      </c>
      <c r="E917" t="s">
        <v>110</v>
      </c>
      <c r="F917" t="s">
        <v>120</v>
      </c>
      <c r="G917" t="s">
        <v>58</v>
      </c>
      <c r="H917" t="s">
        <v>42</v>
      </c>
      <c r="I917" t="s">
        <v>32</v>
      </c>
      <c r="J917" s="1">
        <v>44605</v>
      </c>
      <c r="K917">
        <v>4</v>
      </c>
      <c r="L917">
        <v>59244900</v>
      </c>
      <c r="M917">
        <v>2797281</v>
      </c>
      <c r="N917" t="s">
        <v>33</v>
      </c>
      <c r="O917">
        <v>2.79</v>
      </c>
      <c r="P917">
        <v>37</v>
      </c>
      <c r="Q917">
        <v>3</v>
      </c>
      <c r="R917">
        <v>4</v>
      </c>
      <c r="S917">
        <v>9</v>
      </c>
      <c r="T917" t="s">
        <v>34</v>
      </c>
      <c r="U917" t="s">
        <v>34</v>
      </c>
      <c r="V917" t="s">
        <v>51</v>
      </c>
      <c r="W917" t="s">
        <v>34</v>
      </c>
      <c r="X917" t="s">
        <v>45</v>
      </c>
      <c r="Z917" t="str">
        <f>IF(Table1[[#This Row],[Age]]&lt;30,"20-29",IF(Table1[[#This Row],[Age]]&lt;40,"30-39",IF(Table1[[#This Row],[Age]]&lt;50,"40-49","50+")))</f>
        <v>30-39</v>
      </c>
      <c r="AA917" t="str">
        <f>IF(Table1[[#This Row],[Salary]]&lt;20000000,"low",IF(Table1[[#This Row],[Salary]]&lt;40000000,"medium","high"))</f>
        <v>high</v>
      </c>
      <c r="AB917">
        <f>YEAR(Table1[[#This Row],[Hire Date]])</f>
        <v>2022</v>
      </c>
      <c r="AC917" t="str">
        <f>TEXT(Table1[[#This Row],[Hire Date]],"mmmm")</f>
        <v>فوريه</v>
      </c>
      <c r="AD917" t="str">
        <f>IF(Table1[[#This Row],[Resigned]]="yes","former","active")</f>
        <v>active</v>
      </c>
    </row>
    <row r="918" spans="1:30" x14ac:dyDescent="0.3">
      <c r="A918" t="s">
        <v>1901</v>
      </c>
      <c r="B918" t="s">
        <v>1902</v>
      </c>
      <c r="C918" t="s">
        <v>39</v>
      </c>
      <c r="D918">
        <v>44</v>
      </c>
      <c r="E918" t="s">
        <v>73</v>
      </c>
      <c r="F918" t="s">
        <v>74</v>
      </c>
      <c r="G918" t="s">
        <v>49</v>
      </c>
      <c r="H918" t="s">
        <v>42</v>
      </c>
      <c r="I918" t="s">
        <v>50</v>
      </c>
      <c r="J918" s="1">
        <v>43634</v>
      </c>
      <c r="K918">
        <v>7</v>
      </c>
      <c r="L918">
        <v>54147688</v>
      </c>
      <c r="M918">
        <v>4428957</v>
      </c>
      <c r="N918" t="s">
        <v>34</v>
      </c>
      <c r="O918">
        <v>4.78</v>
      </c>
      <c r="P918">
        <v>40</v>
      </c>
      <c r="Q918">
        <v>1</v>
      </c>
      <c r="R918">
        <v>3</v>
      </c>
      <c r="S918">
        <v>15</v>
      </c>
      <c r="T918" t="s">
        <v>34</v>
      </c>
      <c r="U918" t="s">
        <v>34</v>
      </c>
      <c r="V918" t="s">
        <v>44</v>
      </c>
      <c r="W918" t="s">
        <v>34</v>
      </c>
      <c r="X918" t="s">
        <v>36</v>
      </c>
      <c r="Z918" t="str">
        <f>IF(Table1[[#This Row],[Age]]&lt;30,"20-29",IF(Table1[[#This Row],[Age]]&lt;40,"30-39",IF(Table1[[#This Row],[Age]]&lt;50,"40-49","50+")))</f>
        <v>40-49</v>
      </c>
      <c r="AA918" t="str">
        <f>IF(Table1[[#This Row],[Salary]]&lt;20000000,"low",IF(Table1[[#This Row],[Salary]]&lt;40000000,"medium","high"))</f>
        <v>high</v>
      </c>
      <c r="AB918">
        <f>YEAR(Table1[[#This Row],[Hire Date]])</f>
        <v>2019</v>
      </c>
      <c r="AC918" t="str">
        <f>TEXT(Table1[[#This Row],[Hire Date]],"mmmm")</f>
        <v>ژوئن</v>
      </c>
      <c r="AD918" t="str">
        <f>IF(Table1[[#This Row],[Resigned]]="yes","former","active")</f>
        <v>active</v>
      </c>
    </row>
    <row r="919" spans="1:30" x14ac:dyDescent="0.3">
      <c r="A919" t="s">
        <v>1903</v>
      </c>
      <c r="B919" t="s">
        <v>1904</v>
      </c>
      <c r="C919" t="s">
        <v>39</v>
      </c>
      <c r="D919">
        <v>34</v>
      </c>
      <c r="E919" t="s">
        <v>40</v>
      </c>
      <c r="F919" t="s">
        <v>48</v>
      </c>
      <c r="G919" t="s">
        <v>30</v>
      </c>
      <c r="H919" t="s">
        <v>42</v>
      </c>
      <c r="I919" t="s">
        <v>81</v>
      </c>
      <c r="J919" s="1">
        <v>45457</v>
      </c>
      <c r="K919">
        <v>2</v>
      </c>
      <c r="L919">
        <v>48309567</v>
      </c>
      <c r="M919">
        <v>323363</v>
      </c>
      <c r="N919" t="s">
        <v>34</v>
      </c>
      <c r="O919">
        <v>3.58</v>
      </c>
      <c r="P919">
        <v>40</v>
      </c>
      <c r="Q919">
        <v>1</v>
      </c>
      <c r="R919">
        <v>1</v>
      </c>
      <c r="S919">
        <v>18</v>
      </c>
      <c r="T919" t="s">
        <v>33</v>
      </c>
      <c r="U919" t="s">
        <v>33</v>
      </c>
      <c r="V919" t="s">
        <v>51</v>
      </c>
      <c r="W919" t="s">
        <v>34</v>
      </c>
      <c r="X919" t="s">
        <v>36</v>
      </c>
      <c r="Y919" t="s">
        <v>53</v>
      </c>
      <c r="Z919" t="str">
        <f>IF(Table1[[#This Row],[Age]]&lt;30,"20-29",IF(Table1[[#This Row],[Age]]&lt;40,"30-39",IF(Table1[[#This Row],[Age]]&lt;50,"40-49","50+")))</f>
        <v>30-39</v>
      </c>
      <c r="AA919" t="str">
        <f>IF(Table1[[#This Row],[Salary]]&lt;20000000,"low",IF(Table1[[#This Row],[Salary]]&lt;40000000,"medium","high"))</f>
        <v>high</v>
      </c>
      <c r="AB919">
        <f>YEAR(Table1[[#This Row],[Hire Date]])</f>
        <v>2024</v>
      </c>
      <c r="AC919" t="str">
        <f>TEXT(Table1[[#This Row],[Hire Date]],"mmmm")</f>
        <v>ژوئن</v>
      </c>
      <c r="AD919" t="str">
        <f>IF(Table1[[#This Row],[Resigned]]="yes","former","active")</f>
        <v>former</v>
      </c>
    </row>
    <row r="920" spans="1:30" x14ac:dyDescent="0.3">
      <c r="A920" t="s">
        <v>1905</v>
      </c>
      <c r="B920" t="s">
        <v>1906</v>
      </c>
      <c r="C920" t="s">
        <v>27</v>
      </c>
      <c r="D920">
        <v>45</v>
      </c>
      <c r="E920" t="s">
        <v>73</v>
      </c>
      <c r="F920" t="s">
        <v>74</v>
      </c>
      <c r="G920" t="s">
        <v>30</v>
      </c>
      <c r="H920" t="s">
        <v>42</v>
      </c>
      <c r="I920" t="s">
        <v>65</v>
      </c>
      <c r="J920" s="1">
        <v>43245</v>
      </c>
      <c r="K920">
        <v>8</v>
      </c>
      <c r="L920">
        <v>46248230</v>
      </c>
      <c r="M920">
        <v>6750340</v>
      </c>
      <c r="N920" t="s">
        <v>34</v>
      </c>
      <c r="O920">
        <v>4.66</v>
      </c>
      <c r="P920">
        <v>26</v>
      </c>
      <c r="Q920">
        <v>3</v>
      </c>
      <c r="R920">
        <v>4</v>
      </c>
      <c r="S920">
        <v>13</v>
      </c>
      <c r="T920" t="s">
        <v>34</v>
      </c>
      <c r="U920" t="s">
        <v>34</v>
      </c>
      <c r="V920" t="s">
        <v>51</v>
      </c>
      <c r="W920" t="s">
        <v>33</v>
      </c>
      <c r="X920" t="s">
        <v>52</v>
      </c>
      <c r="Z920" t="str">
        <f>IF(Table1[[#This Row],[Age]]&lt;30,"20-29",IF(Table1[[#This Row],[Age]]&lt;40,"30-39",IF(Table1[[#This Row],[Age]]&lt;50,"40-49","50+")))</f>
        <v>40-49</v>
      </c>
      <c r="AA920" t="str">
        <f>IF(Table1[[#This Row],[Salary]]&lt;20000000,"low",IF(Table1[[#This Row],[Salary]]&lt;40000000,"medium","high"))</f>
        <v>high</v>
      </c>
      <c r="AB920">
        <f>YEAR(Table1[[#This Row],[Hire Date]])</f>
        <v>2018</v>
      </c>
      <c r="AC920" t="str">
        <f>TEXT(Table1[[#This Row],[Hire Date]],"mmmm")</f>
        <v>مه</v>
      </c>
      <c r="AD920" t="str">
        <f>IF(Table1[[#This Row],[Resigned]]="yes","former","active")</f>
        <v>active</v>
      </c>
    </row>
    <row r="921" spans="1:30" x14ac:dyDescent="0.3">
      <c r="A921" t="s">
        <v>1907</v>
      </c>
      <c r="B921" t="s">
        <v>1908</v>
      </c>
      <c r="C921" t="s">
        <v>39</v>
      </c>
      <c r="D921">
        <v>42</v>
      </c>
      <c r="E921" t="s">
        <v>73</v>
      </c>
      <c r="F921" t="s">
        <v>74</v>
      </c>
      <c r="G921" t="s">
        <v>58</v>
      </c>
      <c r="H921" t="s">
        <v>31</v>
      </c>
      <c r="I921" t="s">
        <v>81</v>
      </c>
      <c r="J921" s="1">
        <v>42709</v>
      </c>
      <c r="K921">
        <v>10</v>
      </c>
      <c r="L921">
        <v>35136283</v>
      </c>
      <c r="M921">
        <v>2772883</v>
      </c>
      <c r="N921" t="s">
        <v>34</v>
      </c>
      <c r="O921">
        <v>3.38</v>
      </c>
      <c r="P921">
        <v>15</v>
      </c>
      <c r="Q921">
        <v>3</v>
      </c>
      <c r="R921">
        <v>4</v>
      </c>
      <c r="S921">
        <v>3</v>
      </c>
      <c r="T921" t="s">
        <v>33</v>
      </c>
      <c r="U921" t="s">
        <v>34</v>
      </c>
      <c r="V921" t="s">
        <v>44</v>
      </c>
      <c r="W921" t="s">
        <v>33</v>
      </c>
      <c r="X921" t="s">
        <v>52</v>
      </c>
      <c r="Z921" t="str">
        <f>IF(Table1[[#This Row],[Age]]&lt;30,"20-29",IF(Table1[[#This Row],[Age]]&lt;40,"30-39",IF(Table1[[#This Row],[Age]]&lt;50,"40-49","50+")))</f>
        <v>40-49</v>
      </c>
      <c r="AA921" t="str">
        <f>IF(Table1[[#This Row],[Salary]]&lt;20000000,"low",IF(Table1[[#This Row],[Salary]]&lt;40000000,"medium","high"))</f>
        <v>medium</v>
      </c>
      <c r="AB921">
        <f>YEAR(Table1[[#This Row],[Hire Date]])</f>
        <v>2016</v>
      </c>
      <c r="AC921" t="str">
        <f>TEXT(Table1[[#This Row],[Hire Date]],"mmmm")</f>
        <v>دسامبر</v>
      </c>
      <c r="AD921" t="str">
        <f>IF(Table1[[#This Row],[Resigned]]="yes","former","active")</f>
        <v>active</v>
      </c>
    </row>
    <row r="922" spans="1:30" x14ac:dyDescent="0.3">
      <c r="A922" t="s">
        <v>1909</v>
      </c>
      <c r="B922" t="s">
        <v>1910</v>
      </c>
      <c r="C922" t="s">
        <v>39</v>
      </c>
      <c r="D922">
        <v>56</v>
      </c>
      <c r="E922" t="s">
        <v>56</v>
      </c>
      <c r="F922" t="s">
        <v>84</v>
      </c>
      <c r="G922" t="s">
        <v>30</v>
      </c>
      <c r="H922" t="s">
        <v>42</v>
      </c>
      <c r="I922" t="s">
        <v>81</v>
      </c>
      <c r="J922" s="1">
        <v>43352</v>
      </c>
      <c r="K922">
        <v>8</v>
      </c>
      <c r="L922">
        <v>45527707</v>
      </c>
      <c r="M922">
        <v>7851881</v>
      </c>
      <c r="N922" t="s">
        <v>34</v>
      </c>
      <c r="O922">
        <v>2.68</v>
      </c>
      <c r="P922">
        <v>75</v>
      </c>
      <c r="Q922">
        <v>4</v>
      </c>
      <c r="R922">
        <v>4</v>
      </c>
      <c r="S922">
        <v>2</v>
      </c>
      <c r="T922" t="s">
        <v>34</v>
      </c>
      <c r="U922" t="s">
        <v>34</v>
      </c>
      <c r="V922" t="s">
        <v>51</v>
      </c>
      <c r="W922" t="s">
        <v>34</v>
      </c>
      <c r="X922" t="s">
        <v>36</v>
      </c>
      <c r="Z922" t="str">
        <f>IF(Table1[[#This Row],[Age]]&lt;30,"20-29",IF(Table1[[#This Row],[Age]]&lt;40,"30-39",IF(Table1[[#This Row],[Age]]&lt;50,"40-49","50+")))</f>
        <v>50+</v>
      </c>
      <c r="AA922" t="str">
        <f>IF(Table1[[#This Row],[Salary]]&lt;20000000,"low",IF(Table1[[#This Row],[Salary]]&lt;40000000,"medium","high"))</f>
        <v>high</v>
      </c>
      <c r="AB922">
        <f>YEAR(Table1[[#This Row],[Hire Date]])</f>
        <v>2018</v>
      </c>
      <c r="AC922" t="str">
        <f>TEXT(Table1[[#This Row],[Hire Date]],"mmmm")</f>
        <v>سپتامبر</v>
      </c>
      <c r="AD922" t="str">
        <f>IF(Table1[[#This Row],[Resigned]]="yes","former","active")</f>
        <v>active</v>
      </c>
    </row>
    <row r="923" spans="1:30" x14ac:dyDescent="0.3">
      <c r="A923" t="s">
        <v>1911</v>
      </c>
      <c r="B923" t="s">
        <v>1912</v>
      </c>
      <c r="C923" t="s">
        <v>39</v>
      </c>
      <c r="D923">
        <v>36</v>
      </c>
      <c r="E923" t="s">
        <v>63</v>
      </c>
      <c r="F923" t="s">
        <v>93</v>
      </c>
      <c r="G923" t="s">
        <v>58</v>
      </c>
      <c r="H923" t="s">
        <v>42</v>
      </c>
      <c r="I923" t="s">
        <v>65</v>
      </c>
      <c r="J923" s="1">
        <v>43761</v>
      </c>
      <c r="K923">
        <v>7</v>
      </c>
      <c r="L923">
        <v>28941622</v>
      </c>
      <c r="M923">
        <v>270156</v>
      </c>
      <c r="N923" t="s">
        <v>34</v>
      </c>
      <c r="O923">
        <v>4.3600000000000003</v>
      </c>
      <c r="P923">
        <v>70</v>
      </c>
      <c r="Q923">
        <v>5</v>
      </c>
      <c r="R923">
        <v>1</v>
      </c>
      <c r="S923">
        <v>1</v>
      </c>
      <c r="T923" t="s">
        <v>34</v>
      </c>
      <c r="U923" t="s">
        <v>33</v>
      </c>
      <c r="V923" t="s">
        <v>35</v>
      </c>
      <c r="W923" t="s">
        <v>34</v>
      </c>
      <c r="X923" t="s">
        <v>45</v>
      </c>
      <c r="Y923" t="s">
        <v>60</v>
      </c>
      <c r="Z923" t="str">
        <f>IF(Table1[[#This Row],[Age]]&lt;30,"20-29",IF(Table1[[#This Row],[Age]]&lt;40,"30-39",IF(Table1[[#This Row],[Age]]&lt;50,"40-49","50+")))</f>
        <v>30-39</v>
      </c>
      <c r="AA923" t="str">
        <f>IF(Table1[[#This Row],[Salary]]&lt;20000000,"low",IF(Table1[[#This Row],[Salary]]&lt;40000000,"medium","high"))</f>
        <v>medium</v>
      </c>
      <c r="AB923">
        <f>YEAR(Table1[[#This Row],[Hire Date]])</f>
        <v>2019</v>
      </c>
      <c r="AC923" t="str">
        <f>TEXT(Table1[[#This Row],[Hire Date]],"mmmm")</f>
        <v>اُكتبر</v>
      </c>
      <c r="AD923" t="str">
        <f>IF(Table1[[#This Row],[Resigned]]="yes","former","active")</f>
        <v>former</v>
      </c>
    </row>
    <row r="924" spans="1:30" x14ac:dyDescent="0.3">
      <c r="A924" t="s">
        <v>1913</v>
      </c>
      <c r="B924" t="s">
        <v>1914</v>
      </c>
      <c r="C924" t="s">
        <v>27</v>
      </c>
      <c r="D924">
        <v>54</v>
      </c>
      <c r="E924" t="s">
        <v>40</v>
      </c>
      <c r="F924" t="s">
        <v>48</v>
      </c>
      <c r="G924" t="s">
        <v>58</v>
      </c>
      <c r="H924" t="s">
        <v>42</v>
      </c>
      <c r="I924" t="s">
        <v>50</v>
      </c>
      <c r="J924" s="1">
        <v>42847</v>
      </c>
      <c r="K924">
        <v>9</v>
      </c>
      <c r="L924">
        <v>44460313</v>
      </c>
      <c r="M924">
        <v>9495025</v>
      </c>
      <c r="N924" t="s">
        <v>33</v>
      </c>
      <c r="O924">
        <v>2.75</v>
      </c>
      <c r="P924">
        <v>37</v>
      </c>
      <c r="Q924">
        <v>5</v>
      </c>
      <c r="R924">
        <v>5</v>
      </c>
      <c r="S924">
        <v>0</v>
      </c>
      <c r="T924" t="s">
        <v>33</v>
      </c>
      <c r="U924" t="s">
        <v>33</v>
      </c>
      <c r="V924" t="s">
        <v>35</v>
      </c>
      <c r="W924" t="s">
        <v>34</v>
      </c>
      <c r="X924" t="s">
        <v>45</v>
      </c>
      <c r="Y924" t="s">
        <v>53</v>
      </c>
      <c r="Z924" t="str">
        <f>IF(Table1[[#This Row],[Age]]&lt;30,"20-29",IF(Table1[[#This Row],[Age]]&lt;40,"30-39",IF(Table1[[#This Row],[Age]]&lt;50,"40-49","50+")))</f>
        <v>50+</v>
      </c>
      <c r="AA924" t="str">
        <f>IF(Table1[[#This Row],[Salary]]&lt;20000000,"low",IF(Table1[[#This Row],[Salary]]&lt;40000000,"medium","high"))</f>
        <v>high</v>
      </c>
      <c r="AB924">
        <f>YEAR(Table1[[#This Row],[Hire Date]])</f>
        <v>2017</v>
      </c>
      <c r="AC924" t="str">
        <f>TEXT(Table1[[#This Row],[Hire Date]],"mmmm")</f>
        <v>آوريل</v>
      </c>
      <c r="AD924" t="str">
        <f>IF(Table1[[#This Row],[Resigned]]="yes","former","active")</f>
        <v>former</v>
      </c>
    </row>
    <row r="925" spans="1:30" x14ac:dyDescent="0.3">
      <c r="A925" t="s">
        <v>1915</v>
      </c>
      <c r="B925" t="s">
        <v>1916</v>
      </c>
      <c r="C925" t="s">
        <v>39</v>
      </c>
      <c r="D925">
        <v>52</v>
      </c>
      <c r="E925" t="s">
        <v>63</v>
      </c>
      <c r="F925" t="s">
        <v>93</v>
      </c>
      <c r="G925" t="s">
        <v>58</v>
      </c>
      <c r="H925" t="s">
        <v>31</v>
      </c>
      <c r="I925" t="s">
        <v>32</v>
      </c>
      <c r="J925" s="1">
        <v>42719</v>
      </c>
      <c r="K925">
        <v>10</v>
      </c>
      <c r="L925">
        <v>36769209</v>
      </c>
      <c r="M925">
        <v>142265</v>
      </c>
      <c r="N925" t="s">
        <v>33</v>
      </c>
      <c r="O925">
        <v>3.24</v>
      </c>
      <c r="P925">
        <v>56</v>
      </c>
      <c r="Q925">
        <v>1</v>
      </c>
      <c r="R925">
        <v>2</v>
      </c>
      <c r="S925">
        <v>10</v>
      </c>
      <c r="T925" t="s">
        <v>33</v>
      </c>
      <c r="U925" t="s">
        <v>34</v>
      </c>
      <c r="V925" t="s">
        <v>70</v>
      </c>
      <c r="W925" t="s">
        <v>33</v>
      </c>
      <c r="X925" t="s">
        <v>36</v>
      </c>
      <c r="Z925" t="str">
        <f>IF(Table1[[#This Row],[Age]]&lt;30,"20-29",IF(Table1[[#This Row],[Age]]&lt;40,"30-39",IF(Table1[[#This Row],[Age]]&lt;50,"40-49","50+")))</f>
        <v>50+</v>
      </c>
      <c r="AA925" t="str">
        <f>IF(Table1[[#This Row],[Salary]]&lt;20000000,"low",IF(Table1[[#This Row],[Salary]]&lt;40000000,"medium","high"))</f>
        <v>medium</v>
      </c>
      <c r="AB925">
        <f>YEAR(Table1[[#This Row],[Hire Date]])</f>
        <v>2016</v>
      </c>
      <c r="AC925" t="str">
        <f>TEXT(Table1[[#This Row],[Hire Date]],"mmmm")</f>
        <v>دسامبر</v>
      </c>
      <c r="AD925" t="str">
        <f>IF(Table1[[#This Row],[Resigned]]="yes","former","active")</f>
        <v>active</v>
      </c>
    </row>
    <row r="926" spans="1:30" x14ac:dyDescent="0.3">
      <c r="A926" t="s">
        <v>1917</v>
      </c>
      <c r="B926" t="s">
        <v>1918</v>
      </c>
      <c r="C926" t="s">
        <v>27</v>
      </c>
      <c r="D926">
        <v>36</v>
      </c>
      <c r="E926" t="s">
        <v>110</v>
      </c>
      <c r="F926" t="s">
        <v>120</v>
      </c>
      <c r="G926" t="s">
        <v>30</v>
      </c>
      <c r="H926" t="s">
        <v>42</v>
      </c>
      <c r="I926" t="s">
        <v>65</v>
      </c>
      <c r="J926" s="1">
        <v>43762</v>
      </c>
      <c r="K926">
        <v>7</v>
      </c>
      <c r="L926">
        <v>41685867</v>
      </c>
      <c r="M926">
        <v>388710</v>
      </c>
      <c r="N926" t="s">
        <v>34</v>
      </c>
      <c r="O926">
        <v>3.25</v>
      </c>
      <c r="P926">
        <v>5</v>
      </c>
      <c r="Q926">
        <v>1</v>
      </c>
      <c r="R926">
        <v>3</v>
      </c>
      <c r="S926">
        <v>20</v>
      </c>
      <c r="T926" t="s">
        <v>34</v>
      </c>
      <c r="U926" t="s">
        <v>34</v>
      </c>
      <c r="V926" t="s">
        <v>59</v>
      </c>
      <c r="W926" t="s">
        <v>34</v>
      </c>
      <c r="X926" t="s">
        <v>45</v>
      </c>
      <c r="Z926" t="str">
        <f>IF(Table1[[#This Row],[Age]]&lt;30,"20-29",IF(Table1[[#This Row],[Age]]&lt;40,"30-39",IF(Table1[[#This Row],[Age]]&lt;50,"40-49","50+")))</f>
        <v>30-39</v>
      </c>
      <c r="AA926" t="str">
        <f>IF(Table1[[#This Row],[Salary]]&lt;20000000,"low",IF(Table1[[#This Row],[Salary]]&lt;40000000,"medium","high"))</f>
        <v>high</v>
      </c>
      <c r="AB926">
        <f>YEAR(Table1[[#This Row],[Hire Date]])</f>
        <v>2019</v>
      </c>
      <c r="AC926" t="str">
        <f>TEXT(Table1[[#This Row],[Hire Date]],"mmmm")</f>
        <v>اُكتبر</v>
      </c>
      <c r="AD926" t="str">
        <f>IF(Table1[[#This Row],[Resigned]]="yes","former","active")</f>
        <v>active</v>
      </c>
    </row>
    <row r="927" spans="1:30" x14ac:dyDescent="0.3">
      <c r="A927" t="s">
        <v>1919</v>
      </c>
      <c r="B927" t="s">
        <v>1920</v>
      </c>
      <c r="C927" t="s">
        <v>27</v>
      </c>
      <c r="D927">
        <v>25</v>
      </c>
      <c r="E927" t="s">
        <v>73</v>
      </c>
      <c r="F927" t="s">
        <v>74</v>
      </c>
      <c r="G927" t="s">
        <v>49</v>
      </c>
      <c r="H927" t="s">
        <v>42</v>
      </c>
      <c r="I927" t="s">
        <v>50</v>
      </c>
      <c r="J927" s="1">
        <v>44109</v>
      </c>
      <c r="K927">
        <v>6</v>
      </c>
      <c r="L927">
        <v>25349495</v>
      </c>
      <c r="M927">
        <v>5744941</v>
      </c>
      <c r="N927" t="s">
        <v>34</v>
      </c>
      <c r="O927">
        <v>3.7</v>
      </c>
      <c r="P927">
        <v>6</v>
      </c>
      <c r="Q927">
        <v>4</v>
      </c>
      <c r="R927">
        <v>2</v>
      </c>
      <c r="S927">
        <v>13</v>
      </c>
      <c r="T927" t="s">
        <v>33</v>
      </c>
      <c r="U927" t="s">
        <v>33</v>
      </c>
      <c r="V927" t="s">
        <v>70</v>
      </c>
      <c r="W927" t="s">
        <v>34</v>
      </c>
      <c r="X927" t="s">
        <v>36</v>
      </c>
      <c r="Y927" t="s">
        <v>53</v>
      </c>
      <c r="Z927" t="str">
        <f>IF(Table1[[#This Row],[Age]]&lt;30,"20-29",IF(Table1[[#This Row],[Age]]&lt;40,"30-39",IF(Table1[[#This Row],[Age]]&lt;50,"40-49","50+")))</f>
        <v>20-29</v>
      </c>
      <c r="AA927" t="str">
        <f>IF(Table1[[#This Row],[Salary]]&lt;20000000,"low",IF(Table1[[#This Row],[Salary]]&lt;40000000,"medium","high"))</f>
        <v>medium</v>
      </c>
      <c r="AB927">
        <f>YEAR(Table1[[#This Row],[Hire Date]])</f>
        <v>2020</v>
      </c>
      <c r="AC927" t="str">
        <f>TEXT(Table1[[#This Row],[Hire Date]],"mmmm")</f>
        <v>اُكتبر</v>
      </c>
      <c r="AD927" t="str">
        <f>IF(Table1[[#This Row],[Resigned]]="yes","former","active")</f>
        <v>former</v>
      </c>
    </row>
    <row r="928" spans="1:30" x14ac:dyDescent="0.3">
      <c r="A928" t="s">
        <v>1921</v>
      </c>
      <c r="B928" t="s">
        <v>1922</v>
      </c>
      <c r="C928" t="s">
        <v>39</v>
      </c>
      <c r="D928">
        <v>47</v>
      </c>
      <c r="E928" t="s">
        <v>40</v>
      </c>
      <c r="F928" t="s">
        <v>41</v>
      </c>
      <c r="G928" t="s">
        <v>30</v>
      </c>
      <c r="H928" t="s">
        <v>31</v>
      </c>
      <c r="I928" t="s">
        <v>65</v>
      </c>
      <c r="J928" s="1">
        <v>44235</v>
      </c>
      <c r="K928">
        <v>5</v>
      </c>
      <c r="L928">
        <v>47527478</v>
      </c>
      <c r="M928">
        <v>2263822</v>
      </c>
      <c r="N928" t="s">
        <v>34</v>
      </c>
      <c r="O928">
        <v>3.35</v>
      </c>
      <c r="P928">
        <v>8</v>
      </c>
      <c r="Q928">
        <v>5</v>
      </c>
      <c r="R928">
        <v>2</v>
      </c>
      <c r="S928">
        <v>0</v>
      </c>
      <c r="T928" t="s">
        <v>33</v>
      </c>
      <c r="U928" t="s">
        <v>34</v>
      </c>
      <c r="V928" t="s">
        <v>51</v>
      </c>
      <c r="W928" t="s">
        <v>33</v>
      </c>
      <c r="X928" t="s">
        <v>52</v>
      </c>
      <c r="Z928" t="str">
        <f>IF(Table1[[#This Row],[Age]]&lt;30,"20-29",IF(Table1[[#This Row],[Age]]&lt;40,"30-39",IF(Table1[[#This Row],[Age]]&lt;50,"40-49","50+")))</f>
        <v>40-49</v>
      </c>
      <c r="AA928" t="str">
        <f>IF(Table1[[#This Row],[Salary]]&lt;20000000,"low",IF(Table1[[#This Row],[Salary]]&lt;40000000,"medium","high"))</f>
        <v>high</v>
      </c>
      <c r="AB928">
        <f>YEAR(Table1[[#This Row],[Hire Date]])</f>
        <v>2021</v>
      </c>
      <c r="AC928" t="str">
        <f>TEXT(Table1[[#This Row],[Hire Date]],"mmmm")</f>
        <v>فوريه</v>
      </c>
      <c r="AD928" t="str">
        <f>IF(Table1[[#This Row],[Resigned]]="yes","former","active")</f>
        <v>active</v>
      </c>
    </row>
    <row r="929" spans="1:30" x14ac:dyDescent="0.3">
      <c r="A929" t="s">
        <v>1923</v>
      </c>
      <c r="B929" t="s">
        <v>1924</v>
      </c>
      <c r="C929" t="s">
        <v>39</v>
      </c>
      <c r="D929">
        <v>29</v>
      </c>
      <c r="E929" t="s">
        <v>40</v>
      </c>
      <c r="F929" t="s">
        <v>41</v>
      </c>
      <c r="G929" t="s">
        <v>30</v>
      </c>
      <c r="H929" t="s">
        <v>42</v>
      </c>
      <c r="I929" t="s">
        <v>32</v>
      </c>
      <c r="J929" s="1">
        <v>45567</v>
      </c>
      <c r="K929">
        <v>2</v>
      </c>
      <c r="L929">
        <v>47574626</v>
      </c>
      <c r="M929">
        <v>8909549</v>
      </c>
      <c r="N929" t="s">
        <v>34</v>
      </c>
      <c r="O929">
        <v>4.5199999999999996</v>
      </c>
      <c r="P929">
        <v>37</v>
      </c>
      <c r="Q929">
        <v>3</v>
      </c>
      <c r="R929">
        <v>5</v>
      </c>
      <c r="S929">
        <v>1</v>
      </c>
      <c r="T929" t="s">
        <v>34</v>
      </c>
      <c r="U929" t="s">
        <v>33</v>
      </c>
      <c r="V929" t="s">
        <v>44</v>
      </c>
      <c r="W929" t="s">
        <v>33</v>
      </c>
      <c r="X929" t="s">
        <v>45</v>
      </c>
      <c r="Y929" t="s">
        <v>53</v>
      </c>
      <c r="Z929" t="str">
        <f>IF(Table1[[#This Row],[Age]]&lt;30,"20-29",IF(Table1[[#This Row],[Age]]&lt;40,"30-39",IF(Table1[[#This Row],[Age]]&lt;50,"40-49","50+")))</f>
        <v>20-29</v>
      </c>
      <c r="AA929" t="str">
        <f>IF(Table1[[#This Row],[Salary]]&lt;20000000,"low",IF(Table1[[#This Row],[Salary]]&lt;40000000,"medium","high"))</f>
        <v>high</v>
      </c>
      <c r="AB929">
        <f>YEAR(Table1[[#This Row],[Hire Date]])</f>
        <v>2024</v>
      </c>
      <c r="AC929" t="str">
        <f>TEXT(Table1[[#This Row],[Hire Date]],"mmmm")</f>
        <v>اُكتبر</v>
      </c>
      <c r="AD929" t="str">
        <f>IF(Table1[[#This Row],[Resigned]]="yes","former","active")</f>
        <v>former</v>
      </c>
    </row>
    <row r="930" spans="1:30" x14ac:dyDescent="0.3">
      <c r="A930" t="s">
        <v>1925</v>
      </c>
      <c r="B930" t="s">
        <v>1926</v>
      </c>
      <c r="C930" t="s">
        <v>39</v>
      </c>
      <c r="D930">
        <v>56</v>
      </c>
      <c r="E930" t="s">
        <v>56</v>
      </c>
      <c r="F930" t="s">
        <v>84</v>
      </c>
      <c r="G930" t="s">
        <v>58</v>
      </c>
      <c r="H930" t="s">
        <v>42</v>
      </c>
      <c r="I930" t="s">
        <v>65</v>
      </c>
      <c r="J930" s="1">
        <v>43005</v>
      </c>
      <c r="K930">
        <v>9</v>
      </c>
      <c r="L930">
        <v>33687077</v>
      </c>
      <c r="M930">
        <v>5919519</v>
      </c>
      <c r="N930" t="s">
        <v>33</v>
      </c>
      <c r="O930">
        <v>2.93</v>
      </c>
      <c r="P930">
        <v>80</v>
      </c>
      <c r="Q930">
        <v>2</v>
      </c>
      <c r="R930">
        <v>2</v>
      </c>
      <c r="S930">
        <v>20</v>
      </c>
      <c r="T930" t="s">
        <v>34</v>
      </c>
      <c r="U930" t="s">
        <v>34</v>
      </c>
      <c r="V930" t="s">
        <v>35</v>
      </c>
      <c r="W930" t="s">
        <v>34</v>
      </c>
      <c r="X930" t="s">
        <v>52</v>
      </c>
      <c r="Z930" t="str">
        <f>IF(Table1[[#This Row],[Age]]&lt;30,"20-29",IF(Table1[[#This Row],[Age]]&lt;40,"30-39",IF(Table1[[#This Row],[Age]]&lt;50,"40-49","50+")))</f>
        <v>50+</v>
      </c>
      <c r="AA930" t="str">
        <f>IF(Table1[[#This Row],[Salary]]&lt;20000000,"low",IF(Table1[[#This Row],[Salary]]&lt;40000000,"medium","high"))</f>
        <v>medium</v>
      </c>
      <c r="AB930">
        <f>YEAR(Table1[[#This Row],[Hire Date]])</f>
        <v>2017</v>
      </c>
      <c r="AC930" t="str">
        <f>TEXT(Table1[[#This Row],[Hire Date]],"mmmm")</f>
        <v>سپتامبر</v>
      </c>
      <c r="AD930" t="str">
        <f>IF(Table1[[#This Row],[Resigned]]="yes","former","active")</f>
        <v>active</v>
      </c>
    </row>
    <row r="931" spans="1:30" x14ac:dyDescent="0.3">
      <c r="A931" t="s">
        <v>1927</v>
      </c>
      <c r="B931" t="s">
        <v>1928</v>
      </c>
      <c r="C931" t="s">
        <v>39</v>
      </c>
      <c r="D931">
        <v>47</v>
      </c>
      <c r="E931" t="s">
        <v>63</v>
      </c>
      <c r="F931" t="s">
        <v>64</v>
      </c>
      <c r="G931" t="s">
        <v>49</v>
      </c>
      <c r="H931" t="s">
        <v>31</v>
      </c>
      <c r="I931" t="s">
        <v>81</v>
      </c>
      <c r="J931" s="1">
        <v>42725</v>
      </c>
      <c r="K931">
        <v>10</v>
      </c>
      <c r="L931">
        <v>17954898</v>
      </c>
      <c r="M931">
        <v>4123392</v>
      </c>
      <c r="N931" t="s">
        <v>33</v>
      </c>
      <c r="O931">
        <v>4.04</v>
      </c>
      <c r="P931">
        <v>38</v>
      </c>
      <c r="Q931">
        <v>3</v>
      </c>
      <c r="R931">
        <v>4</v>
      </c>
      <c r="S931">
        <v>6</v>
      </c>
      <c r="T931" t="s">
        <v>34</v>
      </c>
      <c r="U931" t="s">
        <v>33</v>
      </c>
      <c r="V931" t="s">
        <v>59</v>
      </c>
      <c r="W931" t="s">
        <v>33</v>
      </c>
      <c r="X931" t="s">
        <v>52</v>
      </c>
      <c r="Y931" t="s">
        <v>162</v>
      </c>
      <c r="Z931" t="str">
        <f>IF(Table1[[#This Row],[Age]]&lt;30,"20-29",IF(Table1[[#This Row],[Age]]&lt;40,"30-39",IF(Table1[[#This Row],[Age]]&lt;50,"40-49","50+")))</f>
        <v>40-49</v>
      </c>
      <c r="AA931" t="str">
        <f>IF(Table1[[#This Row],[Salary]]&lt;20000000,"low",IF(Table1[[#This Row],[Salary]]&lt;40000000,"medium","high"))</f>
        <v>low</v>
      </c>
      <c r="AB931">
        <f>YEAR(Table1[[#This Row],[Hire Date]])</f>
        <v>2016</v>
      </c>
      <c r="AC931" t="str">
        <f>TEXT(Table1[[#This Row],[Hire Date]],"mmmm")</f>
        <v>دسامبر</v>
      </c>
      <c r="AD931" t="str">
        <f>IF(Table1[[#This Row],[Resigned]]="yes","former","active")</f>
        <v>former</v>
      </c>
    </row>
    <row r="932" spans="1:30" x14ac:dyDescent="0.3">
      <c r="A932" t="s">
        <v>1929</v>
      </c>
      <c r="B932" t="s">
        <v>1930</v>
      </c>
      <c r="C932" t="s">
        <v>27</v>
      </c>
      <c r="D932">
        <v>29</v>
      </c>
      <c r="E932" t="s">
        <v>40</v>
      </c>
      <c r="F932" t="s">
        <v>41</v>
      </c>
      <c r="G932" t="s">
        <v>30</v>
      </c>
      <c r="H932" t="s">
        <v>31</v>
      </c>
      <c r="I932" t="s">
        <v>50</v>
      </c>
      <c r="J932" s="1">
        <v>42628</v>
      </c>
      <c r="K932">
        <v>10</v>
      </c>
      <c r="L932">
        <v>37939411</v>
      </c>
      <c r="M932">
        <v>1116340</v>
      </c>
      <c r="N932" t="s">
        <v>34</v>
      </c>
      <c r="O932">
        <v>2.66</v>
      </c>
      <c r="P932">
        <v>55</v>
      </c>
      <c r="Q932">
        <v>5</v>
      </c>
      <c r="R932">
        <v>1</v>
      </c>
      <c r="S932">
        <v>20</v>
      </c>
      <c r="T932" t="s">
        <v>33</v>
      </c>
      <c r="U932" t="s">
        <v>33</v>
      </c>
      <c r="V932" t="s">
        <v>35</v>
      </c>
      <c r="W932" t="s">
        <v>34</v>
      </c>
      <c r="X932" t="s">
        <v>36</v>
      </c>
      <c r="Y932" t="s">
        <v>60</v>
      </c>
      <c r="Z932" t="str">
        <f>IF(Table1[[#This Row],[Age]]&lt;30,"20-29",IF(Table1[[#This Row],[Age]]&lt;40,"30-39",IF(Table1[[#This Row],[Age]]&lt;50,"40-49","50+")))</f>
        <v>20-29</v>
      </c>
      <c r="AA932" t="str">
        <f>IF(Table1[[#This Row],[Salary]]&lt;20000000,"low",IF(Table1[[#This Row],[Salary]]&lt;40000000,"medium","high"))</f>
        <v>medium</v>
      </c>
      <c r="AB932">
        <f>YEAR(Table1[[#This Row],[Hire Date]])</f>
        <v>2016</v>
      </c>
      <c r="AC932" t="str">
        <f>TEXT(Table1[[#This Row],[Hire Date]],"mmmm")</f>
        <v>سپتامبر</v>
      </c>
      <c r="AD932" t="str">
        <f>IF(Table1[[#This Row],[Resigned]]="yes","former","active")</f>
        <v>former</v>
      </c>
    </row>
    <row r="933" spans="1:30" x14ac:dyDescent="0.3">
      <c r="A933" t="s">
        <v>1931</v>
      </c>
      <c r="B933" t="s">
        <v>1932</v>
      </c>
      <c r="C933" t="s">
        <v>39</v>
      </c>
      <c r="D933">
        <v>47</v>
      </c>
      <c r="E933" t="s">
        <v>63</v>
      </c>
      <c r="F933" t="s">
        <v>93</v>
      </c>
      <c r="G933" t="s">
        <v>30</v>
      </c>
      <c r="H933" t="s">
        <v>42</v>
      </c>
      <c r="I933" t="s">
        <v>65</v>
      </c>
      <c r="J933" s="1">
        <v>42741</v>
      </c>
      <c r="K933">
        <v>9</v>
      </c>
      <c r="L933">
        <v>14069679</v>
      </c>
      <c r="M933">
        <v>7788422</v>
      </c>
      <c r="N933" t="s">
        <v>34</v>
      </c>
      <c r="O933">
        <v>3.1</v>
      </c>
      <c r="P933">
        <v>20</v>
      </c>
      <c r="Q933">
        <v>1</v>
      </c>
      <c r="R933">
        <v>1</v>
      </c>
      <c r="S933">
        <v>2</v>
      </c>
      <c r="T933" t="s">
        <v>34</v>
      </c>
      <c r="U933" t="s">
        <v>34</v>
      </c>
      <c r="V933" t="s">
        <v>70</v>
      </c>
      <c r="W933" t="s">
        <v>34</v>
      </c>
      <c r="X933" t="s">
        <v>52</v>
      </c>
      <c r="Z933" t="str">
        <f>IF(Table1[[#This Row],[Age]]&lt;30,"20-29",IF(Table1[[#This Row],[Age]]&lt;40,"30-39",IF(Table1[[#This Row],[Age]]&lt;50,"40-49","50+")))</f>
        <v>40-49</v>
      </c>
      <c r="AA933" t="str">
        <f>IF(Table1[[#This Row],[Salary]]&lt;20000000,"low",IF(Table1[[#This Row],[Salary]]&lt;40000000,"medium","high"))</f>
        <v>low</v>
      </c>
      <c r="AB933">
        <f>YEAR(Table1[[#This Row],[Hire Date]])</f>
        <v>2017</v>
      </c>
      <c r="AC933" t="str">
        <f>TEXT(Table1[[#This Row],[Hire Date]],"mmmm")</f>
        <v>ژانويه</v>
      </c>
      <c r="AD933" t="str">
        <f>IF(Table1[[#This Row],[Resigned]]="yes","former","active")</f>
        <v>active</v>
      </c>
    </row>
    <row r="934" spans="1:30" x14ac:dyDescent="0.3">
      <c r="A934" t="s">
        <v>1933</v>
      </c>
      <c r="B934" t="s">
        <v>1934</v>
      </c>
      <c r="C934" t="s">
        <v>27</v>
      </c>
      <c r="D934">
        <v>31</v>
      </c>
      <c r="E934" t="s">
        <v>110</v>
      </c>
      <c r="F934" t="s">
        <v>120</v>
      </c>
      <c r="G934" t="s">
        <v>58</v>
      </c>
      <c r="H934" t="s">
        <v>31</v>
      </c>
      <c r="I934" t="s">
        <v>32</v>
      </c>
      <c r="J934" s="1">
        <v>43750</v>
      </c>
      <c r="K934">
        <v>7</v>
      </c>
      <c r="L934">
        <v>28168067</v>
      </c>
      <c r="M934">
        <v>8301643</v>
      </c>
      <c r="N934" t="s">
        <v>34</v>
      </c>
      <c r="O934">
        <v>2.75</v>
      </c>
      <c r="P934">
        <v>69</v>
      </c>
      <c r="Q934">
        <v>5</v>
      </c>
      <c r="R934">
        <v>4</v>
      </c>
      <c r="S934">
        <v>2</v>
      </c>
      <c r="T934" t="s">
        <v>34</v>
      </c>
      <c r="U934" t="s">
        <v>34</v>
      </c>
      <c r="V934" t="s">
        <v>44</v>
      </c>
      <c r="W934" t="s">
        <v>33</v>
      </c>
      <c r="X934" t="s">
        <v>36</v>
      </c>
      <c r="Z934" t="str">
        <f>IF(Table1[[#This Row],[Age]]&lt;30,"20-29",IF(Table1[[#This Row],[Age]]&lt;40,"30-39",IF(Table1[[#This Row],[Age]]&lt;50,"40-49","50+")))</f>
        <v>30-39</v>
      </c>
      <c r="AA934" t="str">
        <f>IF(Table1[[#This Row],[Salary]]&lt;20000000,"low",IF(Table1[[#This Row],[Salary]]&lt;40000000,"medium","high"))</f>
        <v>medium</v>
      </c>
      <c r="AB934">
        <f>YEAR(Table1[[#This Row],[Hire Date]])</f>
        <v>2019</v>
      </c>
      <c r="AC934" t="str">
        <f>TEXT(Table1[[#This Row],[Hire Date]],"mmmm")</f>
        <v>اُكتبر</v>
      </c>
      <c r="AD934" t="str">
        <f>IF(Table1[[#This Row],[Resigned]]="yes","former","active")</f>
        <v>active</v>
      </c>
    </row>
    <row r="935" spans="1:30" x14ac:dyDescent="0.3">
      <c r="A935" t="s">
        <v>1935</v>
      </c>
      <c r="B935" t="s">
        <v>1936</v>
      </c>
      <c r="C935" t="s">
        <v>27</v>
      </c>
      <c r="D935">
        <v>25</v>
      </c>
      <c r="E935" t="s">
        <v>63</v>
      </c>
      <c r="F935" t="s">
        <v>64</v>
      </c>
      <c r="G935" t="s">
        <v>30</v>
      </c>
      <c r="H935" t="s">
        <v>42</v>
      </c>
      <c r="I935" t="s">
        <v>81</v>
      </c>
      <c r="J935" s="1">
        <v>44037</v>
      </c>
      <c r="K935">
        <v>6</v>
      </c>
      <c r="L935">
        <v>50194079</v>
      </c>
      <c r="M935">
        <v>6544901</v>
      </c>
      <c r="N935" t="s">
        <v>34</v>
      </c>
      <c r="O935">
        <v>3.51</v>
      </c>
      <c r="P935">
        <v>62</v>
      </c>
      <c r="Q935">
        <v>1</v>
      </c>
      <c r="R935">
        <v>2</v>
      </c>
      <c r="S935">
        <v>12</v>
      </c>
      <c r="T935" t="s">
        <v>33</v>
      </c>
      <c r="U935" t="s">
        <v>33</v>
      </c>
      <c r="V935" t="s">
        <v>51</v>
      </c>
      <c r="W935" t="s">
        <v>34</v>
      </c>
      <c r="X935" t="s">
        <v>52</v>
      </c>
      <c r="Y935" t="s">
        <v>75</v>
      </c>
      <c r="Z935" t="str">
        <f>IF(Table1[[#This Row],[Age]]&lt;30,"20-29",IF(Table1[[#This Row],[Age]]&lt;40,"30-39",IF(Table1[[#This Row],[Age]]&lt;50,"40-49","50+")))</f>
        <v>20-29</v>
      </c>
      <c r="AA935" t="str">
        <f>IF(Table1[[#This Row],[Salary]]&lt;20000000,"low",IF(Table1[[#This Row],[Salary]]&lt;40000000,"medium","high"))</f>
        <v>high</v>
      </c>
      <c r="AB935">
        <f>YEAR(Table1[[#This Row],[Hire Date]])</f>
        <v>2020</v>
      </c>
      <c r="AC935" t="str">
        <f>TEXT(Table1[[#This Row],[Hire Date]],"mmmm")</f>
        <v>ژوئيه</v>
      </c>
      <c r="AD935" t="str">
        <f>IF(Table1[[#This Row],[Resigned]]="yes","former","active")</f>
        <v>former</v>
      </c>
    </row>
    <row r="936" spans="1:30" x14ac:dyDescent="0.3">
      <c r="A936" t="s">
        <v>1937</v>
      </c>
      <c r="B936" t="s">
        <v>1938</v>
      </c>
      <c r="C936" t="s">
        <v>39</v>
      </c>
      <c r="D936">
        <v>25</v>
      </c>
      <c r="E936" t="s">
        <v>73</v>
      </c>
      <c r="F936" t="s">
        <v>127</v>
      </c>
      <c r="G936" t="s">
        <v>49</v>
      </c>
      <c r="H936" t="s">
        <v>42</v>
      </c>
      <c r="I936" t="s">
        <v>32</v>
      </c>
      <c r="J936" s="1">
        <v>42737</v>
      </c>
      <c r="K936">
        <v>9</v>
      </c>
      <c r="L936">
        <v>43870020</v>
      </c>
      <c r="M936">
        <v>8955805</v>
      </c>
      <c r="N936" t="s">
        <v>33</v>
      </c>
      <c r="O936">
        <v>3.59</v>
      </c>
      <c r="P936">
        <v>20</v>
      </c>
      <c r="Q936">
        <v>1</v>
      </c>
      <c r="R936">
        <v>1</v>
      </c>
      <c r="S936">
        <v>3</v>
      </c>
      <c r="T936" t="s">
        <v>34</v>
      </c>
      <c r="U936" t="s">
        <v>34</v>
      </c>
      <c r="V936" t="s">
        <v>70</v>
      </c>
      <c r="W936" t="s">
        <v>33</v>
      </c>
      <c r="X936" t="s">
        <v>36</v>
      </c>
      <c r="Z936" t="str">
        <f>IF(Table1[[#This Row],[Age]]&lt;30,"20-29",IF(Table1[[#This Row],[Age]]&lt;40,"30-39",IF(Table1[[#This Row],[Age]]&lt;50,"40-49","50+")))</f>
        <v>20-29</v>
      </c>
      <c r="AA936" t="str">
        <f>IF(Table1[[#This Row],[Salary]]&lt;20000000,"low",IF(Table1[[#This Row],[Salary]]&lt;40000000,"medium","high"))</f>
        <v>high</v>
      </c>
      <c r="AB936">
        <f>YEAR(Table1[[#This Row],[Hire Date]])</f>
        <v>2017</v>
      </c>
      <c r="AC936" t="str">
        <f>TEXT(Table1[[#This Row],[Hire Date]],"mmmm")</f>
        <v>ژانويه</v>
      </c>
      <c r="AD936" t="str">
        <f>IF(Table1[[#This Row],[Resigned]]="yes","former","active")</f>
        <v>active</v>
      </c>
    </row>
    <row r="937" spans="1:30" x14ac:dyDescent="0.3">
      <c r="A937" t="s">
        <v>1939</v>
      </c>
      <c r="B937" t="s">
        <v>1940</v>
      </c>
      <c r="C937" t="s">
        <v>27</v>
      </c>
      <c r="D937">
        <v>38</v>
      </c>
      <c r="E937" t="s">
        <v>56</v>
      </c>
      <c r="F937" t="s">
        <v>84</v>
      </c>
      <c r="G937" t="s">
        <v>30</v>
      </c>
      <c r="H937" t="s">
        <v>42</v>
      </c>
      <c r="I937" t="s">
        <v>50</v>
      </c>
      <c r="J937" s="1">
        <v>44769</v>
      </c>
      <c r="K937">
        <v>4</v>
      </c>
      <c r="L937">
        <v>51526987</v>
      </c>
      <c r="M937">
        <v>5980066</v>
      </c>
      <c r="N937" t="s">
        <v>34</v>
      </c>
      <c r="O937">
        <v>2.54</v>
      </c>
      <c r="P937">
        <v>79</v>
      </c>
      <c r="Q937">
        <v>1</v>
      </c>
      <c r="R937">
        <v>4</v>
      </c>
      <c r="S937">
        <v>6</v>
      </c>
      <c r="T937" t="s">
        <v>34</v>
      </c>
      <c r="U937" t="s">
        <v>34</v>
      </c>
      <c r="V937" t="s">
        <v>44</v>
      </c>
      <c r="W937" t="s">
        <v>33</v>
      </c>
      <c r="X937" t="s">
        <v>52</v>
      </c>
      <c r="Z937" t="str">
        <f>IF(Table1[[#This Row],[Age]]&lt;30,"20-29",IF(Table1[[#This Row],[Age]]&lt;40,"30-39",IF(Table1[[#This Row],[Age]]&lt;50,"40-49","50+")))</f>
        <v>30-39</v>
      </c>
      <c r="AA937" t="str">
        <f>IF(Table1[[#This Row],[Salary]]&lt;20000000,"low",IF(Table1[[#This Row],[Salary]]&lt;40000000,"medium","high"))</f>
        <v>high</v>
      </c>
      <c r="AB937">
        <f>YEAR(Table1[[#This Row],[Hire Date]])</f>
        <v>2022</v>
      </c>
      <c r="AC937" t="str">
        <f>TEXT(Table1[[#This Row],[Hire Date]],"mmmm")</f>
        <v>ژوئيه</v>
      </c>
      <c r="AD937" t="str">
        <f>IF(Table1[[#This Row],[Resigned]]="yes","former","active")</f>
        <v>active</v>
      </c>
    </row>
    <row r="938" spans="1:30" x14ac:dyDescent="0.3">
      <c r="A938" t="s">
        <v>1941</v>
      </c>
      <c r="B938" t="s">
        <v>1942</v>
      </c>
      <c r="C938" t="s">
        <v>27</v>
      </c>
      <c r="D938">
        <v>30</v>
      </c>
      <c r="E938" t="s">
        <v>110</v>
      </c>
      <c r="F938" t="s">
        <v>111</v>
      </c>
      <c r="G938" t="s">
        <v>30</v>
      </c>
      <c r="H938" t="s">
        <v>42</v>
      </c>
      <c r="I938" t="s">
        <v>50</v>
      </c>
      <c r="J938" s="1">
        <v>45612</v>
      </c>
      <c r="K938">
        <v>2</v>
      </c>
      <c r="L938">
        <v>29445272</v>
      </c>
      <c r="M938">
        <v>7256669</v>
      </c>
      <c r="N938" t="s">
        <v>33</v>
      </c>
      <c r="O938">
        <v>2.62</v>
      </c>
      <c r="P938">
        <v>2</v>
      </c>
      <c r="Q938">
        <v>4</v>
      </c>
      <c r="R938">
        <v>2</v>
      </c>
      <c r="S938">
        <v>11</v>
      </c>
      <c r="T938" t="s">
        <v>33</v>
      </c>
      <c r="U938" t="s">
        <v>34</v>
      </c>
      <c r="V938" t="s">
        <v>35</v>
      </c>
      <c r="W938" t="s">
        <v>33</v>
      </c>
      <c r="X938" t="s">
        <v>45</v>
      </c>
      <c r="Z938" t="str">
        <f>IF(Table1[[#This Row],[Age]]&lt;30,"20-29",IF(Table1[[#This Row],[Age]]&lt;40,"30-39",IF(Table1[[#This Row],[Age]]&lt;50,"40-49","50+")))</f>
        <v>30-39</v>
      </c>
      <c r="AA938" t="str">
        <f>IF(Table1[[#This Row],[Salary]]&lt;20000000,"low",IF(Table1[[#This Row],[Salary]]&lt;40000000,"medium","high"))</f>
        <v>medium</v>
      </c>
      <c r="AB938">
        <f>YEAR(Table1[[#This Row],[Hire Date]])</f>
        <v>2024</v>
      </c>
      <c r="AC938" t="str">
        <f>TEXT(Table1[[#This Row],[Hire Date]],"mmmm")</f>
        <v>نوامبر</v>
      </c>
      <c r="AD938" t="str">
        <f>IF(Table1[[#This Row],[Resigned]]="yes","former","active")</f>
        <v>active</v>
      </c>
    </row>
    <row r="939" spans="1:30" x14ac:dyDescent="0.3">
      <c r="A939" t="s">
        <v>1943</v>
      </c>
      <c r="B939" t="s">
        <v>1944</v>
      </c>
      <c r="C939" t="s">
        <v>27</v>
      </c>
      <c r="D939">
        <v>46</v>
      </c>
      <c r="E939" t="s">
        <v>28</v>
      </c>
      <c r="F939" t="s">
        <v>80</v>
      </c>
      <c r="G939" t="s">
        <v>30</v>
      </c>
      <c r="H939" t="s">
        <v>31</v>
      </c>
      <c r="I939" t="s">
        <v>81</v>
      </c>
      <c r="J939" s="1">
        <v>45226</v>
      </c>
      <c r="K939">
        <v>3</v>
      </c>
      <c r="L939">
        <v>18108369</v>
      </c>
      <c r="M939">
        <v>2699775</v>
      </c>
      <c r="N939" t="s">
        <v>34</v>
      </c>
      <c r="O939">
        <v>4.75</v>
      </c>
      <c r="P939">
        <v>71</v>
      </c>
      <c r="Q939">
        <v>2</v>
      </c>
      <c r="R939">
        <v>2</v>
      </c>
      <c r="S939">
        <v>5</v>
      </c>
      <c r="T939" t="s">
        <v>33</v>
      </c>
      <c r="U939" t="s">
        <v>34</v>
      </c>
      <c r="V939" t="s">
        <v>44</v>
      </c>
      <c r="W939" t="s">
        <v>33</v>
      </c>
      <c r="X939" t="s">
        <v>52</v>
      </c>
      <c r="Z939" t="str">
        <f>IF(Table1[[#This Row],[Age]]&lt;30,"20-29",IF(Table1[[#This Row],[Age]]&lt;40,"30-39",IF(Table1[[#This Row],[Age]]&lt;50,"40-49","50+")))</f>
        <v>40-49</v>
      </c>
      <c r="AA939" t="str">
        <f>IF(Table1[[#This Row],[Salary]]&lt;20000000,"low",IF(Table1[[#This Row],[Salary]]&lt;40000000,"medium","high"))</f>
        <v>low</v>
      </c>
      <c r="AB939">
        <f>YEAR(Table1[[#This Row],[Hire Date]])</f>
        <v>2023</v>
      </c>
      <c r="AC939" t="str">
        <f>TEXT(Table1[[#This Row],[Hire Date]],"mmmm")</f>
        <v>اُكتبر</v>
      </c>
      <c r="AD939" t="str">
        <f>IF(Table1[[#This Row],[Resigned]]="yes","former","active")</f>
        <v>active</v>
      </c>
    </row>
    <row r="940" spans="1:30" x14ac:dyDescent="0.3">
      <c r="A940" t="s">
        <v>1945</v>
      </c>
      <c r="B940" t="s">
        <v>1946</v>
      </c>
      <c r="C940" t="s">
        <v>39</v>
      </c>
      <c r="D940">
        <v>37</v>
      </c>
      <c r="E940" t="s">
        <v>73</v>
      </c>
      <c r="F940" t="s">
        <v>74</v>
      </c>
      <c r="G940" t="s">
        <v>58</v>
      </c>
      <c r="H940" t="s">
        <v>31</v>
      </c>
      <c r="I940" t="s">
        <v>32</v>
      </c>
      <c r="J940" s="1">
        <v>45188</v>
      </c>
      <c r="K940">
        <v>3</v>
      </c>
      <c r="L940">
        <v>31060634</v>
      </c>
      <c r="M940">
        <v>4359322</v>
      </c>
      <c r="N940" t="s">
        <v>33</v>
      </c>
      <c r="O940">
        <v>4.1900000000000004</v>
      </c>
      <c r="P940">
        <v>1</v>
      </c>
      <c r="Q940">
        <v>5</v>
      </c>
      <c r="R940">
        <v>5</v>
      </c>
      <c r="S940">
        <v>2</v>
      </c>
      <c r="T940" t="s">
        <v>34</v>
      </c>
      <c r="U940" t="s">
        <v>33</v>
      </c>
      <c r="V940" t="s">
        <v>44</v>
      </c>
      <c r="W940" t="s">
        <v>34</v>
      </c>
      <c r="X940" t="s">
        <v>52</v>
      </c>
      <c r="Y940" t="s">
        <v>60</v>
      </c>
      <c r="Z940" t="str">
        <f>IF(Table1[[#This Row],[Age]]&lt;30,"20-29",IF(Table1[[#This Row],[Age]]&lt;40,"30-39",IF(Table1[[#This Row],[Age]]&lt;50,"40-49","50+")))</f>
        <v>30-39</v>
      </c>
      <c r="AA940" t="str">
        <f>IF(Table1[[#This Row],[Salary]]&lt;20000000,"low",IF(Table1[[#This Row],[Salary]]&lt;40000000,"medium","high"))</f>
        <v>medium</v>
      </c>
      <c r="AB940">
        <f>YEAR(Table1[[#This Row],[Hire Date]])</f>
        <v>2023</v>
      </c>
      <c r="AC940" t="str">
        <f>TEXT(Table1[[#This Row],[Hire Date]],"mmmm")</f>
        <v>سپتامبر</v>
      </c>
      <c r="AD940" t="str">
        <f>IF(Table1[[#This Row],[Resigned]]="yes","former","active")</f>
        <v>former</v>
      </c>
    </row>
    <row r="941" spans="1:30" x14ac:dyDescent="0.3">
      <c r="A941" t="s">
        <v>1947</v>
      </c>
      <c r="B941" t="s">
        <v>1948</v>
      </c>
      <c r="C941" t="s">
        <v>27</v>
      </c>
      <c r="D941">
        <v>49</v>
      </c>
      <c r="E941" t="s">
        <v>56</v>
      </c>
      <c r="F941" t="s">
        <v>84</v>
      </c>
      <c r="G941" t="s">
        <v>30</v>
      </c>
      <c r="H941" t="s">
        <v>42</v>
      </c>
      <c r="I941" t="s">
        <v>50</v>
      </c>
      <c r="J941" s="1">
        <v>42798</v>
      </c>
      <c r="K941">
        <v>9</v>
      </c>
      <c r="L941">
        <v>59273043</v>
      </c>
      <c r="M941">
        <v>935084</v>
      </c>
      <c r="N941" t="s">
        <v>33</v>
      </c>
      <c r="O941">
        <v>2.96</v>
      </c>
      <c r="P941">
        <v>1</v>
      </c>
      <c r="Q941">
        <v>2</v>
      </c>
      <c r="R941">
        <v>4</v>
      </c>
      <c r="S941">
        <v>20</v>
      </c>
      <c r="T941" t="s">
        <v>33</v>
      </c>
      <c r="U941" t="s">
        <v>34</v>
      </c>
      <c r="V941" t="s">
        <v>35</v>
      </c>
      <c r="W941" t="s">
        <v>34</v>
      </c>
      <c r="X941" t="s">
        <v>45</v>
      </c>
      <c r="Z941" t="str">
        <f>IF(Table1[[#This Row],[Age]]&lt;30,"20-29",IF(Table1[[#This Row],[Age]]&lt;40,"30-39",IF(Table1[[#This Row],[Age]]&lt;50,"40-49","50+")))</f>
        <v>40-49</v>
      </c>
      <c r="AA941" t="str">
        <f>IF(Table1[[#This Row],[Salary]]&lt;20000000,"low",IF(Table1[[#This Row],[Salary]]&lt;40000000,"medium","high"))</f>
        <v>high</v>
      </c>
      <c r="AB941">
        <f>YEAR(Table1[[#This Row],[Hire Date]])</f>
        <v>2017</v>
      </c>
      <c r="AC941" t="str">
        <f>TEXT(Table1[[#This Row],[Hire Date]],"mmmm")</f>
        <v>مارس</v>
      </c>
      <c r="AD941" t="str">
        <f>IF(Table1[[#This Row],[Resigned]]="yes","former","active")</f>
        <v>active</v>
      </c>
    </row>
    <row r="942" spans="1:30" x14ac:dyDescent="0.3">
      <c r="A942" t="s">
        <v>1949</v>
      </c>
      <c r="B942" t="s">
        <v>1950</v>
      </c>
      <c r="C942" t="s">
        <v>27</v>
      </c>
      <c r="D942">
        <v>33</v>
      </c>
      <c r="E942" t="s">
        <v>56</v>
      </c>
      <c r="F942" t="s">
        <v>84</v>
      </c>
      <c r="G942" t="s">
        <v>49</v>
      </c>
      <c r="H942" t="s">
        <v>31</v>
      </c>
      <c r="I942" t="s">
        <v>43</v>
      </c>
      <c r="J942" s="1">
        <v>43562</v>
      </c>
      <c r="K942">
        <v>7</v>
      </c>
      <c r="L942">
        <v>59877876</v>
      </c>
      <c r="M942">
        <v>8275582</v>
      </c>
      <c r="N942" t="s">
        <v>33</v>
      </c>
      <c r="O942">
        <v>3.03</v>
      </c>
      <c r="P942">
        <v>71</v>
      </c>
      <c r="Q942">
        <v>3</v>
      </c>
      <c r="R942">
        <v>1</v>
      </c>
      <c r="S942">
        <v>15</v>
      </c>
      <c r="T942" t="s">
        <v>34</v>
      </c>
      <c r="U942" t="s">
        <v>33</v>
      </c>
      <c r="V942" t="s">
        <v>51</v>
      </c>
      <c r="W942" t="s">
        <v>33</v>
      </c>
      <c r="X942" t="s">
        <v>52</v>
      </c>
      <c r="Y942" t="s">
        <v>53</v>
      </c>
      <c r="Z942" t="str">
        <f>IF(Table1[[#This Row],[Age]]&lt;30,"20-29",IF(Table1[[#This Row],[Age]]&lt;40,"30-39",IF(Table1[[#This Row],[Age]]&lt;50,"40-49","50+")))</f>
        <v>30-39</v>
      </c>
      <c r="AA942" t="str">
        <f>IF(Table1[[#This Row],[Salary]]&lt;20000000,"low",IF(Table1[[#This Row],[Salary]]&lt;40000000,"medium","high"))</f>
        <v>high</v>
      </c>
      <c r="AB942">
        <f>YEAR(Table1[[#This Row],[Hire Date]])</f>
        <v>2019</v>
      </c>
      <c r="AC942" t="str">
        <f>TEXT(Table1[[#This Row],[Hire Date]],"mmmm")</f>
        <v>آوريل</v>
      </c>
      <c r="AD942" t="str">
        <f>IF(Table1[[#This Row],[Resigned]]="yes","former","active")</f>
        <v>former</v>
      </c>
    </row>
    <row r="943" spans="1:30" x14ac:dyDescent="0.3">
      <c r="A943" t="s">
        <v>1951</v>
      </c>
      <c r="B943" t="s">
        <v>1952</v>
      </c>
      <c r="C943" t="s">
        <v>39</v>
      </c>
      <c r="D943">
        <v>25</v>
      </c>
      <c r="E943" t="s">
        <v>73</v>
      </c>
      <c r="F943" t="s">
        <v>127</v>
      </c>
      <c r="G943" t="s">
        <v>58</v>
      </c>
      <c r="H943" t="s">
        <v>31</v>
      </c>
      <c r="I943" t="s">
        <v>32</v>
      </c>
      <c r="J943" s="1">
        <v>42930</v>
      </c>
      <c r="K943">
        <v>9</v>
      </c>
      <c r="L943">
        <v>21790442</v>
      </c>
      <c r="M943">
        <v>6726912</v>
      </c>
      <c r="N943" t="s">
        <v>34</v>
      </c>
      <c r="O943">
        <v>4.1399999999999997</v>
      </c>
      <c r="P943">
        <v>76</v>
      </c>
      <c r="Q943">
        <v>5</v>
      </c>
      <c r="R943">
        <v>2</v>
      </c>
      <c r="S943">
        <v>6</v>
      </c>
      <c r="T943" t="s">
        <v>34</v>
      </c>
      <c r="U943" t="s">
        <v>34</v>
      </c>
      <c r="V943" t="s">
        <v>44</v>
      </c>
      <c r="W943" t="s">
        <v>33</v>
      </c>
      <c r="X943" t="s">
        <v>52</v>
      </c>
      <c r="Z943" t="str">
        <f>IF(Table1[[#This Row],[Age]]&lt;30,"20-29",IF(Table1[[#This Row],[Age]]&lt;40,"30-39",IF(Table1[[#This Row],[Age]]&lt;50,"40-49","50+")))</f>
        <v>20-29</v>
      </c>
      <c r="AA943" t="str">
        <f>IF(Table1[[#This Row],[Salary]]&lt;20000000,"low",IF(Table1[[#This Row],[Salary]]&lt;40000000,"medium","high"))</f>
        <v>medium</v>
      </c>
      <c r="AB943">
        <f>YEAR(Table1[[#This Row],[Hire Date]])</f>
        <v>2017</v>
      </c>
      <c r="AC943" t="str">
        <f>TEXT(Table1[[#This Row],[Hire Date]],"mmmm")</f>
        <v>ژوئيه</v>
      </c>
      <c r="AD943" t="str">
        <f>IF(Table1[[#This Row],[Resigned]]="yes","former","active")</f>
        <v>active</v>
      </c>
    </row>
    <row r="944" spans="1:30" x14ac:dyDescent="0.3">
      <c r="A944" t="s">
        <v>1953</v>
      </c>
      <c r="B944" t="s">
        <v>1954</v>
      </c>
      <c r="C944" t="s">
        <v>27</v>
      </c>
      <c r="D944">
        <v>43</v>
      </c>
      <c r="E944" t="s">
        <v>110</v>
      </c>
      <c r="F944" t="s">
        <v>111</v>
      </c>
      <c r="G944" t="s">
        <v>58</v>
      </c>
      <c r="H944" t="s">
        <v>42</v>
      </c>
      <c r="I944" t="s">
        <v>32</v>
      </c>
      <c r="J944" s="1">
        <v>43379</v>
      </c>
      <c r="K944">
        <v>8</v>
      </c>
      <c r="L944">
        <v>53874371</v>
      </c>
      <c r="M944">
        <v>1042030</v>
      </c>
      <c r="N944" t="s">
        <v>33</v>
      </c>
      <c r="O944">
        <v>4.43</v>
      </c>
      <c r="P944">
        <v>74</v>
      </c>
      <c r="Q944">
        <v>3</v>
      </c>
      <c r="R944">
        <v>1</v>
      </c>
      <c r="S944">
        <v>17</v>
      </c>
      <c r="T944" t="s">
        <v>33</v>
      </c>
      <c r="U944" t="s">
        <v>34</v>
      </c>
      <c r="V944" t="s">
        <v>35</v>
      </c>
      <c r="W944" t="s">
        <v>34</v>
      </c>
      <c r="X944" t="s">
        <v>36</v>
      </c>
      <c r="Z944" t="str">
        <f>IF(Table1[[#This Row],[Age]]&lt;30,"20-29",IF(Table1[[#This Row],[Age]]&lt;40,"30-39",IF(Table1[[#This Row],[Age]]&lt;50,"40-49","50+")))</f>
        <v>40-49</v>
      </c>
      <c r="AA944" t="str">
        <f>IF(Table1[[#This Row],[Salary]]&lt;20000000,"low",IF(Table1[[#This Row],[Salary]]&lt;40000000,"medium","high"))</f>
        <v>high</v>
      </c>
      <c r="AB944">
        <f>YEAR(Table1[[#This Row],[Hire Date]])</f>
        <v>2018</v>
      </c>
      <c r="AC944" t="str">
        <f>TEXT(Table1[[#This Row],[Hire Date]],"mmmm")</f>
        <v>اُكتبر</v>
      </c>
      <c r="AD944" t="str">
        <f>IF(Table1[[#This Row],[Resigned]]="yes","former","active")</f>
        <v>active</v>
      </c>
    </row>
    <row r="945" spans="1:30" x14ac:dyDescent="0.3">
      <c r="A945" t="s">
        <v>1955</v>
      </c>
      <c r="B945" t="s">
        <v>1956</v>
      </c>
      <c r="C945" t="s">
        <v>27</v>
      </c>
      <c r="D945">
        <v>52</v>
      </c>
      <c r="E945" t="s">
        <v>28</v>
      </c>
      <c r="F945" t="s">
        <v>80</v>
      </c>
      <c r="G945" t="s">
        <v>30</v>
      </c>
      <c r="H945" t="s">
        <v>42</v>
      </c>
      <c r="I945" t="s">
        <v>81</v>
      </c>
      <c r="J945" s="1">
        <v>45693</v>
      </c>
      <c r="K945">
        <v>1</v>
      </c>
      <c r="L945">
        <v>23176381</v>
      </c>
      <c r="M945">
        <v>8624701</v>
      </c>
      <c r="N945" t="s">
        <v>34</v>
      </c>
      <c r="O945">
        <v>3.21</v>
      </c>
      <c r="P945">
        <v>47</v>
      </c>
      <c r="Q945">
        <v>1</v>
      </c>
      <c r="R945">
        <v>2</v>
      </c>
      <c r="S945">
        <v>17</v>
      </c>
      <c r="T945" t="s">
        <v>34</v>
      </c>
      <c r="U945" t="s">
        <v>34</v>
      </c>
      <c r="V945" t="s">
        <v>44</v>
      </c>
      <c r="W945" t="s">
        <v>33</v>
      </c>
      <c r="X945" t="s">
        <v>36</v>
      </c>
      <c r="Z945" t="str">
        <f>IF(Table1[[#This Row],[Age]]&lt;30,"20-29",IF(Table1[[#This Row],[Age]]&lt;40,"30-39",IF(Table1[[#This Row],[Age]]&lt;50,"40-49","50+")))</f>
        <v>50+</v>
      </c>
      <c r="AA945" t="str">
        <f>IF(Table1[[#This Row],[Salary]]&lt;20000000,"low",IF(Table1[[#This Row],[Salary]]&lt;40000000,"medium","high"))</f>
        <v>medium</v>
      </c>
      <c r="AB945">
        <f>YEAR(Table1[[#This Row],[Hire Date]])</f>
        <v>2025</v>
      </c>
      <c r="AC945" t="str">
        <f>TEXT(Table1[[#This Row],[Hire Date]],"mmmm")</f>
        <v>فوريه</v>
      </c>
      <c r="AD945" t="str">
        <f>IF(Table1[[#This Row],[Resigned]]="yes","former","active")</f>
        <v>active</v>
      </c>
    </row>
    <row r="946" spans="1:30" x14ac:dyDescent="0.3">
      <c r="A946" t="s">
        <v>1957</v>
      </c>
      <c r="B946" t="s">
        <v>1958</v>
      </c>
      <c r="C946" t="s">
        <v>39</v>
      </c>
      <c r="D946">
        <v>40</v>
      </c>
      <c r="E946" t="s">
        <v>110</v>
      </c>
      <c r="F946" t="s">
        <v>120</v>
      </c>
      <c r="G946" t="s">
        <v>58</v>
      </c>
      <c r="H946" t="s">
        <v>42</v>
      </c>
      <c r="I946" t="s">
        <v>81</v>
      </c>
      <c r="J946" s="1">
        <v>43662</v>
      </c>
      <c r="K946">
        <v>7</v>
      </c>
      <c r="L946">
        <v>28420149</v>
      </c>
      <c r="M946">
        <v>8870703</v>
      </c>
      <c r="N946" t="s">
        <v>33</v>
      </c>
      <c r="O946">
        <v>4.32</v>
      </c>
      <c r="P946">
        <v>54</v>
      </c>
      <c r="Q946">
        <v>2</v>
      </c>
      <c r="R946">
        <v>4</v>
      </c>
      <c r="S946">
        <v>16</v>
      </c>
      <c r="T946" t="s">
        <v>34</v>
      </c>
      <c r="U946" t="s">
        <v>33</v>
      </c>
      <c r="V946" t="s">
        <v>44</v>
      </c>
      <c r="W946" t="s">
        <v>34</v>
      </c>
      <c r="X946" t="s">
        <v>45</v>
      </c>
      <c r="Y946" t="s">
        <v>162</v>
      </c>
      <c r="Z946" t="str">
        <f>IF(Table1[[#This Row],[Age]]&lt;30,"20-29",IF(Table1[[#This Row],[Age]]&lt;40,"30-39",IF(Table1[[#This Row],[Age]]&lt;50,"40-49","50+")))</f>
        <v>40-49</v>
      </c>
      <c r="AA946" t="str">
        <f>IF(Table1[[#This Row],[Salary]]&lt;20000000,"low",IF(Table1[[#This Row],[Salary]]&lt;40000000,"medium","high"))</f>
        <v>medium</v>
      </c>
      <c r="AB946">
        <f>YEAR(Table1[[#This Row],[Hire Date]])</f>
        <v>2019</v>
      </c>
      <c r="AC946" t="str">
        <f>TEXT(Table1[[#This Row],[Hire Date]],"mmmm")</f>
        <v>ژوئيه</v>
      </c>
      <c r="AD946" t="str">
        <f>IF(Table1[[#This Row],[Resigned]]="yes","former","active")</f>
        <v>former</v>
      </c>
    </row>
    <row r="947" spans="1:30" x14ac:dyDescent="0.3">
      <c r="A947" t="s">
        <v>1959</v>
      </c>
      <c r="B947" t="s">
        <v>1960</v>
      </c>
      <c r="C947" t="s">
        <v>39</v>
      </c>
      <c r="D947">
        <v>22</v>
      </c>
      <c r="E947" t="s">
        <v>40</v>
      </c>
      <c r="F947" t="s">
        <v>41</v>
      </c>
      <c r="G947" t="s">
        <v>30</v>
      </c>
      <c r="H947" t="s">
        <v>31</v>
      </c>
      <c r="I947" t="s">
        <v>65</v>
      </c>
      <c r="J947" s="1">
        <v>44505</v>
      </c>
      <c r="K947">
        <v>5</v>
      </c>
      <c r="L947">
        <v>27973058</v>
      </c>
      <c r="M947">
        <v>3004842</v>
      </c>
      <c r="N947" t="s">
        <v>34</v>
      </c>
      <c r="O947">
        <v>4.54</v>
      </c>
      <c r="P947">
        <v>7</v>
      </c>
      <c r="Q947">
        <v>4</v>
      </c>
      <c r="R947">
        <v>2</v>
      </c>
      <c r="S947">
        <v>4</v>
      </c>
      <c r="T947" t="s">
        <v>34</v>
      </c>
      <c r="U947" t="s">
        <v>34</v>
      </c>
      <c r="V947" t="s">
        <v>70</v>
      </c>
      <c r="W947" t="s">
        <v>33</v>
      </c>
      <c r="X947" t="s">
        <v>45</v>
      </c>
      <c r="Z947" t="str">
        <f>IF(Table1[[#This Row],[Age]]&lt;30,"20-29",IF(Table1[[#This Row],[Age]]&lt;40,"30-39",IF(Table1[[#This Row],[Age]]&lt;50,"40-49","50+")))</f>
        <v>20-29</v>
      </c>
      <c r="AA947" t="str">
        <f>IF(Table1[[#This Row],[Salary]]&lt;20000000,"low",IF(Table1[[#This Row],[Salary]]&lt;40000000,"medium","high"))</f>
        <v>medium</v>
      </c>
      <c r="AB947">
        <f>YEAR(Table1[[#This Row],[Hire Date]])</f>
        <v>2021</v>
      </c>
      <c r="AC947" t="str">
        <f>TEXT(Table1[[#This Row],[Hire Date]],"mmmm")</f>
        <v>نوامبر</v>
      </c>
      <c r="AD947" t="str">
        <f>IF(Table1[[#This Row],[Resigned]]="yes","former","active")</f>
        <v>active</v>
      </c>
    </row>
    <row r="948" spans="1:30" x14ac:dyDescent="0.3">
      <c r="A948" t="s">
        <v>1961</v>
      </c>
      <c r="B948" t="s">
        <v>1962</v>
      </c>
      <c r="C948" t="s">
        <v>27</v>
      </c>
      <c r="D948">
        <v>43</v>
      </c>
      <c r="E948" t="s">
        <v>40</v>
      </c>
      <c r="F948" t="s">
        <v>48</v>
      </c>
      <c r="G948" t="s">
        <v>49</v>
      </c>
      <c r="H948" t="s">
        <v>31</v>
      </c>
      <c r="I948" t="s">
        <v>81</v>
      </c>
      <c r="J948" s="1">
        <v>42494</v>
      </c>
      <c r="K948">
        <v>10</v>
      </c>
      <c r="L948">
        <v>55515161</v>
      </c>
      <c r="M948">
        <v>3531380</v>
      </c>
      <c r="N948" t="s">
        <v>34</v>
      </c>
      <c r="O948">
        <v>3.06</v>
      </c>
      <c r="P948">
        <v>30</v>
      </c>
      <c r="Q948">
        <v>1</v>
      </c>
      <c r="R948">
        <v>3</v>
      </c>
      <c r="S948">
        <v>8</v>
      </c>
      <c r="T948" t="s">
        <v>33</v>
      </c>
      <c r="U948" t="s">
        <v>34</v>
      </c>
      <c r="V948" t="s">
        <v>59</v>
      </c>
      <c r="W948" t="s">
        <v>34</v>
      </c>
      <c r="X948" t="s">
        <v>45</v>
      </c>
      <c r="Z948" t="str">
        <f>IF(Table1[[#This Row],[Age]]&lt;30,"20-29",IF(Table1[[#This Row],[Age]]&lt;40,"30-39",IF(Table1[[#This Row],[Age]]&lt;50,"40-49","50+")))</f>
        <v>40-49</v>
      </c>
      <c r="AA948" t="str">
        <f>IF(Table1[[#This Row],[Salary]]&lt;20000000,"low",IF(Table1[[#This Row],[Salary]]&lt;40000000,"medium","high"))</f>
        <v>high</v>
      </c>
      <c r="AB948">
        <f>YEAR(Table1[[#This Row],[Hire Date]])</f>
        <v>2016</v>
      </c>
      <c r="AC948" t="str">
        <f>TEXT(Table1[[#This Row],[Hire Date]],"mmmm")</f>
        <v>مه</v>
      </c>
      <c r="AD948" t="str">
        <f>IF(Table1[[#This Row],[Resigned]]="yes","former","active")</f>
        <v>active</v>
      </c>
    </row>
    <row r="949" spans="1:30" x14ac:dyDescent="0.3">
      <c r="A949" t="s">
        <v>1963</v>
      </c>
      <c r="B949" t="s">
        <v>1964</v>
      </c>
      <c r="C949" t="s">
        <v>27</v>
      </c>
      <c r="D949">
        <v>57</v>
      </c>
      <c r="E949" t="s">
        <v>73</v>
      </c>
      <c r="F949" t="s">
        <v>127</v>
      </c>
      <c r="G949" t="s">
        <v>49</v>
      </c>
      <c r="H949" t="s">
        <v>42</v>
      </c>
      <c r="I949" t="s">
        <v>65</v>
      </c>
      <c r="J949" s="1">
        <v>43869</v>
      </c>
      <c r="K949">
        <v>6</v>
      </c>
      <c r="L949">
        <v>56703988</v>
      </c>
      <c r="M949">
        <v>1380932</v>
      </c>
      <c r="N949" t="s">
        <v>34</v>
      </c>
      <c r="O949">
        <v>3.09</v>
      </c>
      <c r="P949">
        <v>31</v>
      </c>
      <c r="Q949">
        <v>1</v>
      </c>
      <c r="R949">
        <v>1</v>
      </c>
      <c r="S949">
        <v>12</v>
      </c>
      <c r="T949" t="s">
        <v>34</v>
      </c>
      <c r="U949" t="s">
        <v>34</v>
      </c>
      <c r="V949" t="s">
        <v>35</v>
      </c>
      <c r="W949" t="s">
        <v>34</v>
      </c>
      <c r="X949" t="s">
        <v>45</v>
      </c>
      <c r="Z949" t="str">
        <f>IF(Table1[[#This Row],[Age]]&lt;30,"20-29",IF(Table1[[#This Row],[Age]]&lt;40,"30-39",IF(Table1[[#This Row],[Age]]&lt;50,"40-49","50+")))</f>
        <v>50+</v>
      </c>
      <c r="AA949" t="str">
        <f>IF(Table1[[#This Row],[Salary]]&lt;20000000,"low",IF(Table1[[#This Row],[Salary]]&lt;40000000,"medium","high"))</f>
        <v>high</v>
      </c>
      <c r="AB949">
        <f>YEAR(Table1[[#This Row],[Hire Date]])</f>
        <v>2020</v>
      </c>
      <c r="AC949" t="str">
        <f>TEXT(Table1[[#This Row],[Hire Date]],"mmmm")</f>
        <v>فوريه</v>
      </c>
      <c r="AD949" t="str">
        <f>IF(Table1[[#This Row],[Resigned]]="yes","former","active")</f>
        <v>active</v>
      </c>
    </row>
    <row r="950" spans="1:30" x14ac:dyDescent="0.3">
      <c r="A950" t="s">
        <v>1965</v>
      </c>
      <c r="B950" t="s">
        <v>1966</v>
      </c>
      <c r="C950" t="s">
        <v>27</v>
      </c>
      <c r="D950">
        <v>28</v>
      </c>
      <c r="E950" t="s">
        <v>28</v>
      </c>
      <c r="F950" t="s">
        <v>29</v>
      </c>
      <c r="G950" t="s">
        <v>49</v>
      </c>
      <c r="H950" t="s">
        <v>42</v>
      </c>
      <c r="I950" t="s">
        <v>43</v>
      </c>
      <c r="J950" s="1">
        <v>44800</v>
      </c>
      <c r="K950">
        <v>4</v>
      </c>
      <c r="L950">
        <v>57515259</v>
      </c>
      <c r="M950">
        <v>665946</v>
      </c>
      <c r="N950" t="s">
        <v>34</v>
      </c>
      <c r="O950">
        <v>4.75</v>
      </c>
      <c r="P950">
        <v>23</v>
      </c>
      <c r="Q950">
        <v>2</v>
      </c>
      <c r="R950">
        <v>4</v>
      </c>
      <c r="S950">
        <v>19</v>
      </c>
      <c r="T950" t="s">
        <v>33</v>
      </c>
      <c r="U950" t="s">
        <v>34</v>
      </c>
      <c r="V950" t="s">
        <v>51</v>
      </c>
      <c r="W950" t="s">
        <v>34</v>
      </c>
      <c r="X950" t="s">
        <v>52</v>
      </c>
      <c r="Z950" t="str">
        <f>IF(Table1[[#This Row],[Age]]&lt;30,"20-29",IF(Table1[[#This Row],[Age]]&lt;40,"30-39",IF(Table1[[#This Row],[Age]]&lt;50,"40-49","50+")))</f>
        <v>20-29</v>
      </c>
      <c r="AA950" t="str">
        <f>IF(Table1[[#This Row],[Salary]]&lt;20000000,"low",IF(Table1[[#This Row],[Salary]]&lt;40000000,"medium","high"))</f>
        <v>high</v>
      </c>
      <c r="AB950">
        <f>YEAR(Table1[[#This Row],[Hire Date]])</f>
        <v>2022</v>
      </c>
      <c r="AC950" t="str">
        <f>TEXT(Table1[[#This Row],[Hire Date]],"mmmm")</f>
        <v>اوت</v>
      </c>
      <c r="AD950" t="str">
        <f>IF(Table1[[#This Row],[Resigned]]="yes","former","active")</f>
        <v>active</v>
      </c>
    </row>
    <row r="951" spans="1:30" x14ac:dyDescent="0.3">
      <c r="A951" t="s">
        <v>1967</v>
      </c>
      <c r="B951" t="s">
        <v>1968</v>
      </c>
      <c r="C951" t="s">
        <v>39</v>
      </c>
      <c r="D951">
        <v>25</v>
      </c>
      <c r="E951" t="s">
        <v>56</v>
      </c>
      <c r="F951" t="s">
        <v>84</v>
      </c>
      <c r="G951" t="s">
        <v>49</v>
      </c>
      <c r="H951" t="s">
        <v>31</v>
      </c>
      <c r="I951" t="s">
        <v>81</v>
      </c>
      <c r="J951" s="1">
        <v>43891</v>
      </c>
      <c r="K951">
        <v>6</v>
      </c>
      <c r="L951">
        <v>22014068</v>
      </c>
      <c r="M951">
        <v>8346716</v>
      </c>
      <c r="N951" t="s">
        <v>34</v>
      </c>
      <c r="O951">
        <v>3.84</v>
      </c>
      <c r="P951">
        <v>40</v>
      </c>
      <c r="Q951">
        <v>4</v>
      </c>
      <c r="R951">
        <v>5</v>
      </c>
      <c r="S951">
        <v>1</v>
      </c>
      <c r="T951" t="s">
        <v>34</v>
      </c>
      <c r="U951" t="s">
        <v>34</v>
      </c>
      <c r="V951" t="s">
        <v>70</v>
      </c>
      <c r="W951" t="s">
        <v>33</v>
      </c>
      <c r="X951" t="s">
        <v>36</v>
      </c>
      <c r="Z951" t="str">
        <f>IF(Table1[[#This Row],[Age]]&lt;30,"20-29",IF(Table1[[#This Row],[Age]]&lt;40,"30-39",IF(Table1[[#This Row],[Age]]&lt;50,"40-49","50+")))</f>
        <v>20-29</v>
      </c>
      <c r="AA951" t="str">
        <f>IF(Table1[[#This Row],[Salary]]&lt;20000000,"low",IF(Table1[[#This Row],[Salary]]&lt;40000000,"medium","high"))</f>
        <v>medium</v>
      </c>
      <c r="AB951">
        <f>YEAR(Table1[[#This Row],[Hire Date]])</f>
        <v>2020</v>
      </c>
      <c r="AC951" t="str">
        <f>TEXT(Table1[[#This Row],[Hire Date]],"mmmm")</f>
        <v>مارس</v>
      </c>
      <c r="AD951" t="str">
        <f>IF(Table1[[#This Row],[Resigned]]="yes","former","active")</f>
        <v>active</v>
      </c>
    </row>
    <row r="952" spans="1:30" x14ac:dyDescent="0.3">
      <c r="A952" t="s">
        <v>1969</v>
      </c>
      <c r="B952" t="s">
        <v>1970</v>
      </c>
      <c r="C952" t="s">
        <v>27</v>
      </c>
      <c r="D952">
        <v>52</v>
      </c>
      <c r="E952" t="s">
        <v>110</v>
      </c>
      <c r="F952" t="s">
        <v>120</v>
      </c>
      <c r="G952" t="s">
        <v>30</v>
      </c>
      <c r="H952" t="s">
        <v>42</v>
      </c>
      <c r="I952" t="s">
        <v>50</v>
      </c>
      <c r="J952" s="1">
        <v>44214</v>
      </c>
      <c r="K952">
        <v>5</v>
      </c>
      <c r="L952">
        <v>54474992</v>
      </c>
      <c r="M952">
        <v>3210767</v>
      </c>
      <c r="N952" t="s">
        <v>34</v>
      </c>
      <c r="O952">
        <v>3.36</v>
      </c>
      <c r="P952">
        <v>44</v>
      </c>
      <c r="Q952">
        <v>5</v>
      </c>
      <c r="R952">
        <v>3</v>
      </c>
      <c r="S952">
        <v>9</v>
      </c>
      <c r="T952" t="s">
        <v>33</v>
      </c>
      <c r="U952" t="s">
        <v>34</v>
      </c>
      <c r="V952" t="s">
        <v>59</v>
      </c>
      <c r="W952" t="s">
        <v>33</v>
      </c>
      <c r="X952" t="s">
        <v>52</v>
      </c>
      <c r="Z952" t="str">
        <f>IF(Table1[[#This Row],[Age]]&lt;30,"20-29",IF(Table1[[#This Row],[Age]]&lt;40,"30-39",IF(Table1[[#This Row],[Age]]&lt;50,"40-49","50+")))</f>
        <v>50+</v>
      </c>
      <c r="AA952" t="str">
        <f>IF(Table1[[#This Row],[Salary]]&lt;20000000,"low",IF(Table1[[#This Row],[Salary]]&lt;40000000,"medium","high"))</f>
        <v>high</v>
      </c>
      <c r="AB952">
        <f>YEAR(Table1[[#This Row],[Hire Date]])</f>
        <v>2021</v>
      </c>
      <c r="AC952" t="str">
        <f>TEXT(Table1[[#This Row],[Hire Date]],"mmmm")</f>
        <v>ژانويه</v>
      </c>
      <c r="AD952" t="str">
        <f>IF(Table1[[#This Row],[Resigned]]="yes","former","active")</f>
        <v>active</v>
      </c>
    </row>
    <row r="953" spans="1:30" x14ac:dyDescent="0.3">
      <c r="A953" t="s">
        <v>1971</v>
      </c>
      <c r="B953" t="s">
        <v>1972</v>
      </c>
      <c r="C953" t="s">
        <v>39</v>
      </c>
      <c r="D953">
        <v>54</v>
      </c>
      <c r="E953" t="s">
        <v>63</v>
      </c>
      <c r="F953" t="s">
        <v>64</v>
      </c>
      <c r="G953" t="s">
        <v>49</v>
      </c>
      <c r="H953" t="s">
        <v>42</v>
      </c>
      <c r="I953" t="s">
        <v>65</v>
      </c>
      <c r="J953" s="1">
        <v>43010</v>
      </c>
      <c r="K953">
        <v>9</v>
      </c>
      <c r="L953">
        <v>15308145</v>
      </c>
      <c r="M953">
        <v>9414988</v>
      </c>
      <c r="N953" t="s">
        <v>33</v>
      </c>
      <c r="O953">
        <v>3.63</v>
      </c>
      <c r="P953">
        <v>13</v>
      </c>
      <c r="Q953">
        <v>1</v>
      </c>
      <c r="R953">
        <v>1</v>
      </c>
      <c r="S953">
        <v>2</v>
      </c>
      <c r="T953" t="s">
        <v>34</v>
      </c>
      <c r="U953" t="s">
        <v>34</v>
      </c>
      <c r="V953" t="s">
        <v>35</v>
      </c>
      <c r="W953" t="s">
        <v>34</v>
      </c>
      <c r="X953" t="s">
        <v>36</v>
      </c>
      <c r="Z953" t="str">
        <f>IF(Table1[[#This Row],[Age]]&lt;30,"20-29",IF(Table1[[#This Row],[Age]]&lt;40,"30-39",IF(Table1[[#This Row],[Age]]&lt;50,"40-49","50+")))</f>
        <v>50+</v>
      </c>
      <c r="AA953" t="str">
        <f>IF(Table1[[#This Row],[Salary]]&lt;20000000,"low",IF(Table1[[#This Row],[Salary]]&lt;40000000,"medium","high"))</f>
        <v>low</v>
      </c>
      <c r="AB953">
        <f>YEAR(Table1[[#This Row],[Hire Date]])</f>
        <v>2017</v>
      </c>
      <c r="AC953" t="str">
        <f>TEXT(Table1[[#This Row],[Hire Date]],"mmmm")</f>
        <v>اُكتبر</v>
      </c>
      <c r="AD953" t="str">
        <f>IF(Table1[[#This Row],[Resigned]]="yes","former","active")</f>
        <v>active</v>
      </c>
    </row>
    <row r="954" spans="1:30" x14ac:dyDescent="0.3">
      <c r="A954" t="s">
        <v>1973</v>
      </c>
      <c r="B954" t="s">
        <v>1974</v>
      </c>
      <c r="C954" t="s">
        <v>39</v>
      </c>
      <c r="D954">
        <v>32</v>
      </c>
      <c r="E954" t="s">
        <v>40</v>
      </c>
      <c r="F954" t="s">
        <v>48</v>
      </c>
      <c r="G954" t="s">
        <v>49</v>
      </c>
      <c r="H954" t="s">
        <v>31</v>
      </c>
      <c r="I954" t="s">
        <v>65</v>
      </c>
      <c r="J954" s="1">
        <v>45562</v>
      </c>
      <c r="K954">
        <v>2</v>
      </c>
      <c r="L954">
        <v>27904043</v>
      </c>
      <c r="M954">
        <v>5929507</v>
      </c>
      <c r="N954" t="s">
        <v>34</v>
      </c>
      <c r="O954">
        <v>2.94</v>
      </c>
      <c r="P954">
        <v>30</v>
      </c>
      <c r="Q954">
        <v>5</v>
      </c>
      <c r="R954">
        <v>1</v>
      </c>
      <c r="S954">
        <v>9</v>
      </c>
      <c r="T954" t="s">
        <v>34</v>
      </c>
      <c r="U954" t="s">
        <v>34</v>
      </c>
      <c r="V954" t="s">
        <v>44</v>
      </c>
      <c r="W954" t="s">
        <v>34</v>
      </c>
      <c r="X954" t="s">
        <v>45</v>
      </c>
      <c r="Z954" t="str">
        <f>IF(Table1[[#This Row],[Age]]&lt;30,"20-29",IF(Table1[[#This Row],[Age]]&lt;40,"30-39",IF(Table1[[#This Row],[Age]]&lt;50,"40-49","50+")))</f>
        <v>30-39</v>
      </c>
      <c r="AA954" t="str">
        <f>IF(Table1[[#This Row],[Salary]]&lt;20000000,"low",IF(Table1[[#This Row],[Salary]]&lt;40000000,"medium","high"))</f>
        <v>medium</v>
      </c>
      <c r="AB954">
        <f>YEAR(Table1[[#This Row],[Hire Date]])</f>
        <v>2024</v>
      </c>
      <c r="AC954" t="str">
        <f>TEXT(Table1[[#This Row],[Hire Date]],"mmmm")</f>
        <v>سپتامبر</v>
      </c>
      <c r="AD954" t="str">
        <f>IF(Table1[[#This Row],[Resigned]]="yes","former","active")</f>
        <v>active</v>
      </c>
    </row>
    <row r="955" spans="1:30" x14ac:dyDescent="0.3">
      <c r="A955" t="s">
        <v>1975</v>
      </c>
      <c r="B955" t="s">
        <v>1976</v>
      </c>
      <c r="C955" t="s">
        <v>39</v>
      </c>
      <c r="D955">
        <v>43</v>
      </c>
      <c r="E955" t="s">
        <v>110</v>
      </c>
      <c r="F955" t="s">
        <v>111</v>
      </c>
      <c r="G955" t="s">
        <v>30</v>
      </c>
      <c r="H955" t="s">
        <v>31</v>
      </c>
      <c r="I955" t="s">
        <v>65</v>
      </c>
      <c r="J955" s="1">
        <v>43604</v>
      </c>
      <c r="K955">
        <v>7</v>
      </c>
      <c r="L955">
        <v>43182892</v>
      </c>
      <c r="M955">
        <v>4195572</v>
      </c>
      <c r="N955" t="s">
        <v>33</v>
      </c>
      <c r="O955">
        <v>4.8099999999999996</v>
      </c>
      <c r="P955">
        <v>46</v>
      </c>
      <c r="Q955">
        <v>5</v>
      </c>
      <c r="R955">
        <v>5</v>
      </c>
      <c r="S955">
        <v>4</v>
      </c>
      <c r="T955" t="s">
        <v>34</v>
      </c>
      <c r="U955" t="s">
        <v>33</v>
      </c>
      <c r="V955" t="s">
        <v>59</v>
      </c>
      <c r="W955" t="s">
        <v>33</v>
      </c>
      <c r="X955" t="s">
        <v>52</v>
      </c>
      <c r="Y955" t="s">
        <v>162</v>
      </c>
      <c r="Z955" t="str">
        <f>IF(Table1[[#This Row],[Age]]&lt;30,"20-29",IF(Table1[[#This Row],[Age]]&lt;40,"30-39",IF(Table1[[#This Row],[Age]]&lt;50,"40-49","50+")))</f>
        <v>40-49</v>
      </c>
      <c r="AA955" t="str">
        <f>IF(Table1[[#This Row],[Salary]]&lt;20000000,"low",IF(Table1[[#This Row],[Salary]]&lt;40000000,"medium","high"))</f>
        <v>high</v>
      </c>
      <c r="AB955">
        <f>YEAR(Table1[[#This Row],[Hire Date]])</f>
        <v>2019</v>
      </c>
      <c r="AC955" t="str">
        <f>TEXT(Table1[[#This Row],[Hire Date]],"mmmm")</f>
        <v>مه</v>
      </c>
      <c r="AD955" t="str">
        <f>IF(Table1[[#This Row],[Resigned]]="yes","former","active")</f>
        <v>former</v>
      </c>
    </row>
    <row r="956" spans="1:30" x14ac:dyDescent="0.3">
      <c r="A956" t="s">
        <v>1977</v>
      </c>
      <c r="B956" t="s">
        <v>1978</v>
      </c>
      <c r="C956" t="s">
        <v>27</v>
      </c>
      <c r="D956">
        <v>36</v>
      </c>
      <c r="E956" t="s">
        <v>40</v>
      </c>
      <c r="F956" t="s">
        <v>41</v>
      </c>
      <c r="G956" t="s">
        <v>58</v>
      </c>
      <c r="H956" t="s">
        <v>31</v>
      </c>
      <c r="I956" t="s">
        <v>32</v>
      </c>
      <c r="J956" s="1">
        <v>45450</v>
      </c>
      <c r="K956">
        <v>2</v>
      </c>
      <c r="L956">
        <v>52979524</v>
      </c>
      <c r="M956">
        <v>6755367</v>
      </c>
      <c r="N956" t="s">
        <v>34</v>
      </c>
      <c r="O956">
        <v>4.5599999999999996</v>
      </c>
      <c r="P956">
        <v>12</v>
      </c>
      <c r="Q956">
        <v>4</v>
      </c>
      <c r="R956">
        <v>3</v>
      </c>
      <c r="S956">
        <v>13</v>
      </c>
      <c r="T956" t="s">
        <v>34</v>
      </c>
      <c r="U956" t="s">
        <v>34</v>
      </c>
      <c r="V956" t="s">
        <v>51</v>
      </c>
      <c r="W956" t="s">
        <v>34</v>
      </c>
      <c r="X956" t="s">
        <v>36</v>
      </c>
      <c r="Z956" t="str">
        <f>IF(Table1[[#This Row],[Age]]&lt;30,"20-29",IF(Table1[[#This Row],[Age]]&lt;40,"30-39",IF(Table1[[#This Row],[Age]]&lt;50,"40-49","50+")))</f>
        <v>30-39</v>
      </c>
      <c r="AA956" t="str">
        <f>IF(Table1[[#This Row],[Salary]]&lt;20000000,"low",IF(Table1[[#This Row],[Salary]]&lt;40000000,"medium","high"))</f>
        <v>high</v>
      </c>
      <c r="AB956">
        <f>YEAR(Table1[[#This Row],[Hire Date]])</f>
        <v>2024</v>
      </c>
      <c r="AC956" t="str">
        <f>TEXT(Table1[[#This Row],[Hire Date]],"mmmm")</f>
        <v>ژوئن</v>
      </c>
      <c r="AD956" t="str">
        <f>IF(Table1[[#This Row],[Resigned]]="yes","former","active")</f>
        <v>active</v>
      </c>
    </row>
    <row r="957" spans="1:30" x14ac:dyDescent="0.3">
      <c r="A957" t="s">
        <v>1979</v>
      </c>
      <c r="B957" t="s">
        <v>1980</v>
      </c>
      <c r="C957" t="s">
        <v>27</v>
      </c>
      <c r="D957">
        <v>51</v>
      </c>
      <c r="E957" t="s">
        <v>28</v>
      </c>
      <c r="F957" t="s">
        <v>29</v>
      </c>
      <c r="G957" t="s">
        <v>30</v>
      </c>
      <c r="H957" t="s">
        <v>31</v>
      </c>
      <c r="I957" t="s">
        <v>50</v>
      </c>
      <c r="J957" s="1">
        <v>42809</v>
      </c>
      <c r="K957">
        <v>9</v>
      </c>
      <c r="L957">
        <v>47763235</v>
      </c>
      <c r="M957">
        <v>9870541</v>
      </c>
      <c r="N957" t="s">
        <v>34</v>
      </c>
      <c r="O957">
        <v>2.64</v>
      </c>
      <c r="P957">
        <v>55</v>
      </c>
      <c r="Q957">
        <v>4</v>
      </c>
      <c r="R957">
        <v>1</v>
      </c>
      <c r="S957">
        <v>20</v>
      </c>
      <c r="T957" t="s">
        <v>34</v>
      </c>
      <c r="U957" t="s">
        <v>34</v>
      </c>
      <c r="V957" t="s">
        <v>59</v>
      </c>
      <c r="W957" t="s">
        <v>33</v>
      </c>
      <c r="X957" t="s">
        <v>52</v>
      </c>
      <c r="Z957" t="str">
        <f>IF(Table1[[#This Row],[Age]]&lt;30,"20-29",IF(Table1[[#This Row],[Age]]&lt;40,"30-39",IF(Table1[[#This Row],[Age]]&lt;50,"40-49","50+")))</f>
        <v>50+</v>
      </c>
      <c r="AA957" t="str">
        <f>IF(Table1[[#This Row],[Salary]]&lt;20000000,"low",IF(Table1[[#This Row],[Salary]]&lt;40000000,"medium","high"))</f>
        <v>high</v>
      </c>
      <c r="AB957">
        <f>YEAR(Table1[[#This Row],[Hire Date]])</f>
        <v>2017</v>
      </c>
      <c r="AC957" t="str">
        <f>TEXT(Table1[[#This Row],[Hire Date]],"mmmm")</f>
        <v>مارس</v>
      </c>
      <c r="AD957" t="str">
        <f>IF(Table1[[#This Row],[Resigned]]="yes","former","active")</f>
        <v>active</v>
      </c>
    </row>
    <row r="958" spans="1:30" x14ac:dyDescent="0.3">
      <c r="A958" t="s">
        <v>1981</v>
      </c>
      <c r="B958" t="s">
        <v>1982</v>
      </c>
      <c r="C958" t="s">
        <v>27</v>
      </c>
      <c r="D958">
        <v>47</v>
      </c>
      <c r="E958" t="s">
        <v>28</v>
      </c>
      <c r="F958" t="s">
        <v>80</v>
      </c>
      <c r="G958" t="s">
        <v>58</v>
      </c>
      <c r="H958" t="s">
        <v>31</v>
      </c>
      <c r="I958" t="s">
        <v>50</v>
      </c>
      <c r="J958" s="1">
        <v>42860</v>
      </c>
      <c r="K958">
        <v>9</v>
      </c>
      <c r="L958">
        <v>49749619</v>
      </c>
      <c r="M958">
        <v>2972460</v>
      </c>
      <c r="N958" t="s">
        <v>34</v>
      </c>
      <c r="O958">
        <v>4.34</v>
      </c>
      <c r="P958">
        <v>34</v>
      </c>
      <c r="Q958">
        <v>3</v>
      </c>
      <c r="R958">
        <v>2</v>
      </c>
      <c r="S958">
        <v>20</v>
      </c>
      <c r="T958" t="s">
        <v>33</v>
      </c>
      <c r="U958" t="s">
        <v>34</v>
      </c>
      <c r="V958" t="s">
        <v>51</v>
      </c>
      <c r="W958" t="s">
        <v>33</v>
      </c>
      <c r="X958" t="s">
        <v>36</v>
      </c>
      <c r="Z958" t="str">
        <f>IF(Table1[[#This Row],[Age]]&lt;30,"20-29",IF(Table1[[#This Row],[Age]]&lt;40,"30-39",IF(Table1[[#This Row],[Age]]&lt;50,"40-49","50+")))</f>
        <v>40-49</v>
      </c>
      <c r="AA958" t="str">
        <f>IF(Table1[[#This Row],[Salary]]&lt;20000000,"low",IF(Table1[[#This Row],[Salary]]&lt;40000000,"medium","high"))</f>
        <v>high</v>
      </c>
      <c r="AB958">
        <f>YEAR(Table1[[#This Row],[Hire Date]])</f>
        <v>2017</v>
      </c>
      <c r="AC958" t="str">
        <f>TEXT(Table1[[#This Row],[Hire Date]],"mmmm")</f>
        <v>مه</v>
      </c>
      <c r="AD958" t="str">
        <f>IF(Table1[[#This Row],[Resigned]]="yes","former","active")</f>
        <v>active</v>
      </c>
    </row>
    <row r="959" spans="1:30" x14ac:dyDescent="0.3">
      <c r="A959" t="s">
        <v>1983</v>
      </c>
      <c r="B959" t="s">
        <v>1984</v>
      </c>
      <c r="C959" t="s">
        <v>39</v>
      </c>
      <c r="D959">
        <v>35</v>
      </c>
      <c r="E959" t="s">
        <v>28</v>
      </c>
      <c r="F959" t="s">
        <v>80</v>
      </c>
      <c r="G959" t="s">
        <v>30</v>
      </c>
      <c r="H959" t="s">
        <v>42</v>
      </c>
      <c r="I959" t="s">
        <v>65</v>
      </c>
      <c r="J959" s="1">
        <v>43579</v>
      </c>
      <c r="K959">
        <v>7</v>
      </c>
      <c r="L959">
        <v>52545257</v>
      </c>
      <c r="M959">
        <v>2343417</v>
      </c>
      <c r="N959" t="s">
        <v>33</v>
      </c>
      <c r="O959">
        <v>3.38</v>
      </c>
      <c r="P959">
        <v>66</v>
      </c>
      <c r="Q959">
        <v>2</v>
      </c>
      <c r="R959">
        <v>4</v>
      </c>
      <c r="S959">
        <v>11</v>
      </c>
      <c r="T959" t="s">
        <v>33</v>
      </c>
      <c r="U959" t="s">
        <v>34</v>
      </c>
      <c r="V959" t="s">
        <v>70</v>
      </c>
      <c r="W959" t="s">
        <v>34</v>
      </c>
      <c r="X959" t="s">
        <v>36</v>
      </c>
      <c r="Z959" t="str">
        <f>IF(Table1[[#This Row],[Age]]&lt;30,"20-29",IF(Table1[[#This Row],[Age]]&lt;40,"30-39",IF(Table1[[#This Row],[Age]]&lt;50,"40-49","50+")))</f>
        <v>30-39</v>
      </c>
      <c r="AA959" t="str">
        <f>IF(Table1[[#This Row],[Salary]]&lt;20000000,"low",IF(Table1[[#This Row],[Salary]]&lt;40000000,"medium","high"))</f>
        <v>high</v>
      </c>
      <c r="AB959">
        <f>YEAR(Table1[[#This Row],[Hire Date]])</f>
        <v>2019</v>
      </c>
      <c r="AC959" t="str">
        <f>TEXT(Table1[[#This Row],[Hire Date]],"mmmm")</f>
        <v>آوريل</v>
      </c>
      <c r="AD959" t="str">
        <f>IF(Table1[[#This Row],[Resigned]]="yes","former","active")</f>
        <v>active</v>
      </c>
    </row>
    <row r="960" spans="1:30" x14ac:dyDescent="0.3">
      <c r="A960" t="s">
        <v>1985</v>
      </c>
      <c r="B960" t="s">
        <v>1986</v>
      </c>
      <c r="C960" t="s">
        <v>39</v>
      </c>
      <c r="D960">
        <v>26</v>
      </c>
      <c r="E960" t="s">
        <v>63</v>
      </c>
      <c r="F960" t="s">
        <v>93</v>
      </c>
      <c r="G960" t="s">
        <v>30</v>
      </c>
      <c r="H960" t="s">
        <v>42</v>
      </c>
      <c r="I960" t="s">
        <v>50</v>
      </c>
      <c r="J960" s="1">
        <v>44213</v>
      </c>
      <c r="K960">
        <v>5</v>
      </c>
      <c r="L960">
        <v>40736025</v>
      </c>
      <c r="M960">
        <v>1780647</v>
      </c>
      <c r="N960" t="s">
        <v>33</v>
      </c>
      <c r="O960">
        <v>3.51</v>
      </c>
      <c r="P960">
        <v>24</v>
      </c>
      <c r="Q960">
        <v>2</v>
      </c>
      <c r="R960">
        <v>4</v>
      </c>
      <c r="S960">
        <v>14</v>
      </c>
      <c r="T960" t="s">
        <v>34</v>
      </c>
      <c r="U960" t="s">
        <v>34</v>
      </c>
      <c r="V960" t="s">
        <v>44</v>
      </c>
      <c r="W960" t="s">
        <v>34</v>
      </c>
      <c r="X960" t="s">
        <v>36</v>
      </c>
      <c r="Z960" t="str">
        <f>IF(Table1[[#This Row],[Age]]&lt;30,"20-29",IF(Table1[[#This Row],[Age]]&lt;40,"30-39",IF(Table1[[#This Row],[Age]]&lt;50,"40-49","50+")))</f>
        <v>20-29</v>
      </c>
      <c r="AA960" t="str">
        <f>IF(Table1[[#This Row],[Salary]]&lt;20000000,"low",IF(Table1[[#This Row],[Salary]]&lt;40000000,"medium","high"))</f>
        <v>high</v>
      </c>
      <c r="AB960">
        <f>YEAR(Table1[[#This Row],[Hire Date]])</f>
        <v>2021</v>
      </c>
      <c r="AC960" t="str">
        <f>TEXT(Table1[[#This Row],[Hire Date]],"mmmm")</f>
        <v>ژانويه</v>
      </c>
      <c r="AD960" t="str">
        <f>IF(Table1[[#This Row],[Resigned]]="yes","former","active")</f>
        <v>active</v>
      </c>
    </row>
    <row r="961" spans="1:30" x14ac:dyDescent="0.3">
      <c r="A961" t="s">
        <v>1987</v>
      </c>
      <c r="B961" t="s">
        <v>1988</v>
      </c>
      <c r="C961" t="s">
        <v>27</v>
      </c>
      <c r="D961">
        <v>36</v>
      </c>
      <c r="E961" t="s">
        <v>40</v>
      </c>
      <c r="F961" t="s">
        <v>41</v>
      </c>
      <c r="G961" t="s">
        <v>30</v>
      </c>
      <c r="H961" t="s">
        <v>31</v>
      </c>
      <c r="I961" t="s">
        <v>43</v>
      </c>
      <c r="J961" s="1">
        <v>43286</v>
      </c>
      <c r="K961">
        <v>8</v>
      </c>
      <c r="L961">
        <v>16970238</v>
      </c>
      <c r="M961">
        <v>7393489</v>
      </c>
      <c r="N961" t="s">
        <v>34</v>
      </c>
      <c r="O961">
        <v>4.99</v>
      </c>
      <c r="P961">
        <v>63</v>
      </c>
      <c r="Q961">
        <v>4</v>
      </c>
      <c r="R961">
        <v>3</v>
      </c>
      <c r="S961">
        <v>17</v>
      </c>
      <c r="T961" t="s">
        <v>34</v>
      </c>
      <c r="U961" t="s">
        <v>34</v>
      </c>
      <c r="V961" t="s">
        <v>44</v>
      </c>
      <c r="W961" t="s">
        <v>33</v>
      </c>
      <c r="X961" t="s">
        <v>52</v>
      </c>
      <c r="Z961" t="str">
        <f>IF(Table1[[#This Row],[Age]]&lt;30,"20-29",IF(Table1[[#This Row],[Age]]&lt;40,"30-39",IF(Table1[[#This Row],[Age]]&lt;50,"40-49","50+")))</f>
        <v>30-39</v>
      </c>
      <c r="AA961" t="str">
        <f>IF(Table1[[#This Row],[Salary]]&lt;20000000,"low",IF(Table1[[#This Row],[Salary]]&lt;40000000,"medium","high"))</f>
        <v>low</v>
      </c>
      <c r="AB961">
        <f>YEAR(Table1[[#This Row],[Hire Date]])</f>
        <v>2018</v>
      </c>
      <c r="AC961" t="str">
        <f>TEXT(Table1[[#This Row],[Hire Date]],"mmmm")</f>
        <v>ژوئيه</v>
      </c>
      <c r="AD961" t="str">
        <f>IF(Table1[[#This Row],[Resigned]]="yes","former","active")</f>
        <v>active</v>
      </c>
    </row>
    <row r="962" spans="1:30" x14ac:dyDescent="0.3">
      <c r="A962" t="s">
        <v>1989</v>
      </c>
      <c r="B962" t="s">
        <v>1990</v>
      </c>
      <c r="C962" t="s">
        <v>39</v>
      </c>
      <c r="D962">
        <v>28</v>
      </c>
      <c r="E962" t="s">
        <v>73</v>
      </c>
      <c r="F962" t="s">
        <v>74</v>
      </c>
      <c r="G962" t="s">
        <v>30</v>
      </c>
      <c r="H962" t="s">
        <v>42</v>
      </c>
      <c r="I962" t="s">
        <v>32</v>
      </c>
      <c r="J962" s="1">
        <v>44792</v>
      </c>
      <c r="K962">
        <v>4</v>
      </c>
      <c r="L962">
        <v>15120459</v>
      </c>
      <c r="M962">
        <v>1189738</v>
      </c>
      <c r="N962" t="s">
        <v>34</v>
      </c>
      <c r="O962">
        <v>4.4000000000000004</v>
      </c>
      <c r="P962">
        <v>73</v>
      </c>
      <c r="Q962">
        <v>3</v>
      </c>
      <c r="R962">
        <v>5</v>
      </c>
      <c r="S962">
        <v>8</v>
      </c>
      <c r="T962" t="s">
        <v>34</v>
      </c>
      <c r="U962" t="s">
        <v>33</v>
      </c>
      <c r="V962" t="s">
        <v>59</v>
      </c>
      <c r="W962" t="s">
        <v>34</v>
      </c>
      <c r="X962" t="s">
        <v>45</v>
      </c>
      <c r="Y962" t="s">
        <v>75</v>
      </c>
      <c r="Z962" t="str">
        <f>IF(Table1[[#This Row],[Age]]&lt;30,"20-29",IF(Table1[[#This Row],[Age]]&lt;40,"30-39",IF(Table1[[#This Row],[Age]]&lt;50,"40-49","50+")))</f>
        <v>20-29</v>
      </c>
      <c r="AA962" t="str">
        <f>IF(Table1[[#This Row],[Salary]]&lt;20000000,"low",IF(Table1[[#This Row],[Salary]]&lt;40000000,"medium","high"))</f>
        <v>low</v>
      </c>
      <c r="AB962">
        <f>YEAR(Table1[[#This Row],[Hire Date]])</f>
        <v>2022</v>
      </c>
      <c r="AC962" t="str">
        <f>TEXT(Table1[[#This Row],[Hire Date]],"mmmm")</f>
        <v>اوت</v>
      </c>
      <c r="AD962" t="str">
        <f>IF(Table1[[#This Row],[Resigned]]="yes","former","active")</f>
        <v>former</v>
      </c>
    </row>
    <row r="963" spans="1:30" x14ac:dyDescent="0.3">
      <c r="A963" t="s">
        <v>1991</v>
      </c>
      <c r="B963" t="s">
        <v>1992</v>
      </c>
      <c r="C963" t="s">
        <v>27</v>
      </c>
      <c r="D963">
        <v>47</v>
      </c>
      <c r="E963" t="s">
        <v>73</v>
      </c>
      <c r="F963" t="s">
        <v>127</v>
      </c>
      <c r="G963" t="s">
        <v>30</v>
      </c>
      <c r="H963" t="s">
        <v>31</v>
      </c>
      <c r="I963" t="s">
        <v>65</v>
      </c>
      <c r="J963" s="1">
        <v>44982</v>
      </c>
      <c r="K963">
        <v>3</v>
      </c>
      <c r="L963">
        <v>37351352</v>
      </c>
      <c r="M963">
        <v>2657426</v>
      </c>
      <c r="N963" t="s">
        <v>33</v>
      </c>
      <c r="O963">
        <v>3.15</v>
      </c>
      <c r="P963">
        <v>44</v>
      </c>
      <c r="Q963">
        <v>3</v>
      </c>
      <c r="R963">
        <v>5</v>
      </c>
      <c r="S963">
        <v>3</v>
      </c>
      <c r="T963" t="s">
        <v>33</v>
      </c>
      <c r="U963" t="s">
        <v>33</v>
      </c>
      <c r="V963" t="s">
        <v>51</v>
      </c>
      <c r="W963" t="s">
        <v>33</v>
      </c>
      <c r="X963" t="s">
        <v>45</v>
      </c>
      <c r="Y963" t="s">
        <v>162</v>
      </c>
      <c r="Z963" t="str">
        <f>IF(Table1[[#This Row],[Age]]&lt;30,"20-29",IF(Table1[[#This Row],[Age]]&lt;40,"30-39",IF(Table1[[#This Row],[Age]]&lt;50,"40-49","50+")))</f>
        <v>40-49</v>
      </c>
      <c r="AA963" t="str">
        <f>IF(Table1[[#This Row],[Salary]]&lt;20000000,"low",IF(Table1[[#This Row],[Salary]]&lt;40000000,"medium","high"))</f>
        <v>medium</v>
      </c>
      <c r="AB963">
        <f>YEAR(Table1[[#This Row],[Hire Date]])</f>
        <v>2023</v>
      </c>
      <c r="AC963" t="str">
        <f>TEXT(Table1[[#This Row],[Hire Date]],"mmmm")</f>
        <v>فوريه</v>
      </c>
      <c r="AD963" t="str">
        <f>IF(Table1[[#This Row],[Resigned]]="yes","former","active")</f>
        <v>former</v>
      </c>
    </row>
    <row r="964" spans="1:30" x14ac:dyDescent="0.3">
      <c r="A964" t="s">
        <v>1993</v>
      </c>
      <c r="B964" t="s">
        <v>1994</v>
      </c>
      <c r="C964" t="s">
        <v>27</v>
      </c>
      <c r="D964">
        <v>25</v>
      </c>
      <c r="E964" t="s">
        <v>56</v>
      </c>
      <c r="F964" t="s">
        <v>57</v>
      </c>
      <c r="G964" t="s">
        <v>58</v>
      </c>
      <c r="H964" t="s">
        <v>31</v>
      </c>
      <c r="I964" t="s">
        <v>43</v>
      </c>
      <c r="J964" s="1">
        <v>45423</v>
      </c>
      <c r="K964">
        <v>2</v>
      </c>
      <c r="L964">
        <v>55591211</v>
      </c>
      <c r="M964">
        <v>3301713</v>
      </c>
      <c r="N964" t="s">
        <v>34</v>
      </c>
      <c r="O964">
        <v>4.76</v>
      </c>
      <c r="P964">
        <v>36</v>
      </c>
      <c r="Q964">
        <v>2</v>
      </c>
      <c r="R964">
        <v>5</v>
      </c>
      <c r="S964">
        <v>2</v>
      </c>
      <c r="T964" t="s">
        <v>34</v>
      </c>
      <c r="U964" t="s">
        <v>34</v>
      </c>
      <c r="V964" t="s">
        <v>44</v>
      </c>
      <c r="W964" t="s">
        <v>33</v>
      </c>
      <c r="X964" t="s">
        <v>52</v>
      </c>
      <c r="Z964" t="str">
        <f>IF(Table1[[#This Row],[Age]]&lt;30,"20-29",IF(Table1[[#This Row],[Age]]&lt;40,"30-39",IF(Table1[[#This Row],[Age]]&lt;50,"40-49","50+")))</f>
        <v>20-29</v>
      </c>
      <c r="AA964" t="str">
        <f>IF(Table1[[#This Row],[Salary]]&lt;20000000,"low",IF(Table1[[#This Row],[Salary]]&lt;40000000,"medium","high"))</f>
        <v>high</v>
      </c>
      <c r="AB964">
        <f>YEAR(Table1[[#This Row],[Hire Date]])</f>
        <v>2024</v>
      </c>
      <c r="AC964" t="str">
        <f>TEXT(Table1[[#This Row],[Hire Date]],"mmmm")</f>
        <v>مه</v>
      </c>
      <c r="AD964" t="str">
        <f>IF(Table1[[#This Row],[Resigned]]="yes","former","active")</f>
        <v>active</v>
      </c>
    </row>
    <row r="965" spans="1:30" x14ac:dyDescent="0.3">
      <c r="A965" t="s">
        <v>1995</v>
      </c>
      <c r="B965" t="s">
        <v>1996</v>
      </c>
      <c r="C965" t="s">
        <v>27</v>
      </c>
      <c r="D965">
        <v>58</v>
      </c>
      <c r="E965" t="s">
        <v>110</v>
      </c>
      <c r="F965" t="s">
        <v>111</v>
      </c>
      <c r="G965" t="s">
        <v>30</v>
      </c>
      <c r="H965" t="s">
        <v>42</v>
      </c>
      <c r="I965" t="s">
        <v>81</v>
      </c>
      <c r="J965" s="1">
        <v>45767</v>
      </c>
      <c r="K965">
        <v>1</v>
      </c>
      <c r="L965">
        <v>21354591</v>
      </c>
      <c r="M965">
        <v>5325431</v>
      </c>
      <c r="N965" t="s">
        <v>33</v>
      </c>
      <c r="O965">
        <v>3.84</v>
      </c>
      <c r="P965">
        <v>8</v>
      </c>
      <c r="Q965">
        <v>5</v>
      </c>
      <c r="R965">
        <v>3</v>
      </c>
      <c r="S965">
        <v>16</v>
      </c>
      <c r="T965" t="s">
        <v>33</v>
      </c>
      <c r="U965" t="s">
        <v>33</v>
      </c>
      <c r="V965" t="s">
        <v>44</v>
      </c>
      <c r="W965" t="s">
        <v>33</v>
      </c>
      <c r="X965" t="s">
        <v>36</v>
      </c>
      <c r="Y965" t="s">
        <v>53</v>
      </c>
      <c r="Z965" t="str">
        <f>IF(Table1[[#This Row],[Age]]&lt;30,"20-29",IF(Table1[[#This Row],[Age]]&lt;40,"30-39",IF(Table1[[#This Row],[Age]]&lt;50,"40-49","50+")))</f>
        <v>50+</v>
      </c>
      <c r="AA965" t="str">
        <f>IF(Table1[[#This Row],[Salary]]&lt;20000000,"low",IF(Table1[[#This Row],[Salary]]&lt;40000000,"medium","high"))</f>
        <v>medium</v>
      </c>
      <c r="AB965">
        <f>YEAR(Table1[[#This Row],[Hire Date]])</f>
        <v>2025</v>
      </c>
      <c r="AC965" t="str">
        <f>TEXT(Table1[[#This Row],[Hire Date]],"mmmm")</f>
        <v>آوريل</v>
      </c>
      <c r="AD965" t="str">
        <f>IF(Table1[[#This Row],[Resigned]]="yes","former","active")</f>
        <v>former</v>
      </c>
    </row>
    <row r="966" spans="1:30" x14ac:dyDescent="0.3">
      <c r="A966" t="s">
        <v>1997</v>
      </c>
      <c r="B966" t="s">
        <v>1998</v>
      </c>
      <c r="C966" t="s">
        <v>39</v>
      </c>
      <c r="D966">
        <v>37</v>
      </c>
      <c r="E966" t="s">
        <v>73</v>
      </c>
      <c r="F966" t="s">
        <v>127</v>
      </c>
      <c r="G966" t="s">
        <v>58</v>
      </c>
      <c r="H966" t="s">
        <v>31</v>
      </c>
      <c r="I966" t="s">
        <v>50</v>
      </c>
      <c r="J966" s="1">
        <v>42460</v>
      </c>
      <c r="K966">
        <v>10</v>
      </c>
      <c r="L966">
        <v>30843022</v>
      </c>
      <c r="M966">
        <v>9791960</v>
      </c>
      <c r="N966" t="s">
        <v>33</v>
      </c>
      <c r="O966">
        <v>4.74</v>
      </c>
      <c r="P966">
        <v>27</v>
      </c>
      <c r="Q966">
        <v>3</v>
      </c>
      <c r="R966">
        <v>2</v>
      </c>
      <c r="S966">
        <v>8</v>
      </c>
      <c r="T966" t="s">
        <v>33</v>
      </c>
      <c r="U966" t="s">
        <v>34</v>
      </c>
      <c r="V966" t="s">
        <v>59</v>
      </c>
      <c r="W966" t="s">
        <v>33</v>
      </c>
      <c r="X966" t="s">
        <v>52</v>
      </c>
      <c r="Z966" t="str">
        <f>IF(Table1[[#This Row],[Age]]&lt;30,"20-29",IF(Table1[[#This Row],[Age]]&lt;40,"30-39",IF(Table1[[#This Row],[Age]]&lt;50,"40-49","50+")))</f>
        <v>30-39</v>
      </c>
      <c r="AA966" t="str">
        <f>IF(Table1[[#This Row],[Salary]]&lt;20000000,"low",IF(Table1[[#This Row],[Salary]]&lt;40000000,"medium","high"))</f>
        <v>medium</v>
      </c>
      <c r="AB966">
        <f>YEAR(Table1[[#This Row],[Hire Date]])</f>
        <v>2016</v>
      </c>
      <c r="AC966" t="str">
        <f>TEXT(Table1[[#This Row],[Hire Date]],"mmmm")</f>
        <v>مارس</v>
      </c>
      <c r="AD966" t="str">
        <f>IF(Table1[[#This Row],[Resigned]]="yes","former","active")</f>
        <v>active</v>
      </c>
    </row>
    <row r="967" spans="1:30" x14ac:dyDescent="0.3">
      <c r="A967" t="s">
        <v>1999</v>
      </c>
      <c r="B967" t="s">
        <v>2000</v>
      </c>
      <c r="C967" t="s">
        <v>27</v>
      </c>
      <c r="D967">
        <v>41</v>
      </c>
      <c r="E967" t="s">
        <v>40</v>
      </c>
      <c r="F967" t="s">
        <v>48</v>
      </c>
      <c r="G967" t="s">
        <v>30</v>
      </c>
      <c r="H967" t="s">
        <v>42</v>
      </c>
      <c r="I967" t="s">
        <v>32</v>
      </c>
      <c r="J967" s="1">
        <v>45309</v>
      </c>
      <c r="K967">
        <v>2</v>
      </c>
      <c r="L967">
        <v>25901418</v>
      </c>
      <c r="M967">
        <v>1164616</v>
      </c>
      <c r="N967" t="s">
        <v>34</v>
      </c>
      <c r="O967">
        <v>3.65</v>
      </c>
      <c r="P967">
        <v>43</v>
      </c>
      <c r="Q967">
        <v>2</v>
      </c>
      <c r="R967">
        <v>4</v>
      </c>
      <c r="S967">
        <v>10</v>
      </c>
      <c r="T967" t="s">
        <v>33</v>
      </c>
      <c r="U967" t="s">
        <v>34</v>
      </c>
      <c r="V967" t="s">
        <v>51</v>
      </c>
      <c r="W967" t="s">
        <v>33</v>
      </c>
      <c r="X967" t="s">
        <v>45</v>
      </c>
      <c r="Z967" t="str">
        <f>IF(Table1[[#This Row],[Age]]&lt;30,"20-29",IF(Table1[[#This Row],[Age]]&lt;40,"30-39",IF(Table1[[#This Row],[Age]]&lt;50,"40-49","50+")))</f>
        <v>40-49</v>
      </c>
      <c r="AA967" t="str">
        <f>IF(Table1[[#This Row],[Salary]]&lt;20000000,"low",IF(Table1[[#This Row],[Salary]]&lt;40000000,"medium","high"))</f>
        <v>medium</v>
      </c>
      <c r="AB967">
        <f>YEAR(Table1[[#This Row],[Hire Date]])</f>
        <v>2024</v>
      </c>
      <c r="AC967" t="str">
        <f>TEXT(Table1[[#This Row],[Hire Date]],"mmmm")</f>
        <v>ژانويه</v>
      </c>
      <c r="AD967" t="str">
        <f>IF(Table1[[#This Row],[Resigned]]="yes","former","active")</f>
        <v>active</v>
      </c>
    </row>
    <row r="968" spans="1:30" x14ac:dyDescent="0.3">
      <c r="A968" t="s">
        <v>2001</v>
      </c>
      <c r="B968" t="s">
        <v>2002</v>
      </c>
      <c r="C968" t="s">
        <v>27</v>
      </c>
      <c r="D968">
        <v>41</v>
      </c>
      <c r="E968" t="s">
        <v>28</v>
      </c>
      <c r="F968" t="s">
        <v>80</v>
      </c>
      <c r="G968" t="s">
        <v>49</v>
      </c>
      <c r="H968" t="s">
        <v>31</v>
      </c>
      <c r="I968" t="s">
        <v>32</v>
      </c>
      <c r="J968" s="1">
        <v>42534</v>
      </c>
      <c r="K968">
        <v>10</v>
      </c>
      <c r="L968">
        <v>53832861</v>
      </c>
      <c r="M968">
        <v>3125606</v>
      </c>
      <c r="N968" t="s">
        <v>33</v>
      </c>
      <c r="O968">
        <v>4.25</v>
      </c>
      <c r="P968">
        <v>7</v>
      </c>
      <c r="Q968">
        <v>2</v>
      </c>
      <c r="R968">
        <v>2</v>
      </c>
      <c r="S968">
        <v>3</v>
      </c>
      <c r="T968" t="s">
        <v>33</v>
      </c>
      <c r="U968" t="s">
        <v>34</v>
      </c>
      <c r="V968" t="s">
        <v>44</v>
      </c>
      <c r="W968" t="s">
        <v>33</v>
      </c>
      <c r="X968" t="s">
        <v>45</v>
      </c>
      <c r="Z968" t="str">
        <f>IF(Table1[[#This Row],[Age]]&lt;30,"20-29",IF(Table1[[#This Row],[Age]]&lt;40,"30-39",IF(Table1[[#This Row],[Age]]&lt;50,"40-49","50+")))</f>
        <v>40-49</v>
      </c>
      <c r="AA968" t="str">
        <f>IF(Table1[[#This Row],[Salary]]&lt;20000000,"low",IF(Table1[[#This Row],[Salary]]&lt;40000000,"medium","high"))</f>
        <v>high</v>
      </c>
      <c r="AB968">
        <f>YEAR(Table1[[#This Row],[Hire Date]])</f>
        <v>2016</v>
      </c>
      <c r="AC968" t="str">
        <f>TEXT(Table1[[#This Row],[Hire Date]],"mmmm")</f>
        <v>ژوئن</v>
      </c>
      <c r="AD968" t="str">
        <f>IF(Table1[[#This Row],[Resigned]]="yes","former","active")</f>
        <v>active</v>
      </c>
    </row>
    <row r="969" spans="1:30" x14ac:dyDescent="0.3">
      <c r="A969" t="s">
        <v>2003</v>
      </c>
      <c r="B969" t="s">
        <v>2004</v>
      </c>
      <c r="C969" t="s">
        <v>39</v>
      </c>
      <c r="D969">
        <v>28</v>
      </c>
      <c r="E969" t="s">
        <v>110</v>
      </c>
      <c r="F969" t="s">
        <v>120</v>
      </c>
      <c r="G969" t="s">
        <v>49</v>
      </c>
      <c r="H969" t="s">
        <v>42</v>
      </c>
      <c r="I969" t="s">
        <v>81</v>
      </c>
      <c r="J969" s="1">
        <v>43413</v>
      </c>
      <c r="K969">
        <v>8</v>
      </c>
      <c r="L969">
        <v>46799246</v>
      </c>
      <c r="M969">
        <v>6246638</v>
      </c>
      <c r="N969" t="s">
        <v>34</v>
      </c>
      <c r="O969">
        <v>2.84</v>
      </c>
      <c r="P969">
        <v>52</v>
      </c>
      <c r="Q969">
        <v>4</v>
      </c>
      <c r="R969">
        <v>3</v>
      </c>
      <c r="S969">
        <v>16</v>
      </c>
      <c r="T969" t="s">
        <v>33</v>
      </c>
      <c r="U969" t="s">
        <v>34</v>
      </c>
      <c r="V969" t="s">
        <v>35</v>
      </c>
      <c r="W969" t="s">
        <v>34</v>
      </c>
      <c r="X969" t="s">
        <v>45</v>
      </c>
      <c r="Z969" t="str">
        <f>IF(Table1[[#This Row],[Age]]&lt;30,"20-29",IF(Table1[[#This Row],[Age]]&lt;40,"30-39",IF(Table1[[#This Row],[Age]]&lt;50,"40-49","50+")))</f>
        <v>20-29</v>
      </c>
      <c r="AA969" t="str">
        <f>IF(Table1[[#This Row],[Salary]]&lt;20000000,"low",IF(Table1[[#This Row],[Salary]]&lt;40000000,"medium","high"))</f>
        <v>high</v>
      </c>
      <c r="AB969">
        <f>YEAR(Table1[[#This Row],[Hire Date]])</f>
        <v>2018</v>
      </c>
      <c r="AC969" t="str">
        <f>TEXT(Table1[[#This Row],[Hire Date]],"mmmm")</f>
        <v>نوامبر</v>
      </c>
      <c r="AD969" t="str">
        <f>IF(Table1[[#This Row],[Resigned]]="yes","former","active")</f>
        <v>active</v>
      </c>
    </row>
    <row r="970" spans="1:30" x14ac:dyDescent="0.3">
      <c r="A970" t="s">
        <v>2005</v>
      </c>
      <c r="B970" t="s">
        <v>2006</v>
      </c>
      <c r="C970" t="s">
        <v>39</v>
      </c>
      <c r="D970">
        <v>48</v>
      </c>
      <c r="E970" t="s">
        <v>28</v>
      </c>
      <c r="F970" t="s">
        <v>29</v>
      </c>
      <c r="G970" t="s">
        <v>58</v>
      </c>
      <c r="H970" t="s">
        <v>42</v>
      </c>
      <c r="I970" t="s">
        <v>50</v>
      </c>
      <c r="J970" s="1">
        <v>43105</v>
      </c>
      <c r="K970">
        <v>8</v>
      </c>
      <c r="L970">
        <v>14932301</v>
      </c>
      <c r="M970">
        <v>7192495</v>
      </c>
      <c r="N970" t="s">
        <v>33</v>
      </c>
      <c r="O970">
        <v>4.7300000000000004</v>
      </c>
      <c r="P970">
        <v>77</v>
      </c>
      <c r="Q970">
        <v>4</v>
      </c>
      <c r="R970">
        <v>3</v>
      </c>
      <c r="S970">
        <v>7</v>
      </c>
      <c r="T970" t="s">
        <v>33</v>
      </c>
      <c r="U970" t="s">
        <v>34</v>
      </c>
      <c r="V970" t="s">
        <v>35</v>
      </c>
      <c r="W970" t="s">
        <v>33</v>
      </c>
      <c r="X970" t="s">
        <v>45</v>
      </c>
      <c r="Z970" t="str">
        <f>IF(Table1[[#This Row],[Age]]&lt;30,"20-29",IF(Table1[[#This Row],[Age]]&lt;40,"30-39",IF(Table1[[#This Row],[Age]]&lt;50,"40-49","50+")))</f>
        <v>40-49</v>
      </c>
      <c r="AA970" t="str">
        <f>IF(Table1[[#This Row],[Salary]]&lt;20000000,"low",IF(Table1[[#This Row],[Salary]]&lt;40000000,"medium","high"))</f>
        <v>low</v>
      </c>
      <c r="AB970">
        <f>YEAR(Table1[[#This Row],[Hire Date]])</f>
        <v>2018</v>
      </c>
      <c r="AC970" t="str">
        <f>TEXT(Table1[[#This Row],[Hire Date]],"mmmm")</f>
        <v>ژانويه</v>
      </c>
      <c r="AD970" t="str">
        <f>IF(Table1[[#This Row],[Resigned]]="yes","former","active")</f>
        <v>active</v>
      </c>
    </row>
    <row r="971" spans="1:30" x14ac:dyDescent="0.3">
      <c r="A971" t="s">
        <v>2007</v>
      </c>
      <c r="B971" t="s">
        <v>2008</v>
      </c>
      <c r="C971" t="s">
        <v>39</v>
      </c>
      <c r="D971">
        <v>32</v>
      </c>
      <c r="E971" t="s">
        <v>28</v>
      </c>
      <c r="F971" t="s">
        <v>80</v>
      </c>
      <c r="G971" t="s">
        <v>58</v>
      </c>
      <c r="H971" t="s">
        <v>42</v>
      </c>
      <c r="I971" t="s">
        <v>32</v>
      </c>
      <c r="J971" s="1">
        <v>42721</v>
      </c>
      <c r="K971">
        <v>10</v>
      </c>
      <c r="L971">
        <v>20252602</v>
      </c>
      <c r="M971">
        <v>9407567</v>
      </c>
      <c r="N971" t="s">
        <v>34</v>
      </c>
      <c r="O971">
        <v>4.3899999999999997</v>
      </c>
      <c r="P971">
        <v>11</v>
      </c>
      <c r="Q971">
        <v>5</v>
      </c>
      <c r="R971">
        <v>5</v>
      </c>
      <c r="S971">
        <v>0</v>
      </c>
      <c r="T971" t="s">
        <v>33</v>
      </c>
      <c r="U971" t="s">
        <v>34</v>
      </c>
      <c r="V971" t="s">
        <v>70</v>
      </c>
      <c r="W971" t="s">
        <v>34</v>
      </c>
      <c r="X971" t="s">
        <v>36</v>
      </c>
      <c r="Z971" t="str">
        <f>IF(Table1[[#This Row],[Age]]&lt;30,"20-29",IF(Table1[[#This Row],[Age]]&lt;40,"30-39",IF(Table1[[#This Row],[Age]]&lt;50,"40-49","50+")))</f>
        <v>30-39</v>
      </c>
      <c r="AA971" t="str">
        <f>IF(Table1[[#This Row],[Salary]]&lt;20000000,"low",IF(Table1[[#This Row],[Salary]]&lt;40000000,"medium","high"))</f>
        <v>medium</v>
      </c>
      <c r="AB971">
        <f>YEAR(Table1[[#This Row],[Hire Date]])</f>
        <v>2016</v>
      </c>
      <c r="AC971" t="str">
        <f>TEXT(Table1[[#This Row],[Hire Date]],"mmmm")</f>
        <v>دسامبر</v>
      </c>
      <c r="AD971" t="str">
        <f>IF(Table1[[#This Row],[Resigned]]="yes","former","active")</f>
        <v>active</v>
      </c>
    </row>
    <row r="972" spans="1:30" x14ac:dyDescent="0.3">
      <c r="A972" t="s">
        <v>2009</v>
      </c>
      <c r="B972" t="s">
        <v>2010</v>
      </c>
      <c r="C972" t="s">
        <v>27</v>
      </c>
      <c r="D972">
        <v>58</v>
      </c>
      <c r="E972" t="s">
        <v>110</v>
      </c>
      <c r="F972" t="s">
        <v>120</v>
      </c>
      <c r="G972" t="s">
        <v>30</v>
      </c>
      <c r="H972" t="s">
        <v>42</v>
      </c>
      <c r="I972" t="s">
        <v>81</v>
      </c>
      <c r="J972" s="1">
        <v>43340</v>
      </c>
      <c r="K972">
        <v>8</v>
      </c>
      <c r="L972">
        <v>55447166</v>
      </c>
      <c r="M972">
        <v>4231993</v>
      </c>
      <c r="N972" t="s">
        <v>33</v>
      </c>
      <c r="O972">
        <v>3.56</v>
      </c>
      <c r="P972">
        <v>21</v>
      </c>
      <c r="Q972">
        <v>4</v>
      </c>
      <c r="R972">
        <v>1</v>
      </c>
      <c r="S972">
        <v>11</v>
      </c>
      <c r="T972" t="s">
        <v>33</v>
      </c>
      <c r="U972" t="s">
        <v>34</v>
      </c>
      <c r="V972" t="s">
        <v>51</v>
      </c>
      <c r="W972" t="s">
        <v>33</v>
      </c>
      <c r="X972" t="s">
        <v>45</v>
      </c>
      <c r="Z972" t="str">
        <f>IF(Table1[[#This Row],[Age]]&lt;30,"20-29",IF(Table1[[#This Row],[Age]]&lt;40,"30-39",IF(Table1[[#This Row],[Age]]&lt;50,"40-49","50+")))</f>
        <v>50+</v>
      </c>
      <c r="AA972" t="str">
        <f>IF(Table1[[#This Row],[Salary]]&lt;20000000,"low",IF(Table1[[#This Row],[Salary]]&lt;40000000,"medium","high"))</f>
        <v>high</v>
      </c>
      <c r="AB972">
        <f>YEAR(Table1[[#This Row],[Hire Date]])</f>
        <v>2018</v>
      </c>
      <c r="AC972" t="str">
        <f>TEXT(Table1[[#This Row],[Hire Date]],"mmmm")</f>
        <v>اوت</v>
      </c>
      <c r="AD972" t="str">
        <f>IF(Table1[[#This Row],[Resigned]]="yes","former","active")</f>
        <v>active</v>
      </c>
    </row>
    <row r="973" spans="1:30" x14ac:dyDescent="0.3">
      <c r="A973" t="s">
        <v>2011</v>
      </c>
      <c r="B973" t="s">
        <v>2012</v>
      </c>
      <c r="C973" t="s">
        <v>39</v>
      </c>
      <c r="D973">
        <v>25</v>
      </c>
      <c r="E973" t="s">
        <v>63</v>
      </c>
      <c r="F973" t="s">
        <v>93</v>
      </c>
      <c r="G973" t="s">
        <v>30</v>
      </c>
      <c r="H973" t="s">
        <v>42</v>
      </c>
      <c r="I973" t="s">
        <v>81</v>
      </c>
      <c r="J973" s="1">
        <v>43556</v>
      </c>
      <c r="K973">
        <v>7</v>
      </c>
      <c r="L973">
        <v>13653270</v>
      </c>
      <c r="M973">
        <v>6004816</v>
      </c>
      <c r="N973" t="s">
        <v>33</v>
      </c>
      <c r="O973">
        <v>4.24</v>
      </c>
      <c r="P973">
        <v>78</v>
      </c>
      <c r="Q973">
        <v>2</v>
      </c>
      <c r="R973">
        <v>4</v>
      </c>
      <c r="S973">
        <v>5</v>
      </c>
      <c r="T973" t="s">
        <v>34</v>
      </c>
      <c r="U973" t="s">
        <v>34</v>
      </c>
      <c r="V973" t="s">
        <v>70</v>
      </c>
      <c r="W973" t="s">
        <v>34</v>
      </c>
      <c r="X973" t="s">
        <v>52</v>
      </c>
      <c r="Z973" t="str">
        <f>IF(Table1[[#This Row],[Age]]&lt;30,"20-29",IF(Table1[[#This Row],[Age]]&lt;40,"30-39",IF(Table1[[#This Row],[Age]]&lt;50,"40-49","50+")))</f>
        <v>20-29</v>
      </c>
      <c r="AA973" t="str">
        <f>IF(Table1[[#This Row],[Salary]]&lt;20000000,"low",IF(Table1[[#This Row],[Salary]]&lt;40000000,"medium","high"))</f>
        <v>low</v>
      </c>
      <c r="AB973">
        <f>YEAR(Table1[[#This Row],[Hire Date]])</f>
        <v>2019</v>
      </c>
      <c r="AC973" t="str">
        <f>TEXT(Table1[[#This Row],[Hire Date]],"mmmm")</f>
        <v>آوريل</v>
      </c>
      <c r="AD973" t="str">
        <f>IF(Table1[[#This Row],[Resigned]]="yes","former","active")</f>
        <v>active</v>
      </c>
    </row>
    <row r="974" spans="1:30" x14ac:dyDescent="0.3">
      <c r="A974" t="s">
        <v>2013</v>
      </c>
      <c r="B974" t="s">
        <v>2014</v>
      </c>
      <c r="C974" t="s">
        <v>39</v>
      </c>
      <c r="D974">
        <v>49</v>
      </c>
      <c r="E974" t="s">
        <v>110</v>
      </c>
      <c r="F974" t="s">
        <v>111</v>
      </c>
      <c r="G974" t="s">
        <v>58</v>
      </c>
      <c r="H974" t="s">
        <v>31</v>
      </c>
      <c r="I974" t="s">
        <v>32</v>
      </c>
      <c r="J974" s="1">
        <v>44434</v>
      </c>
      <c r="K974">
        <v>5</v>
      </c>
      <c r="L974">
        <v>13979672</v>
      </c>
      <c r="M974">
        <v>2582979</v>
      </c>
      <c r="N974" t="s">
        <v>34</v>
      </c>
      <c r="O974">
        <v>4.4800000000000004</v>
      </c>
      <c r="P974">
        <v>53</v>
      </c>
      <c r="Q974">
        <v>4</v>
      </c>
      <c r="R974">
        <v>5</v>
      </c>
      <c r="S974">
        <v>12</v>
      </c>
      <c r="T974" t="s">
        <v>33</v>
      </c>
      <c r="U974" t="s">
        <v>34</v>
      </c>
      <c r="V974" t="s">
        <v>59</v>
      </c>
      <c r="W974" t="s">
        <v>34</v>
      </c>
      <c r="X974" t="s">
        <v>52</v>
      </c>
      <c r="Z974" t="str">
        <f>IF(Table1[[#This Row],[Age]]&lt;30,"20-29",IF(Table1[[#This Row],[Age]]&lt;40,"30-39",IF(Table1[[#This Row],[Age]]&lt;50,"40-49","50+")))</f>
        <v>40-49</v>
      </c>
      <c r="AA974" t="str">
        <f>IF(Table1[[#This Row],[Salary]]&lt;20000000,"low",IF(Table1[[#This Row],[Salary]]&lt;40000000,"medium","high"))</f>
        <v>low</v>
      </c>
      <c r="AB974">
        <f>YEAR(Table1[[#This Row],[Hire Date]])</f>
        <v>2021</v>
      </c>
      <c r="AC974" t="str">
        <f>TEXT(Table1[[#This Row],[Hire Date]],"mmmm")</f>
        <v>اوت</v>
      </c>
      <c r="AD974" t="str">
        <f>IF(Table1[[#This Row],[Resigned]]="yes","former","active")</f>
        <v>active</v>
      </c>
    </row>
    <row r="975" spans="1:30" x14ac:dyDescent="0.3">
      <c r="A975" t="s">
        <v>2015</v>
      </c>
      <c r="B975" t="s">
        <v>2016</v>
      </c>
      <c r="C975" t="s">
        <v>39</v>
      </c>
      <c r="D975">
        <v>51</v>
      </c>
      <c r="E975" t="s">
        <v>63</v>
      </c>
      <c r="F975" t="s">
        <v>64</v>
      </c>
      <c r="G975" t="s">
        <v>49</v>
      </c>
      <c r="H975" t="s">
        <v>42</v>
      </c>
      <c r="I975" t="s">
        <v>32</v>
      </c>
      <c r="J975" s="1">
        <v>45745</v>
      </c>
      <c r="K975">
        <v>1</v>
      </c>
      <c r="L975">
        <v>51362416</v>
      </c>
      <c r="M975">
        <v>2255499</v>
      </c>
      <c r="N975" t="s">
        <v>33</v>
      </c>
      <c r="O975">
        <v>3.36</v>
      </c>
      <c r="P975">
        <v>31</v>
      </c>
      <c r="Q975">
        <v>5</v>
      </c>
      <c r="R975">
        <v>4</v>
      </c>
      <c r="S975">
        <v>7</v>
      </c>
      <c r="T975" t="s">
        <v>33</v>
      </c>
      <c r="U975" t="s">
        <v>34</v>
      </c>
      <c r="V975" t="s">
        <v>44</v>
      </c>
      <c r="W975" t="s">
        <v>34</v>
      </c>
      <c r="X975" t="s">
        <v>36</v>
      </c>
      <c r="Z975" t="str">
        <f>IF(Table1[[#This Row],[Age]]&lt;30,"20-29",IF(Table1[[#This Row],[Age]]&lt;40,"30-39",IF(Table1[[#This Row],[Age]]&lt;50,"40-49","50+")))</f>
        <v>50+</v>
      </c>
      <c r="AA975" t="str">
        <f>IF(Table1[[#This Row],[Salary]]&lt;20000000,"low",IF(Table1[[#This Row],[Salary]]&lt;40000000,"medium","high"))</f>
        <v>high</v>
      </c>
      <c r="AB975">
        <f>YEAR(Table1[[#This Row],[Hire Date]])</f>
        <v>2025</v>
      </c>
      <c r="AC975" t="str">
        <f>TEXT(Table1[[#This Row],[Hire Date]],"mmmm")</f>
        <v>مارس</v>
      </c>
      <c r="AD975" t="str">
        <f>IF(Table1[[#This Row],[Resigned]]="yes","former","active")</f>
        <v>active</v>
      </c>
    </row>
    <row r="976" spans="1:30" x14ac:dyDescent="0.3">
      <c r="A976" t="s">
        <v>2017</v>
      </c>
      <c r="B976" t="s">
        <v>2018</v>
      </c>
      <c r="C976" t="s">
        <v>39</v>
      </c>
      <c r="D976">
        <v>32</v>
      </c>
      <c r="E976" t="s">
        <v>40</v>
      </c>
      <c r="F976" t="s">
        <v>41</v>
      </c>
      <c r="G976" t="s">
        <v>30</v>
      </c>
      <c r="H976" t="s">
        <v>31</v>
      </c>
      <c r="I976" t="s">
        <v>65</v>
      </c>
      <c r="J976" s="1">
        <v>42744</v>
      </c>
      <c r="K976">
        <v>9</v>
      </c>
      <c r="L976">
        <v>52302717</v>
      </c>
      <c r="M976">
        <v>8294035</v>
      </c>
      <c r="N976" t="s">
        <v>33</v>
      </c>
      <c r="O976">
        <v>4.16</v>
      </c>
      <c r="P976">
        <v>40</v>
      </c>
      <c r="Q976">
        <v>3</v>
      </c>
      <c r="R976">
        <v>2</v>
      </c>
      <c r="S976">
        <v>13</v>
      </c>
      <c r="T976" t="s">
        <v>34</v>
      </c>
      <c r="U976" t="s">
        <v>34</v>
      </c>
      <c r="V976" t="s">
        <v>35</v>
      </c>
      <c r="W976" t="s">
        <v>33</v>
      </c>
      <c r="X976" t="s">
        <v>52</v>
      </c>
      <c r="Z976" t="str">
        <f>IF(Table1[[#This Row],[Age]]&lt;30,"20-29",IF(Table1[[#This Row],[Age]]&lt;40,"30-39",IF(Table1[[#This Row],[Age]]&lt;50,"40-49","50+")))</f>
        <v>30-39</v>
      </c>
      <c r="AA976" t="str">
        <f>IF(Table1[[#This Row],[Salary]]&lt;20000000,"low",IF(Table1[[#This Row],[Salary]]&lt;40000000,"medium","high"))</f>
        <v>high</v>
      </c>
      <c r="AB976">
        <f>YEAR(Table1[[#This Row],[Hire Date]])</f>
        <v>2017</v>
      </c>
      <c r="AC976" t="str">
        <f>TEXT(Table1[[#This Row],[Hire Date]],"mmmm")</f>
        <v>ژانويه</v>
      </c>
      <c r="AD976" t="str">
        <f>IF(Table1[[#This Row],[Resigned]]="yes","former","active")</f>
        <v>active</v>
      </c>
    </row>
    <row r="977" spans="1:30" x14ac:dyDescent="0.3">
      <c r="A977" t="s">
        <v>2019</v>
      </c>
      <c r="B977" t="s">
        <v>2020</v>
      </c>
      <c r="C977" t="s">
        <v>39</v>
      </c>
      <c r="D977">
        <v>22</v>
      </c>
      <c r="E977" t="s">
        <v>63</v>
      </c>
      <c r="F977" t="s">
        <v>93</v>
      </c>
      <c r="G977" t="s">
        <v>30</v>
      </c>
      <c r="H977" t="s">
        <v>31</v>
      </c>
      <c r="I977" t="s">
        <v>32</v>
      </c>
      <c r="J977" s="1">
        <v>44309</v>
      </c>
      <c r="K977">
        <v>5</v>
      </c>
      <c r="L977">
        <v>51724028</v>
      </c>
      <c r="M977">
        <v>730792</v>
      </c>
      <c r="N977" t="s">
        <v>33</v>
      </c>
      <c r="O977">
        <v>3.28</v>
      </c>
      <c r="P977">
        <v>79</v>
      </c>
      <c r="Q977">
        <v>4</v>
      </c>
      <c r="R977">
        <v>4</v>
      </c>
      <c r="S977">
        <v>12</v>
      </c>
      <c r="T977" t="s">
        <v>34</v>
      </c>
      <c r="U977" t="s">
        <v>34</v>
      </c>
      <c r="V977" t="s">
        <v>70</v>
      </c>
      <c r="W977" t="s">
        <v>33</v>
      </c>
      <c r="X977" t="s">
        <v>52</v>
      </c>
      <c r="Z977" t="str">
        <f>IF(Table1[[#This Row],[Age]]&lt;30,"20-29",IF(Table1[[#This Row],[Age]]&lt;40,"30-39",IF(Table1[[#This Row],[Age]]&lt;50,"40-49","50+")))</f>
        <v>20-29</v>
      </c>
      <c r="AA977" t="str">
        <f>IF(Table1[[#This Row],[Salary]]&lt;20000000,"low",IF(Table1[[#This Row],[Salary]]&lt;40000000,"medium","high"))</f>
        <v>high</v>
      </c>
      <c r="AB977">
        <f>YEAR(Table1[[#This Row],[Hire Date]])</f>
        <v>2021</v>
      </c>
      <c r="AC977" t="str">
        <f>TEXT(Table1[[#This Row],[Hire Date]],"mmmm")</f>
        <v>آوريل</v>
      </c>
      <c r="AD977" t="str">
        <f>IF(Table1[[#This Row],[Resigned]]="yes","former","active")</f>
        <v>active</v>
      </c>
    </row>
    <row r="978" spans="1:30" x14ac:dyDescent="0.3">
      <c r="A978" t="s">
        <v>2021</v>
      </c>
      <c r="B978" t="s">
        <v>2022</v>
      </c>
      <c r="C978" t="s">
        <v>27</v>
      </c>
      <c r="D978">
        <v>38</v>
      </c>
      <c r="E978" t="s">
        <v>40</v>
      </c>
      <c r="F978" t="s">
        <v>48</v>
      </c>
      <c r="G978" t="s">
        <v>49</v>
      </c>
      <c r="H978" t="s">
        <v>31</v>
      </c>
      <c r="I978" t="s">
        <v>32</v>
      </c>
      <c r="J978" s="1">
        <v>44446</v>
      </c>
      <c r="K978">
        <v>5</v>
      </c>
      <c r="L978">
        <v>53772844</v>
      </c>
      <c r="M978">
        <v>2584772</v>
      </c>
      <c r="N978" t="s">
        <v>33</v>
      </c>
      <c r="O978">
        <v>2.91</v>
      </c>
      <c r="P978">
        <v>78</v>
      </c>
      <c r="Q978">
        <v>5</v>
      </c>
      <c r="R978">
        <v>1</v>
      </c>
      <c r="S978">
        <v>6</v>
      </c>
      <c r="T978" t="s">
        <v>33</v>
      </c>
      <c r="U978" t="s">
        <v>33</v>
      </c>
      <c r="V978" t="s">
        <v>35</v>
      </c>
      <c r="W978" t="s">
        <v>33</v>
      </c>
      <c r="X978" t="s">
        <v>52</v>
      </c>
      <c r="Y978" t="s">
        <v>75</v>
      </c>
      <c r="Z978" t="str">
        <f>IF(Table1[[#This Row],[Age]]&lt;30,"20-29",IF(Table1[[#This Row],[Age]]&lt;40,"30-39",IF(Table1[[#This Row],[Age]]&lt;50,"40-49","50+")))</f>
        <v>30-39</v>
      </c>
      <c r="AA978" t="str">
        <f>IF(Table1[[#This Row],[Salary]]&lt;20000000,"low",IF(Table1[[#This Row],[Salary]]&lt;40000000,"medium","high"))</f>
        <v>high</v>
      </c>
      <c r="AB978">
        <f>YEAR(Table1[[#This Row],[Hire Date]])</f>
        <v>2021</v>
      </c>
      <c r="AC978" t="str">
        <f>TEXT(Table1[[#This Row],[Hire Date]],"mmmm")</f>
        <v>سپتامبر</v>
      </c>
      <c r="AD978" t="str">
        <f>IF(Table1[[#This Row],[Resigned]]="yes","former","active")</f>
        <v>former</v>
      </c>
    </row>
    <row r="979" spans="1:30" x14ac:dyDescent="0.3">
      <c r="A979" t="s">
        <v>2023</v>
      </c>
      <c r="B979" t="s">
        <v>2024</v>
      </c>
      <c r="C979" t="s">
        <v>39</v>
      </c>
      <c r="D979">
        <v>23</v>
      </c>
      <c r="E979" t="s">
        <v>56</v>
      </c>
      <c r="F979" t="s">
        <v>84</v>
      </c>
      <c r="G979" t="s">
        <v>58</v>
      </c>
      <c r="H979" t="s">
        <v>31</v>
      </c>
      <c r="I979" t="s">
        <v>43</v>
      </c>
      <c r="J979" s="1">
        <v>45465</v>
      </c>
      <c r="K979">
        <v>2</v>
      </c>
      <c r="L979">
        <v>16550040</v>
      </c>
      <c r="M979">
        <v>244444</v>
      </c>
      <c r="N979" t="s">
        <v>34</v>
      </c>
      <c r="O979">
        <v>3.42</v>
      </c>
      <c r="P979">
        <v>80</v>
      </c>
      <c r="Q979">
        <v>3</v>
      </c>
      <c r="R979">
        <v>1</v>
      </c>
      <c r="S979">
        <v>18</v>
      </c>
      <c r="T979" t="s">
        <v>34</v>
      </c>
      <c r="U979" t="s">
        <v>34</v>
      </c>
      <c r="V979" t="s">
        <v>51</v>
      </c>
      <c r="W979" t="s">
        <v>33</v>
      </c>
      <c r="X979" t="s">
        <v>45</v>
      </c>
      <c r="Z979" t="str">
        <f>IF(Table1[[#This Row],[Age]]&lt;30,"20-29",IF(Table1[[#This Row],[Age]]&lt;40,"30-39",IF(Table1[[#This Row],[Age]]&lt;50,"40-49","50+")))</f>
        <v>20-29</v>
      </c>
      <c r="AA979" t="str">
        <f>IF(Table1[[#This Row],[Salary]]&lt;20000000,"low",IF(Table1[[#This Row],[Salary]]&lt;40000000,"medium","high"))</f>
        <v>low</v>
      </c>
      <c r="AB979">
        <f>YEAR(Table1[[#This Row],[Hire Date]])</f>
        <v>2024</v>
      </c>
      <c r="AC979" t="str">
        <f>TEXT(Table1[[#This Row],[Hire Date]],"mmmm")</f>
        <v>ژوئن</v>
      </c>
      <c r="AD979" t="str">
        <f>IF(Table1[[#This Row],[Resigned]]="yes","former","active")</f>
        <v>active</v>
      </c>
    </row>
    <row r="980" spans="1:30" x14ac:dyDescent="0.3">
      <c r="A980" t="s">
        <v>2025</v>
      </c>
      <c r="B980" t="s">
        <v>2026</v>
      </c>
      <c r="C980" t="s">
        <v>39</v>
      </c>
      <c r="D980">
        <v>28</v>
      </c>
      <c r="E980" t="s">
        <v>28</v>
      </c>
      <c r="F980" t="s">
        <v>80</v>
      </c>
      <c r="G980" t="s">
        <v>30</v>
      </c>
      <c r="H980" t="s">
        <v>31</v>
      </c>
      <c r="I980" t="s">
        <v>43</v>
      </c>
      <c r="J980" s="1">
        <v>45002</v>
      </c>
      <c r="K980">
        <v>3</v>
      </c>
      <c r="L980">
        <v>41127722</v>
      </c>
      <c r="M980">
        <v>2596286</v>
      </c>
      <c r="N980" t="s">
        <v>34</v>
      </c>
      <c r="O980">
        <v>4.6399999999999997</v>
      </c>
      <c r="P980">
        <v>42</v>
      </c>
      <c r="Q980">
        <v>4</v>
      </c>
      <c r="R980">
        <v>5</v>
      </c>
      <c r="S980">
        <v>16</v>
      </c>
      <c r="T980" t="s">
        <v>33</v>
      </c>
      <c r="U980" t="s">
        <v>34</v>
      </c>
      <c r="V980" t="s">
        <v>51</v>
      </c>
      <c r="W980" t="s">
        <v>34</v>
      </c>
      <c r="X980" t="s">
        <v>52</v>
      </c>
      <c r="Z980" t="str">
        <f>IF(Table1[[#This Row],[Age]]&lt;30,"20-29",IF(Table1[[#This Row],[Age]]&lt;40,"30-39",IF(Table1[[#This Row],[Age]]&lt;50,"40-49","50+")))</f>
        <v>20-29</v>
      </c>
      <c r="AA980" t="str">
        <f>IF(Table1[[#This Row],[Salary]]&lt;20000000,"low",IF(Table1[[#This Row],[Salary]]&lt;40000000,"medium","high"))</f>
        <v>high</v>
      </c>
      <c r="AB980">
        <f>YEAR(Table1[[#This Row],[Hire Date]])</f>
        <v>2023</v>
      </c>
      <c r="AC980" t="str">
        <f>TEXT(Table1[[#This Row],[Hire Date]],"mmmm")</f>
        <v>مارس</v>
      </c>
      <c r="AD980" t="str">
        <f>IF(Table1[[#This Row],[Resigned]]="yes","former","active")</f>
        <v>active</v>
      </c>
    </row>
    <row r="981" spans="1:30" x14ac:dyDescent="0.3">
      <c r="A981" t="s">
        <v>2027</v>
      </c>
      <c r="B981" t="s">
        <v>2028</v>
      </c>
      <c r="C981" t="s">
        <v>39</v>
      </c>
      <c r="D981">
        <v>40</v>
      </c>
      <c r="E981" t="s">
        <v>73</v>
      </c>
      <c r="F981" t="s">
        <v>74</v>
      </c>
      <c r="G981" t="s">
        <v>49</v>
      </c>
      <c r="H981" t="s">
        <v>31</v>
      </c>
      <c r="I981" t="s">
        <v>50</v>
      </c>
      <c r="J981" s="1">
        <v>42773</v>
      </c>
      <c r="K981">
        <v>9</v>
      </c>
      <c r="L981">
        <v>16818071</v>
      </c>
      <c r="M981">
        <v>6616821</v>
      </c>
      <c r="N981" t="s">
        <v>33</v>
      </c>
      <c r="O981">
        <v>3.76</v>
      </c>
      <c r="P981">
        <v>30</v>
      </c>
      <c r="Q981">
        <v>4</v>
      </c>
      <c r="R981">
        <v>1</v>
      </c>
      <c r="S981">
        <v>18</v>
      </c>
      <c r="T981" t="s">
        <v>34</v>
      </c>
      <c r="U981" t="s">
        <v>34</v>
      </c>
      <c r="V981" t="s">
        <v>44</v>
      </c>
      <c r="W981" t="s">
        <v>33</v>
      </c>
      <c r="X981" t="s">
        <v>45</v>
      </c>
      <c r="Z981" t="str">
        <f>IF(Table1[[#This Row],[Age]]&lt;30,"20-29",IF(Table1[[#This Row],[Age]]&lt;40,"30-39",IF(Table1[[#This Row],[Age]]&lt;50,"40-49","50+")))</f>
        <v>40-49</v>
      </c>
      <c r="AA981" t="str">
        <f>IF(Table1[[#This Row],[Salary]]&lt;20000000,"low",IF(Table1[[#This Row],[Salary]]&lt;40000000,"medium","high"))</f>
        <v>low</v>
      </c>
      <c r="AB981">
        <f>YEAR(Table1[[#This Row],[Hire Date]])</f>
        <v>2017</v>
      </c>
      <c r="AC981" t="str">
        <f>TEXT(Table1[[#This Row],[Hire Date]],"mmmm")</f>
        <v>فوريه</v>
      </c>
      <c r="AD981" t="str">
        <f>IF(Table1[[#This Row],[Resigned]]="yes","former","active")</f>
        <v>active</v>
      </c>
    </row>
    <row r="982" spans="1:30" x14ac:dyDescent="0.3">
      <c r="A982" t="s">
        <v>2029</v>
      </c>
      <c r="B982" t="s">
        <v>2030</v>
      </c>
      <c r="C982" t="s">
        <v>27</v>
      </c>
      <c r="D982">
        <v>37</v>
      </c>
      <c r="E982" t="s">
        <v>110</v>
      </c>
      <c r="F982" t="s">
        <v>120</v>
      </c>
      <c r="G982" t="s">
        <v>49</v>
      </c>
      <c r="H982" t="s">
        <v>42</v>
      </c>
      <c r="I982" t="s">
        <v>65</v>
      </c>
      <c r="J982" s="1">
        <v>43318</v>
      </c>
      <c r="K982">
        <v>8</v>
      </c>
      <c r="L982">
        <v>32870742</v>
      </c>
      <c r="M982">
        <v>8843330</v>
      </c>
      <c r="N982" t="s">
        <v>33</v>
      </c>
      <c r="O982">
        <v>3.52</v>
      </c>
      <c r="P982">
        <v>36</v>
      </c>
      <c r="Q982">
        <v>4</v>
      </c>
      <c r="R982">
        <v>5</v>
      </c>
      <c r="S982">
        <v>13</v>
      </c>
      <c r="T982" t="s">
        <v>33</v>
      </c>
      <c r="U982" t="s">
        <v>33</v>
      </c>
      <c r="V982" t="s">
        <v>70</v>
      </c>
      <c r="W982" t="s">
        <v>33</v>
      </c>
      <c r="X982" t="s">
        <v>36</v>
      </c>
      <c r="Y982" t="s">
        <v>60</v>
      </c>
      <c r="Z982" t="str">
        <f>IF(Table1[[#This Row],[Age]]&lt;30,"20-29",IF(Table1[[#This Row],[Age]]&lt;40,"30-39",IF(Table1[[#This Row],[Age]]&lt;50,"40-49","50+")))</f>
        <v>30-39</v>
      </c>
      <c r="AA982" t="str">
        <f>IF(Table1[[#This Row],[Salary]]&lt;20000000,"low",IF(Table1[[#This Row],[Salary]]&lt;40000000,"medium","high"))</f>
        <v>medium</v>
      </c>
      <c r="AB982">
        <f>YEAR(Table1[[#This Row],[Hire Date]])</f>
        <v>2018</v>
      </c>
      <c r="AC982" t="str">
        <f>TEXT(Table1[[#This Row],[Hire Date]],"mmmm")</f>
        <v>اوت</v>
      </c>
      <c r="AD982" t="str">
        <f>IF(Table1[[#This Row],[Resigned]]="yes","former","active")</f>
        <v>former</v>
      </c>
    </row>
    <row r="983" spans="1:30" x14ac:dyDescent="0.3">
      <c r="A983" t="s">
        <v>2031</v>
      </c>
      <c r="B983" t="s">
        <v>2032</v>
      </c>
      <c r="C983" t="s">
        <v>39</v>
      </c>
      <c r="D983">
        <v>54</v>
      </c>
      <c r="E983" t="s">
        <v>63</v>
      </c>
      <c r="F983" t="s">
        <v>93</v>
      </c>
      <c r="G983" t="s">
        <v>58</v>
      </c>
      <c r="H983" t="s">
        <v>31</v>
      </c>
      <c r="I983" t="s">
        <v>65</v>
      </c>
      <c r="J983" s="1">
        <v>43380</v>
      </c>
      <c r="K983">
        <v>8</v>
      </c>
      <c r="L983">
        <v>29895043</v>
      </c>
      <c r="M983">
        <v>8065100</v>
      </c>
      <c r="N983" t="s">
        <v>33</v>
      </c>
      <c r="O983">
        <v>4.7300000000000004</v>
      </c>
      <c r="P983">
        <v>75</v>
      </c>
      <c r="Q983">
        <v>2</v>
      </c>
      <c r="R983">
        <v>5</v>
      </c>
      <c r="S983">
        <v>19</v>
      </c>
      <c r="T983" t="s">
        <v>34</v>
      </c>
      <c r="U983" t="s">
        <v>34</v>
      </c>
      <c r="V983" t="s">
        <v>70</v>
      </c>
      <c r="W983" t="s">
        <v>33</v>
      </c>
      <c r="X983" t="s">
        <v>36</v>
      </c>
      <c r="Z983" t="str">
        <f>IF(Table1[[#This Row],[Age]]&lt;30,"20-29",IF(Table1[[#This Row],[Age]]&lt;40,"30-39",IF(Table1[[#This Row],[Age]]&lt;50,"40-49","50+")))</f>
        <v>50+</v>
      </c>
      <c r="AA983" t="str">
        <f>IF(Table1[[#This Row],[Salary]]&lt;20000000,"low",IF(Table1[[#This Row],[Salary]]&lt;40000000,"medium","high"))</f>
        <v>medium</v>
      </c>
      <c r="AB983">
        <f>YEAR(Table1[[#This Row],[Hire Date]])</f>
        <v>2018</v>
      </c>
      <c r="AC983" t="str">
        <f>TEXT(Table1[[#This Row],[Hire Date]],"mmmm")</f>
        <v>اُكتبر</v>
      </c>
      <c r="AD983" t="str">
        <f>IF(Table1[[#This Row],[Resigned]]="yes","former","active")</f>
        <v>active</v>
      </c>
    </row>
    <row r="984" spans="1:30" x14ac:dyDescent="0.3">
      <c r="A984" t="s">
        <v>2033</v>
      </c>
      <c r="B984" t="s">
        <v>2034</v>
      </c>
      <c r="C984" t="s">
        <v>39</v>
      </c>
      <c r="D984">
        <v>32</v>
      </c>
      <c r="E984" t="s">
        <v>63</v>
      </c>
      <c r="F984" t="s">
        <v>64</v>
      </c>
      <c r="G984" t="s">
        <v>58</v>
      </c>
      <c r="H984" t="s">
        <v>42</v>
      </c>
      <c r="I984" t="s">
        <v>50</v>
      </c>
      <c r="J984" s="1">
        <v>45719</v>
      </c>
      <c r="K984">
        <v>1</v>
      </c>
      <c r="L984">
        <v>38948950</v>
      </c>
      <c r="M984">
        <v>623551</v>
      </c>
      <c r="N984" t="s">
        <v>33</v>
      </c>
      <c r="O984">
        <v>2.96</v>
      </c>
      <c r="P984">
        <v>14</v>
      </c>
      <c r="Q984">
        <v>5</v>
      </c>
      <c r="R984">
        <v>2</v>
      </c>
      <c r="S984">
        <v>17</v>
      </c>
      <c r="T984" t="s">
        <v>33</v>
      </c>
      <c r="U984" t="s">
        <v>34</v>
      </c>
      <c r="V984" t="s">
        <v>51</v>
      </c>
      <c r="W984" t="s">
        <v>33</v>
      </c>
      <c r="X984" t="s">
        <v>45</v>
      </c>
      <c r="Z984" t="str">
        <f>IF(Table1[[#This Row],[Age]]&lt;30,"20-29",IF(Table1[[#This Row],[Age]]&lt;40,"30-39",IF(Table1[[#This Row],[Age]]&lt;50,"40-49","50+")))</f>
        <v>30-39</v>
      </c>
      <c r="AA984" t="str">
        <f>IF(Table1[[#This Row],[Salary]]&lt;20000000,"low",IF(Table1[[#This Row],[Salary]]&lt;40000000,"medium","high"))</f>
        <v>medium</v>
      </c>
      <c r="AB984">
        <f>YEAR(Table1[[#This Row],[Hire Date]])</f>
        <v>2025</v>
      </c>
      <c r="AC984" t="str">
        <f>TEXT(Table1[[#This Row],[Hire Date]],"mmmm")</f>
        <v>مارس</v>
      </c>
      <c r="AD984" t="str">
        <f>IF(Table1[[#This Row],[Resigned]]="yes","former","active")</f>
        <v>active</v>
      </c>
    </row>
    <row r="985" spans="1:30" x14ac:dyDescent="0.3">
      <c r="A985" t="s">
        <v>2035</v>
      </c>
      <c r="B985" t="s">
        <v>2036</v>
      </c>
      <c r="C985" t="s">
        <v>39</v>
      </c>
      <c r="D985">
        <v>52</v>
      </c>
      <c r="E985" t="s">
        <v>73</v>
      </c>
      <c r="F985" t="s">
        <v>127</v>
      </c>
      <c r="G985" t="s">
        <v>30</v>
      </c>
      <c r="H985" t="s">
        <v>42</v>
      </c>
      <c r="I985" t="s">
        <v>32</v>
      </c>
      <c r="J985" s="1">
        <v>45684</v>
      </c>
      <c r="K985">
        <v>1</v>
      </c>
      <c r="L985">
        <v>12158226</v>
      </c>
      <c r="M985">
        <v>8360717</v>
      </c>
      <c r="N985" t="s">
        <v>33</v>
      </c>
      <c r="O985">
        <v>3.45</v>
      </c>
      <c r="P985">
        <v>65</v>
      </c>
      <c r="Q985">
        <v>1</v>
      </c>
      <c r="R985">
        <v>5</v>
      </c>
      <c r="S985">
        <v>9</v>
      </c>
      <c r="T985" t="s">
        <v>34</v>
      </c>
      <c r="U985" t="s">
        <v>34</v>
      </c>
      <c r="V985" t="s">
        <v>51</v>
      </c>
      <c r="W985" t="s">
        <v>34</v>
      </c>
      <c r="X985" t="s">
        <v>52</v>
      </c>
      <c r="Z985" t="str">
        <f>IF(Table1[[#This Row],[Age]]&lt;30,"20-29",IF(Table1[[#This Row],[Age]]&lt;40,"30-39",IF(Table1[[#This Row],[Age]]&lt;50,"40-49","50+")))</f>
        <v>50+</v>
      </c>
      <c r="AA985" t="str">
        <f>IF(Table1[[#This Row],[Salary]]&lt;20000000,"low",IF(Table1[[#This Row],[Salary]]&lt;40000000,"medium","high"))</f>
        <v>low</v>
      </c>
      <c r="AB985">
        <f>YEAR(Table1[[#This Row],[Hire Date]])</f>
        <v>2025</v>
      </c>
      <c r="AC985" t="str">
        <f>TEXT(Table1[[#This Row],[Hire Date]],"mmmm")</f>
        <v>ژانويه</v>
      </c>
      <c r="AD985" t="str">
        <f>IF(Table1[[#This Row],[Resigned]]="yes","former","active")</f>
        <v>active</v>
      </c>
    </row>
    <row r="986" spans="1:30" x14ac:dyDescent="0.3">
      <c r="A986" t="s">
        <v>2037</v>
      </c>
      <c r="B986" t="s">
        <v>2038</v>
      </c>
      <c r="C986" t="s">
        <v>27</v>
      </c>
      <c r="D986">
        <v>31</v>
      </c>
      <c r="E986" t="s">
        <v>40</v>
      </c>
      <c r="F986" t="s">
        <v>41</v>
      </c>
      <c r="G986" t="s">
        <v>49</v>
      </c>
      <c r="H986" t="s">
        <v>31</v>
      </c>
      <c r="I986" t="s">
        <v>43</v>
      </c>
      <c r="J986" s="1">
        <v>45506</v>
      </c>
      <c r="K986">
        <v>2</v>
      </c>
      <c r="L986">
        <v>14675023</v>
      </c>
      <c r="M986">
        <v>1182080</v>
      </c>
      <c r="N986" t="s">
        <v>33</v>
      </c>
      <c r="O986">
        <v>3.48</v>
      </c>
      <c r="P986">
        <v>72</v>
      </c>
      <c r="Q986">
        <v>1</v>
      </c>
      <c r="R986">
        <v>2</v>
      </c>
      <c r="S986">
        <v>6</v>
      </c>
      <c r="T986" t="s">
        <v>34</v>
      </c>
      <c r="U986" t="s">
        <v>34</v>
      </c>
      <c r="V986" t="s">
        <v>59</v>
      </c>
      <c r="W986" t="s">
        <v>33</v>
      </c>
      <c r="X986" t="s">
        <v>45</v>
      </c>
      <c r="Z986" t="str">
        <f>IF(Table1[[#This Row],[Age]]&lt;30,"20-29",IF(Table1[[#This Row],[Age]]&lt;40,"30-39",IF(Table1[[#This Row],[Age]]&lt;50,"40-49","50+")))</f>
        <v>30-39</v>
      </c>
      <c r="AA986" t="str">
        <f>IF(Table1[[#This Row],[Salary]]&lt;20000000,"low",IF(Table1[[#This Row],[Salary]]&lt;40000000,"medium","high"))</f>
        <v>low</v>
      </c>
      <c r="AB986">
        <f>YEAR(Table1[[#This Row],[Hire Date]])</f>
        <v>2024</v>
      </c>
      <c r="AC986" t="str">
        <f>TEXT(Table1[[#This Row],[Hire Date]],"mmmm")</f>
        <v>اوت</v>
      </c>
      <c r="AD986" t="str">
        <f>IF(Table1[[#This Row],[Resigned]]="yes","former","active")</f>
        <v>active</v>
      </c>
    </row>
    <row r="987" spans="1:30" x14ac:dyDescent="0.3">
      <c r="A987" t="s">
        <v>2039</v>
      </c>
      <c r="B987" t="s">
        <v>2040</v>
      </c>
      <c r="C987" t="s">
        <v>27</v>
      </c>
      <c r="D987">
        <v>42</v>
      </c>
      <c r="E987" t="s">
        <v>40</v>
      </c>
      <c r="F987" t="s">
        <v>41</v>
      </c>
      <c r="G987" t="s">
        <v>58</v>
      </c>
      <c r="H987" t="s">
        <v>31</v>
      </c>
      <c r="I987" t="s">
        <v>32</v>
      </c>
      <c r="J987" s="1">
        <v>43751</v>
      </c>
      <c r="K987">
        <v>7</v>
      </c>
      <c r="L987">
        <v>16046609</v>
      </c>
      <c r="M987">
        <v>5152136</v>
      </c>
      <c r="N987" t="s">
        <v>34</v>
      </c>
      <c r="O987">
        <v>4.76</v>
      </c>
      <c r="P987">
        <v>31</v>
      </c>
      <c r="Q987">
        <v>2</v>
      </c>
      <c r="R987">
        <v>4</v>
      </c>
      <c r="S987">
        <v>17</v>
      </c>
      <c r="T987" t="s">
        <v>34</v>
      </c>
      <c r="U987" t="s">
        <v>34</v>
      </c>
      <c r="V987" t="s">
        <v>51</v>
      </c>
      <c r="W987" t="s">
        <v>34</v>
      </c>
      <c r="X987" t="s">
        <v>52</v>
      </c>
      <c r="Z987" t="str">
        <f>IF(Table1[[#This Row],[Age]]&lt;30,"20-29",IF(Table1[[#This Row],[Age]]&lt;40,"30-39",IF(Table1[[#This Row],[Age]]&lt;50,"40-49","50+")))</f>
        <v>40-49</v>
      </c>
      <c r="AA987" t="str">
        <f>IF(Table1[[#This Row],[Salary]]&lt;20000000,"low",IF(Table1[[#This Row],[Salary]]&lt;40000000,"medium","high"))</f>
        <v>low</v>
      </c>
      <c r="AB987">
        <f>YEAR(Table1[[#This Row],[Hire Date]])</f>
        <v>2019</v>
      </c>
      <c r="AC987" t="str">
        <f>TEXT(Table1[[#This Row],[Hire Date]],"mmmm")</f>
        <v>اُكتبر</v>
      </c>
      <c r="AD987" t="str">
        <f>IF(Table1[[#This Row],[Resigned]]="yes","former","active")</f>
        <v>active</v>
      </c>
    </row>
    <row r="988" spans="1:30" x14ac:dyDescent="0.3">
      <c r="A988" t="s">
        <v>2041</v>
      </c>
      <c r="B988" t="s">
        <v>2042</v>
      </c>
      <c r="C988" t="s">
        <v>39</v>
      </c>
      <c r="D988">
        <v>36</v>
      </c>
      <c r="E988" t="s">
        <v>110</v>
      </c>
      <c r="F988" t="s">
        <v>120</v>
      </c>
      <c r="G988" t="s">
        <v>58</v>
      </c>
      <c r="H988" t="s">
        <v>31</v>
      </c>
      <c r="I988" t="s">
        <v>65</v>
      </c>
      <c r="J988" s="1">
        <v>43417</v>
      </c>
      <c r="K988">
        <v>8</v>
      </c>
      <c r="L988">
        <v>24487234</v>
      </c>
      <c r="M988">
        <v>700533</v>
      </c>
      <c r="N988" t="s">
        <v>34</v>
      </c>
      <c r="O988">
        <v>3.68</v>
      </c>
      <c r="P988">
        <v>55</v>
      </c>
      <c r="Q988">
        <v>2</v>
      </c>
      <c r="R988">
        <v>4</v>
      </c>
      <c r="S988">
        <v>10</v>
      </c>
      <c r="T988" t="s">
        <v>33</v>
      </c>
      <c r="U988" t="s">
        <v>34</v>
      </c>
      <c r="V988" t="s">
        <v>70</v>
      </c>
      <c r="W988" t="s">
        <v>33</v>
      </c>
      <c r="X988" t="s">
        <v>45</v>
      </c>
      <c r="Z988" t="str">
        <f>IF(Table1[[#This Row],[Age]]&lt;30,"20-29",IF(Table1[[#This Row],[Age]]&lt;40,"30-39",IF(Table1[[#This Row],[Age]]&lt;50,"40-49","50+")))</f>
        <v>30-39</v>
      </c>
      <c r="AA988" t="str">
        <f>IF(Table1[[#This Row],[Salary]]&lt;20000000,"low",IF(Table1[[#This Row],[Salary]]&lt;40000000,"medium","high"))</f>
        <v>medium</v>
      </c>
      <c r="AB988">
        <f>YEAR(Table1[[#This Row],[Hire Date]])</f>
        <v>2018</v>
      </c>
      <c r="AC988" t="str">
        <f>TEXT(Table1[[#This Row],[Hire Date]],"mmmm")</f>
        <v>نوامبر</v>
      </c>
      <c r="AD988" t="str">
        <f>IF(Table1[[#This Row],[Resigned]]="yes","former","active")</f>
        <v>active</v>
      </c>
    </row>
    <row r="989" spans="1:30" x14ac:dyDescent="0.3">
      <c r="A989" t="s">
        <v>2043</v>
      </c>
      <c r="B989" t="s">
        <v>2044</v>
      </c>
      <c r="C989" t="s">
        <v>27</v>
      </c>
      <c r="D989">
        <v>49</v>
      </c>
      <c r="E989" t="s">
        <v>73</v>
      </c>
      <c r="F989" t="s">
        <v>127</v>
      </c>
      <c r="G989" t="s">
        <v>30</v>
      </c>
      <c r="H989" t="s">
        <v>42</v>
      </c>
      <c r="I989" t="s">
        <v>50</v>
      </c>
      <c r="J989" s="1">
        <v>43037</v>
      </c>
      <c r="K989">
        <v>9</v>
      </c>
      <c r="L989">
        <v>44120166</v>
      </c>
      <c r="M989">
        <v>4026739</v>
      </c>
      <c r="N989" t="s">
        <v>33</v>
      </c>
      <c r="O989">
        <v>4.7</v>
      </c>
      <c r="P989">
        <v>48</v>
      </c>
      <c r="Q989">
        <v>2</v>
      </c>
      <c r="R989">
        <v>1</v>
      </c>
      <c r="S989">
        <v>8</v>
      </c>
      <c r="T989" t="s">
        <v>34</v>
      </c>
      <c r="U989" t="s">
        <v>34</v>
      </c>
      <c r="V989" t="s">
        <v>35</v>
      </c>
      <c r="W989" t="s">
        <v>33</v>
      </c>
      <c r="X989" t="s">
        <v>52</v>
      </c>
      <c r="Z989" t="str">
        <f>IF(Table1[[#This Row],[Age]]&lt;30,"20-29",IF(Table1[[#This Row],[Age]]&lt;40,"30-39",IF(Table1[[#This Row],[Age]]&lt;50,"40-49","50+")))</f>
        <v>40-49</v>
      </c>
      <c r="AA989" t="str">
        <f>IF(Table1[[#This Row],[Salary]]&lt;20000000,"low",IF(Table1[[#This Row],[Salary]]&lt;40000000,"medium","high"))</f>
        <v>high</v>
      </c>
      <c r="AB989">
        <f>YEAR(Table1[[#This Row],[Hire Date]])</f>
        <v>2017</v>
      </c>
      <c r="AC989" t="str">
        <f>TEXT(Table1[[#This Row],[Hire Date]],"mmmm")</f>
        <v>اُكتبر</v>
      </c>
      <c r="AD989" t="str">
        <f>IF(Table1[[#This Row],[Resigned]]="yes","former","active")</f>
        <v>active</v>
      </c>
    </row>
    <row r="990" spans="1:30" x14ac:dyDescent="0.3">
      <c r="A990" t="s">
        <v>2045</v>
      </c>
      <c r="B990" t="s">
        <v>2046</v>
      </c>
      <c r="C990" t="s">
        <v>27</v>
      </c>
      <c r="D990">
        <v>40</v>
      </c>
      <c r="E990" t="s">
        <v>40</v>
      </c>
      <c r="F990" t="s">
        <v>48</v>
      </c>
      <c r="G990" t="s">
        <v>58</v>
      </c>
      <c r="H990" t="s">
        <v>42</v>
      </c>
      <c r="I990" t="s">
        <v>50</v>
      </c>
      <c r="J990" s="1">
        <v>42814</v>
      </c>
      <c r="K990">
        <v>9</v>
      </c>
      <c r="L990">
        <v>17930214</v>
      </c>
      <c r="M990">
        <v>5802416</v>
      </c>
      <c r="N990" t="s">
        <v>33</v>
      </c>
      <c r="O990">
        <v>3.32</v>
      </c>
      <c r="P990">
        <v>23</v>
      </c>
      <c r="Q990">
        <v>1</v>
      </c>
      <c r="R990">
        <v>2</v>
      </c>
      <c r="S990">
        <v>10</v>
      </c>
      <c r="T990" t="s">
        <v>33</v>
      </c>
      <c r="U990" t="s">
        <v>33</v>
      </c>
      <c r="V990" t="s">
        <v>51</v>
      </c>
      <c r="W990" t="s">
        <v>34</v>
      </c>
      <c r="X990" t="s">
        <v>45</v>
      </c>
      <c r="Y990" t="s">
        <v>60</v>
      </c>
      <c r="Z990" t="str">
        <f>IF(Table1[[#This Row],[Age]]&lt;30,"20-29",IF(Table1[[#This Row],[Age]]&lt;40,"30-39",IF(Table1[[#This Row],[Age]]&lt;50,"40-49","50+")))</f>
        <v>40-49</v>
      </c>
      <c r="AA990" t="str">
        <f>IF(Table1[[#This Row],[Salary]]&lt;20000000,"low",IF(Table1[[#This Row],[Salary]]&lt;40000000,"medium","high"))</f>
        <v>low</v>
      </c>
      <c r="AB990">
        <f>YEAR(Table1[[#This Row],[Hire Date]])</f>
        <v>2017</v>
      </c>
      <c r="AC990" t="str">
        <f>TEXT(Table1[[#This Row],[Hire Date]],"mmmm")</f>
        <v>مارس</v>
      </c>
      <c r="AD990" t="str">
        <f>IF(Table1[[#This Row],[Resigned]]="yes","former","active")</f>
        <v>former</v>
      </c>
    </row>
    <row r="991" spans="1:30" x14ac:dyDescent="0.3">
      <c r="A991" t="s">
        <v>2047</v>
      </c>
      <c r="B991" t="s">
        <v>2048</v>
      </c>
      <c r="C991" t="s">
        <v>27</v>
      </c>
      <c r="D991">
        <v>30</v>
      </c>
      <c r="E991" t="s">
        <v>56</v>
      </c>
      <c r="F991" t="s">
        <v>84</v>
      </c>
      <c r="G991" t="s">
        <v>30</v>
      </c>
      <c r="H991" t="s">
        <v>31</v>
      </c>
      <c r="I991" t="s">
        <v>43</v>
      </c>
      <c r="J991" s="1">
        <v>42412</v>
      </c>
      <c r="K991">
        <v>10</v>
      </c>
      <c r="L991">
        <v>34040672</v>
      </c>
      <c r="M991">
        <v>6818410</v>
      </c>
      <c r="N991" t="s">
        <v>34</v>
      </c>
      <c r="O991">
        <v>4.3600000000000003</v>
      </c>
      <c r="P991">
        <v>27</v>
      </c>
      <c r="Q991">
        <v>5</v>
      </c>
      <c r="R991">
        <v>1</v>
      </c>
      <c r="S991">
        <v>7</v>
      </c>
      <c r="T991" t="s">
        <v>33</v>
      </c>
      <c r="U991" t="s">
        <v>34</v>
      </c>
      <c r="V991" t="s">
        <v>35</v>
      </c>
      <c r="W991" t="s">
        <v>33</v>
      </c>
      <c r="X991" t="s">
        <v>36</v>
      </c>
      <c r="Z991" t="str">
        <f>IF(Table1[[#This Row],[Age]]&lt;30,"20-29",IF(Table1[[#This Row],[Age]]&lt;40,"30-39",IF(Table1[[#This Row],[Age]]&lt;50,"40-49","50+")))</f>
        <v>30-39</v>
      </c>
      <c r="AA991" t="str">
        <f>IF(Table1[[#This Row],[Salary]]&lt;20000000,"low",IF(Table1[[#This Row],[Salary]]&lt;40000000,"medium","high"))</f>
        <v>medium</v>
      </c>
      <c r="AB991">
        <f>YEAR(Table1[[#This Row],[Hire Date]])</f>
        <v>2016</v>
      </c>
      <c r="AC991" t="str">
        <f>TEXT(Table1[[#This Row],[Hire Date]],"mmmm")</f>
        <v>فوريه</v>
      </c>
      <c r="AD991" t="str">
        <f>IF(Table1[[#This Row],[Resigned]]="yes","former","active")</f>
        <v>active</v>
      </c>
    </row>
    <row r="992" spans="1:30" x14ac:dyDescent="0.3">
      <c r="A992" t="s">
        <v>2049</v>
      </c>
      <c r="B992" t="s">
        <v>2050</v>
      </c>
      <c r="C992" t="s">
        <v>39</v>
      </c>
      <c r="D992">
        <v>32</v>
      </c>
      <c r="E992" t="s">
        <v>56</v>
      </c>
      <c r="F992" t="s">
        <v>57</v>
      </c>
      <c r="G992" t="s">
        <v>49</v>
      </c>
      <c r="H992" t="s">
        <v>31</v>
      </c>
      <c r="I992" t="s">
        <v>81</v>
      </c>
      <c r="J992" s="1">
        <v>43299</v>
      </c>
      <c r="K992">
        <v>8</v>
      </c>
      <c r="L992">
        <v>18956411</v>
      </c>
      <c r="M992">
        <v>6318654</v>
      </c>
      <c r="N992" t="s">
        <v>33</v>
      </c>
      <c r="O992">
        <v>3.31</v>
      </c>
      <c r="P992">
        <v>15</v>
      </c>
      <c r="Q992">
        <v>5</v>
      </c>
      <c r="R992">
        <v>3</v>
      </c>
      <c r="S992">
        <v>7</v>
      </c>
      <c r="T992" t="s">
        <v>34</v>
      </c>
      <c r="U992" t="s">
        <v>34</v>
      </c>
      <c r="V992" t="s">
        <v>59</v>
      </c>
      <c r="W992" t="s">
        <v>34</v>
      </c>
      <c r="X992" t="s">
        <v>36</v>
      </c>
      <c r="Z992" t="str">
        <f>IF(Table1[[#This Row],[Age]]&lt;30,"20-29",IF(Table1[[#This Row],[Age]]&lt;40,"30-39",IF(Table1[[#This Row],[Age]]&lt;50,"40-49","50+")))</f>
        <v>30-39</v>
      </c>
      <c r="AA992" t="str">
        <f>IF(Table1[[#This Row],[Salary]]&lt;20000000,"low",IF(Table1[[#This Row],[Salary]]&lt;40000000,"medium","high"))</f>
        <v>low</v>
      </c>
      <c r="AB992">
        <f>YEAR(Table1[[#This Row],[Hire Date]])</f>
        <v>2018</v>
      </c>
      <c r="AC992" t="str">
        <f>TEXT(Table1[[#This Row],[Hire Date]],"mmmm")</f>
        <v>ژوئيه</v>
      </c>
      <c r="AD992" t="str">
        <f>IF(Table1[[#This Row],[Resigned]]="yes","former","active")</f>
        <v>active</v>
      </c>
    </row>
    <row r="993" spans="1:30" x14ac:dyDescent="0.3">
      <c r="A993" t="s">
        <v>2051</v>
      </c>
      <c r="B993" t="s">
        <v>2052</v>
      </c>
      <c r="C993" t="s">
        <v>27</v>
      </c>
      <c r="D993">
        <v>55</v>
      </c>
      <c r="E993" t="s">
        <v>110</v>
      </c>
      <c r="F993" t="s">
        <v>111</v>
      </c>
      <c r="G993" t="s">
        <v>58</v>
      </c>
      <c r="H993" t="s">
        <v>31</v>
      </c>
      <c r="I993" t="s">
        <v>81</v>
      </c>
      <c r="J993" s="1">
        <v>44793</v>
      </c>
      <c r="K993">
        <v>4</v>
      </c>
      <c r="L993">
        <v>51946459</v>
      </c>
      <c r="M993">
        <v>149840</v>
      </c>
      <c r="N993" t="s">
        <v>33</v>
      </c>
      <c r="O993">
        <v>2.81</v>
      </c>
      <c r="P993">
        <v>24</v>
      </c>
      <c r="Q993">
        <v>1</v>
      </c>
      <c r="R993">
        <v>4</v>
      </c>
      <c r="S993">
        <v>18</v>
      </c>
      <c r="T993" t="s">
        <v>33</v>
      </c>
      <c r="U993" t="s">
        <v>34</v>
      </c>
      <c r="V993" t="s">
        <v>70</v>
      </c>
      <c r="W993" t="s">
        <v>34</v>
      </c>
      <c r="X993" t="s">
        <v>36</v>
      </c>
      <c r="Z993" t="str">
        <f>IF(Table1[[#This Row],[Age]]&lt;30,"20-29",IF(Table1[[#This Row],[Age]]&lt;40,"30-39",IF(Table1[[#This Row],[Age]]&lt;50,"40-49","50+")))</f>
        <v>50+</v>
      </c>
      <c r="AA993" t="str">
        <f>IF(Table1[[#This Row],[Salary]]&lt;20000000,"low",IF(Table1[[#This Row],[Salary]]&lt;40000000,"medium","high"))</f>
        <v>high</v>
      </c>
      <c r="AB993">
        <f>YEAR(Table1[[#This Row],[Hire Date]])</f>
        <v>2022</v>
      </c>
      <c r="AC993" t="str">
        <f>TEXT(Table1[[#This Row],[Hire Date]],"mmmm")</f>
        <v>اوت</v>
      </c>
      <c r="AD993" t="str">
        <f>IF(Table1[[#This Row],[Resigned]]="yes","former","active")</f>
        <v>active</v>
      </c>
    </row>
    <row r="994" spans="1:30" x14ac:dyDescent="0.3">
      <c r="A994" t="s">
        <v>2053</v>
      </c>
      <c r="B994" t="s">
        <v>2054</v>
      </c>
      <c r="C994" t="s">
        <v>27</v>
      </c>
      <c r="D994">
        <v>35</v>
      </c>
      <c r="E994" t="s">
        <v>40</v>
      </c>
      <c r="F994" t="s">
        <v>48</v>
      </c>
      <c r="G994" t="s">
        <v>58</v>
      </c>
      <c r="H994" t="s">
        <v>42</v>
      </c>
      <c r="I994" t="s">
        <v>50</v>
      </c>
      <c r="J994" s="1">
        <v>42666</v>
      </c>
      <c r="K994">
        <v>10</v>
      </c>
      <c r="L994">
        <v>21556962</v>
      </c>
      <c r="M994">
        <v>1330347</v>
      </c>
      <c r="N994" t="s">
        <v>33</v>
      </c>
      <c r="O994">
        <v>2.96</v>
      </c>
      <c r="P994">
        <v>15</v>
      </c>
      <c r="Q994">
        <v>1</v>
      </c>
      <c r="R994">
        <v>5</v>
      </c>
      <c r="S994">
        <v>20</v>
      </c>
      <c r="T994" t="s">
        <v>33</v>
      </c>
      <c r="U994" t="s">
        <v>34</v>
      </c>
      <c r="V994" t="s">
        <v>59</v>
      </c>
      <c r="W994" t="s">
        <v>33</v>
      </c>
      <c r="X994" t="s">
        <v>45</v>
      </c>
      <c r="Z994" t="str">
        <f>IF(Table1[[#This Row],[Age]]&lt;30,"20-29",IF(Table1[[#This Row],[Age]]&lt;40,"30-39",IF(Table1[[#This Row],[Age]]&lt;50,"40-49","50+")))</f>
        <v>30-39</v>
      </c>
      <c r="AA994" t="str">
        <f>IF(Table1[[#This Row],[Salary]]&lt;20000000,"low",IF(Table1[[#This Row],[Salary]]&lt;40000000,"medium","high"))</f>
        <v>medium</v>
      </c>
      <c r="AB994">
        <f>YEAR(Table1[[#This Row],[Hire Date]])</f>
        <v>2016</v>
      </c>
      <c r="AC994" t="str">
        <f>TEXT(Table1[[#This Row],[Hire Date]],"mmmm")</f>
        <v>اُكتبر</v>
      </c>
      <c r="AD994" t="str">
        <f>IF(Table1[[#This Row],[Resigned]]="yes","former","active")</f>
        <v>active</v>
      </c>
    </row>
    <row r="995" spans="1:30" x14ac:dyDescent="0.3">
      <c r="A995" t="s">
        <v>2055</v>
      </c>
      <c r="B995" t="s">
        <v>2056</v>
      </c>
      <c r="C995" t="s">
        <v>39</v>
      </c>
      <c r="D995">
        <v>47</v>
      </c>
      <c r="E995" t="s">
        <v>40</v>
      </c>
      <c r="F995" t="s">
        <v>41</v>
      </c>
      <c r="G995" t="s">
        <v>58</v>
      </c>
      <c r="H995" t="s">
        <v>31</v>
      </c>
      <c r="I995" t="s">
        <v>65</v>
      </c>
      <c r="J995" s="1">
        <v>43460</v>
      </c>
      <c r="K995">
        <v>8</v>
      </c>
      <c r="L995">
        <v>42720026</v>
      </c>
      <c r="M995">
        <v>1410182</v>
      </c>
      <c r="N995" t="s">
        <v>33</v>
      </c>
      <c r="O995">
        <v>3.7</v>
      </c>
      <c r="P995">
        <v>48</v>
      </c>
      <c r="Q995">
        <v>1</v>
      </c>
      <c r="R995">
        <v>5</v>
      </c>
      <c r="S995">
        <v>6</v>
      </c>
      <c r="T995" t="s">
        <v>34</v>
      </c>
      <c r="U995" t="s">
        <v>34</v>
      </c>
      <c r="V995" t="s">
        <v>70</v>
      </c>
      <c r="W995" t="s">
        <v>34</v>
      </c>
      <c r="X995" t="s">
        <v>52</v>
      </c>
      <c r="Z995" t="str">
        <f>IF(Table1[[#This Row],[Age]]&lt;30,"20-29",IF(Table1[[#This Row],[Age]]&lt;40,"30-39",IF(Table1[[#This Row],[Age]]&lt;50,"40-49","50+")))</f>
        <v>40-49</v>
      </c>
      <c r="AA995" t="str">
        <f>IF(Table1[[#This Row],[Salary]]&lt;20000000,"low",IF(Table1[[#This Row],[Salary]]&lt;40000000,"medium","high"))</f>
        <v>high</v>
      </c>
      <c r="AB995">
        <f>YEAR(Table1[[#This Row],[Hire Date]])</f>
        <v>2018</v>
      </c>
      <c r="AC995" t="str">
        <f>TEXT(Table1[[#This Row],[Hire Date]],"mmmm")</f>
        <v>دسامبر</v>
      </c>
      <c r="AD995" t="str">
        <f>IF(Table1[[#This Row],[Resigned]]="yes","former","active")</f>
        <v>active</v>
      </c>
    </row>
    <row r="996" spans="1:30" x14ac:dyDescent="0.3">
      <c r="A996" t="s">
        <v>2057</v>
      </c>
      <c r="B996" t="s">
        <v>2058</v>
      </c>
      <c r="C996" t="s">
        <v>27</v>
      </c>
      <c r="D996">
        <v>40</v>
      </c>
      <c r="E996" t="s">
        <v>110</v>
      </c>
      <c r="F996" t="s">
        <v>111</v>
      </c>
      <c r="G996" t="s">
        <v>49</v>
      </c>
      <c r="H996" t="s">
        <v>31</v>
      </c>
      <c r="I996" t="s">
        <v>43</v>
      </c>
      <c r="J996" s="1">
        <v>42774</v>
      </c>
      <c r="K996">
        <v>9</v>
      </c>
      <c r="L996">
        <v>53531279</v>
      </c>
      <c r="M996">
        <v>4814331</v>
      </c>
      <c r="N996" t="s">
        <v>34</v>
      </c>
      <c r="O996">
        <v>4.9400000000000004</v>
      </c>
      <c r="P996">
        <v>36</v>
      </c>
      <c r="Q996">
        <v>1</v>
      </c>
      <c r="R996">
        <v>4</v>
      </c>
      <c r="S996">
        <v>13</v>
      </c>
      <c r="T996" t="s">
        <v>34</v>
      </c>
      <c r="U996" t="s">
        <v>34</v>
      </c>
      <c r="V996" t="s">
        <v>44</v>
      </c>
      <c r="W996" t="s">
        <v>34</v>
      </c>
      <c r="X996" t="s">
        <v>52</v>
      </c>
      <c r="Z996" t="str">
        <f>IF(Table1[[#This Row],[Age]]&lt;30,"20-29",IF(Table1[[#This Row],[Age]]&lt;40,"30-39",IF(Table1[[#This Row],[Age]]&lt;50,"40-49","50+")))</f>
        <v>40-49</v>
      </c>
      <c r="AA996" t="str">
        <f>IF(Table1[[#This Row],[Salary]]&lt;20000000,"low",IF(Table1[[#This Row],[Salary]]&lt;40000000,"medium","high"))</f>
        <v>high</v>
      </c>
      <c r="AB996">
        <f>YEAR(Table1[[#This Row],[Hire Date]])</f>
        <v>2017</v>
      </c>
      <c r="AC996" t="str">
        <f>TEXT(Table1[[#This Row],[Hire Date]],"mmmm")</f>
        <v>فوريه</v>
      </c>
      <c r="AD996" t="str">
        <f>IF(Table1[[#This Row],[Resigned]]="yes","former","active")</f>
        <v>active</v>
      </c>
    </row>
    <row r="997" spans="1:30" x14ac:dyDescent="0.3">
      <c r="A997" t="s">
        <v>2059</v>
      </c>
      <c r="B997" t="s">
        <v>2060</v>
      </c>
      <c r="C997" t="s">
        <v>27</v>
      </c>
      <c r="D997">
        <v>26</v>
      </c>
      <c r="E997" t="s">
        <v>28</v>
      </c>
      <c r="F997" t="s">
        <v>80</v>
      </c>
      <c r="G997" t="s">
        <v>58</v>
      </c>
      <c r="H997" t="s">
        <v>42</v>
      </c>
      <c r="I997" t="s">
        <v>43</v>
      </c>
      <c r="J997" s="1">
        <v>45815</v>
      </c>
      <c r="K997">
        <v>1</v>
      </c>
      <c r="L997">
        <v>40709306</v>
      </c>
      <c r="M997">
        <v>4517603</v>
      </c>
      <c r="N997" t="s">
        <v>34</v>
      </c>
      <c r="O997">
        <v>4.54</v>
      </c>
      <c r="P997">
        <v>2</v>
      </c>
      <c r="Q997">
        <v>3</v>
      </c>
      <c r="R997">
        <v>2</v>
      </c>
      <c r="S997">
        <v>5</v>
      </c>
      <c r="T997" t="s">
        <v>34</v>
      </c>
      <c r="U997" t="s">
        <v>34</v>
      </c>
      <c r="V997" t="s">
        <v>51</v>
      </c>
      <c r="W997" t="s">
        <v>33</v>
      </c>
      <c r="X997" t="s">
        <v>45</v>
      </c>
      <c r="Z997" t="str">
        <f>IF(Table1[[#This Row],[Age]]&lt;30,"20-29",IF(Table1[[#This Row],[Age]]&lt;40,"30-39",IF(Table1[[#This Row],[Age]]&lt;50,"40-49","50+")))</f>
        <v>20-29</v>
      </c>
      <c r="AA997" t="str">
        <f>IF(Table1[[#This Row],[Salary]]&lt;20000000,"low",IF(Table1[[#This Row],[Salary]]&lt;40000000,"medium","high"))</f>
        <v>high</v>
      </c>
      <c r="AB997">
        <f>YEAR(Table1[[#This Row],[Hire Date]])</f>
        <v>2025</v>
      </c>
      <c r="AC997" t="str">
        <f>TEXT(Table1[[#This Row],[Hire Date]],"mmmm")</f>
        <v>ژوئن</v>
      </c>
      <c r="AD997" t="str">
        <f>IF(Table1[[#This Row],[Resigned]]="yes","former","active")</f>
        <v>active</v>
      </c>
    </row>
    <row r="998" spans="1:30" x14ac:dyDescent="0.3">
      <c r="A998" t="s">
        <v>2061</v>
      </c>
      <c r="B998" t="s">
        <v>2062</v>
      </c>
      <c r="C998" t="s">
        <v>39</v>
      </c>
      <c r="D998">
        <v>52</v>
      </c>
      <c r="E998" t="s">
        <v>110</v>
      </c>
      <c r="F998" t="s">
        <v>111</v>
      </c>
      <c r="G998" t="s">
        <v>30</v>
      </c>
      <c r="H998" t="s">
        <v>42</v>
      </c>
      <c r="I998" t="s">
        <v>50</v>
      </c>
      <c r="J998" s="1">
        <v>45658</v>
      </c>
      <c r="K998">
        <v>1</v>
      </c>
      <c r="L998">
        <v>43916816</v>
      </c>
      <c r="M998">
        <v>8025740</v>
      </c>
      <c r="N998" t="s">
        <v>34</v>
      </c>
      <c r="O998">
        <v>3.52</v>
      </c>
      <c r="P998">
        <v>58</v>
      </c>
      <c r="Q998">
        <v>3</v>
      </c>
      <c r="R998">
        <v>5</v>
      </c>
      <c r="S998">
        <v>13</v>
      </c>
      <c r="T998" t="s">
        <v>34</v>
      </c>
      <c r="U998" t="s">
        <v>34</v>
      </c>
      <c r="V998" t="s">
        <v>44</v>
      </c>
      <c r="W998" t="s">
        <v>34</v>
      </c>
      <c r="X998" t="s">
        <v>36</v>
      </c>
      <c r="Z998" t="str">
        <f>IF(Table1[[#This Row],[Age]]&lt;30,"20-29",IF(Table1[[#This Row],[Age]]&lt;40,"30-39",IF(Table1[[#This Row],[Age]]&lt;50,"40-49","50+")))</f>
        <v>50+</v>
      </c>
      <c r="AA998" t="str">
        <f>IF(Table1[[#This Row],[Salary]]&lt;20000000,"low",IF(Table1[[#This Row],[Salary]]&lt;40000000,"medium","high"))</f>
        <v>high</v>
      </c>
      <c r="AB998">
        <f>YEAR(Table1[[#This Row],[Hire Date]])</f>
        <v>2025</v>
      </c>
      <c r="AC998" t="str">
        <f>TEXT(Table1[[#This Row],[Hire Date]],"mmmm")</f>
        <v>ژانويه</v>
      </c>
      <c r="AD998" t="str">
        <f>IF(Table1[[#This Row],[Resigned]]="yes","former","active")</f>
        <v>active</v>
      </c>
    </row>
    <row r="999" spans="1:30" x14ac:dyDescent="0.3">
      <c r="A999" t="s">
        <v>2063</v>
      </c>
      <c r="B999" t="s">
        <v>2064</v>
      </c>
      <c r="C999" t="s">
        <v>39</v>
      </c>
      <c r="D999">
        <v>38</v>
      </c>
      <c r="E999" t="s">
        <v>110</v>
      </c>
      <c r="F999" t="s">
        <v>120</v>
      </c>
      <c r="G999" t="s">
        <v>49</v>
      </c>
      <c r="H999" t="s">
        <v>31</v>
      </c>
      <c r="I999" t="s">
        <v>43</v>
      </c>
      <c r="J999" s="1">
        <v>43046</v>
      </c>
      <c r="K999">
        <v>9</v>
      </c>
      <c r="L999">
        <v>27626452</v>
      </c>
      <c r="M999">
        <v>5528801</v>
      </c>
      <c r="N999" t="s">
        <v>33</v>
      </c>
      <c r="O999">
        <v>3.77</v>
      </c>
      <c r="P999">
        <v>38</v>
      </c>
      <c r="Q999">
        <v>3</v>
      </c>
      <c r="R999">
        <v>2</v>
      </c>
      <c r="S999">
        <v>16</v>
      </c>
      <c r="T999" t="s">
        <v>34</v>
      </c>
      <c r="U999" t="s">
        <v>33</v>
      </c>
      <c r="V999" t="s">
        <v>59</v>
      </c>
      <c r="W999" t="s">
        <v>34</v>
      </c>
      <c r="X999" t="s">
        <v>45</v>
      </c>
      <c r="Y999" t="s">
        <v>162</v>
      </c>
      <c r="Z999" t="str">
        <f>IF(Table1[[#This Row],[Age]]&lt;30,"20-29",IF(Table1[[#This Row],[Age]]&lt;40,"30-39",IF(Table1[[#This Row],[Age]]&lt;50,"40-49","50+")))</f>
        <v>30-39</v>
      </c>
      <c r="AA999" t="str">
        <f>IF(Table1[[#This Row],[Salary]]&lt;20000000,"low",IF(Table1[[#This Row],[Salary]]&lt;40000000,"medium","high"))</f>
        <v>medium</v>
      </c>
      <c r="AB999">
        <f>YEAR(Table1[[#This Row],[Hire Date]])</f>
        <v>2017</v>
      </c>
      <c r="AC999" t="str">
        <f>TEXT(Table1[[#This Row],[Hire Date]],"mmmm")</f>
        <v>نوامبر</v>
      </c>
      <c r="AD999" t="str">
        <f>IF(Table1[[#This Row],[Resigned]]="yes","former","active")</f>
        <v>former</v>
      </c>
    </row>
    <row r="1000" spans="1:30" x14ac:dyDescent="0.3">
      <c r="A1000" t="s">
        <v>2065</v>
      </c>
      <c r="B1000" t="s">
        <v>2066</v>
      </c>
      <c r="C1000" t="s">
        <v>39</v>
      </c>
      <c r="D1000">
        <v>35</v>
      </c>
      <c r="E1000" t="s">
        <v>73</v>
      </c>
      <c r="F1000" t="s">
        <v>74</v>
      </c>
      <c r="G1000" t="s">
        <v>58</v>
      </c>
      <c r="H1000" t="s">
        <v>42</v>
      </c>
      <c r="I1000" t="s">
        <v>50</v>
      </c>
      <c r="J1000" s="1">
        <v>44531</v>
      </c>
      <c r="K1000">
        <v>5</v>
      </c>
      <c r="L1000">
        <v>52999209</v>
      </c>
      <c r="M1000">
        <v>581133</v>
      </c>
      <c r="N1000" t="s">
        <v>33</v>
      </c>
      <c r="O1000">
        <v>3.57</v>
      </c>
      <c r="P1000">
        <v>36</v>
      </c>
      <c r="Q1000">
        <v>4</v>
      </c>
      <c r="R1000">
        <v>1</v>
      </c>
      <c r="S1000">
        <v>6</v>
      </c>
      <c r="T1000" t="s">
        <v>33</v>
      </c>
      <c r="U1000" t="s">
        <v>33</v>
      </c>
      <c r="V1000" t="s">
        <v>35</v>
      </c>
      <c r="W1000" t="s">
        <v>34</v>
      </c>
      <c r="X1000" t="s">
        <v>36</v>
      </c>
      <c r="Y1000" t="s">
        <v>53</v>
      </c>
      <c r="Z1000" t="str">
        <f>IF(Table1[[#This Row],[Age]]&lt;30,"20-29",IF(Table1[[#This Row],[Age]]&lt;40,"30-39",IF(Table1[[#This Row],[Age]]&lt;50,"40-49","50+")))</f>
        <v>30-39</v>
      </c>
      <c r="AA1000" t="str">
        <f>IF(Table1[[#This Row],[Salary]]&lt;20000000,"low",IF(Table1[[#This Row],[Salary]]&lt;40000000,"medium","high"))</f>
        <v>high</v>
      </c>
      <c r="AB1000">
        <f>YEAR(Table1[[#This Row],[Hire Date]])</f>
        <v>2021</v>
      </c>
      <c r="AC1000" t="str">
        <f>TEXT(Table1[[#This Row],[Hire Date]],"mmmm")</f>
        <v>دسامبر</v>
      </c>
      <c r="AD1000" t="str">
        <f>IF(Table1[[#This Row],[Resigned]]="yes","former","active")</f>
        <v>former</v>
      </c>
    </row>
    <row r="1001" spans="1:30" x14ac:dyDescent="0.3">
      <c r="A1001" t="s">
        <v>2067</v>
      </c>
      <c r="B1001" t="s">
        <v>2068</v>
      </c>
      <c r="C1001" t="s">
        <v>27</v>
      </c>
      <c r="D1001">
        <v>46</v>
      </c>
      <c r="E1001" t="s">
        <v>28</v>
      </c>
      <c r="F1001" t="s">
        <v>29</v>
      </c>
      <c r="G1001" t="s">
        <v>30</v>
      </c>
      <c r="H1001" t="s">
        <v>31</v>
      </c>
      <c r="I1001" t="s">
        <v>32</v>
      </c>
      <c r="J1001" s="1">
        <v>42428</v>
      </c>
      <c r="K1001">
        <v>10</v>
      </c>
      <c r="L1001">
        <v>41528036</v>
      </c>
      <c r="M1001">
        <v>3997981</v>
      </c>
      <c r="N1001" t="s">
        <v>34</v>
      </c>
      <c r="O1001">
        <v>4.59</v>
      </c>
      <c r="P1001">
        <v>42</v>
      </c>
      <c r="Q1001">
        <v>2</v>
      </c>
      <c r="R1001">
        <v>2</v>
      </c>
      <c r="S1001">
        <v>4</v>
      </c>
      <c r="T1001" t="s">
        <v>33</v>
      </c>
      <c r="U1001" t="s">
        <v>34</v>
      </c>
      <c r="V1001" t="s">
        <v>70</v>
      </c>
      <c r="W1001" t="s">
        <v>33</v>
      </c>
      <c r="X1001" t="s">
        <v>52</v>
      </c>
      <c r="Z1001" t="str">
        <f>IF(Table1[[#This Row],[Age]]&lt;30,"20-29",IF(Table1[[#This Row],[Age]]&lt;40,"30-39",IF(Table1[[#This Row],[Age]]&lt;50,"40-49","50+")))</f>
        <v>40-49</v>
      </c>
      <c r="AA1001" t="str">
        <f>IF(Table1[[#This Row],[Salary]]&lt;20000000,"low",IF(Table1[[#This Row],[Salary]]&lt;40000000,"medium","high"))</f>
        <v>high</v>
      </c>
      <c r="AB1001">
        <f>YEAR(Table1[[#This Row],[Hire Date]])</f>
        <v>2016</v>
      </c>
      <c r="AC1001" t="str">
        <f>TEXT(Table1[[#This Row],[Hire Date]],"mmmm")</f>
        <v>فوريه</v>
      </c>
      <c r="AD1001" t="str">
        <f>IF(Table1[[#This Row],[Resigned]]="yes","former","active")</f>
        <v>active</v>
      </c>
    </row>
    <row r="1002" spans="1:30" x14ac:dyDescent="0.3">
      <c r="A1002" t="s">
        <v>2069</v>
      </c>
      <c r="B1002" t="s">
        <v>2070</v>
      </c>
      <c r="C1002" t="s">
        <v>39</v>
      </c>
      <c r="D1002">
        <v>22</v>
      </c>
      <c r="E1002" t="s">
        <v>63</v>
      </c>
      <c r="F1002" t="s">
        <v>93</v>
      </c>
      <c r="G1002" t="s">
        <v>49</v>
      </c>
      <c r="H1002" t="s">
        <v>31</v>
      </c>
      <c r="I1002" t="s">
        <v>65</v>
      </c>
      <c r="J1002" s="1">
        <v>44490</v>
      </c>
      <c r="K1002">
        <v>5</v>
      </c>
      <c r="L1002">
        <v>40409655</v>
      </c>
      <c r="M1002">
        <v>5173715</v>
      </c>
      <c r="N1002" t="s">
        <v>33</v>
      </c>
      <c r="O1002">
        <v>2.91</v>
      </c>
      <c r="P1002">
        <v>48</v>
      </c>
      <c r="Q1002">
        <v>3</v>
      </c>
      <c r="R1002">
        <v>5</v>
      </c>
      <c r="S1002">
        <v>19</v>
      </c>
      <c r="T1002" t="s">
        <v>33</v>
      </c>
      <c r="U1002" t="s">
        <v>34</v>
      </c>
      <c r="V1002" t="s">
        <v>59</v>
      </c>
      <c r="W1002" t="s">
        <v>34</v>
      </c>
      <c r="X1002" t="s">
        <v>45</v>
      </c>
      <c r="Z1002" t="str">
        <f>IF(Table1[[#This Row],[Age]]&lt;30,"20-29",IF(Table1[[#This Row],[Age]]&lt;40,"30-39",IF(Table1[[#This Row],[Age]]&lt;50,"40-49","50+")))</f>
        <v>20-29</v>
      </c>
      <c r="AA1002" t="str">
        <f>IF(Table1[[#This Row],[Salary]]&lt;20000000,"low",IF(Table1[[#This Row],[Salary]]&lt;40000000,"medium","high"))</f>
        <v>high</v>
      </c>
      <c r="AB1002">
        <f>YEAR(Table1[[#This Row],[Hire Date]])</f>
        <v>2021</v>
      </c>
      <c r="AC1002" t="str">
        <f>TEXT(Table1[[#This Row],[Hire Date]],"mmmm")</f>
        <v>اُكتبر</v>
      </c>
      <c r="AD1002" t="str">
        <f>IF(Table1[[#This Row],[Resigned]]="yes","former","active")</f>
        <v>active</v>
      </c>
    </row>
    <row r="1003" spans="1:30" x14ac:dyDescent="0.3">
      <c r="A1003" t="s">
        <v>2071</v>
      </c>
      <c r="B1003" t="s">
        <v>2072</v>
      </c>
      <c r="C1003" t="s">
        <v>27</v>
      </c>
      <c r="D1003">
        <v>26</v>
      </c>
      <c r="E1003" t="s">
        <v>110</v>
      </c>
      <c r="F1003" t="s">
        <v>120</v>
      </c>
      <c r="G1003" t="s">
        <v>58</v>
      </c>
      <c r="H1003" t="s">
        <v>42</v>
      </c>
      <c r="I1003" t="s">
        <v>50</v>
      </c>
      <c r="J1003" s="1">
        <v>44908</v>
      </c>
      <c r="K1003">
        <v>4</v>
      </c>
      <c r="L1003">
        <v>53607311</v>
      </c>
      <c r="M1003">
        <v>930078</v>
      </c>
      <c r="N1003" t="s">
        <v>34</v>
      </c>
      <c r="O1003">
        <v>3.95</v>
      </c>
      <c r="P1003">
        <v>9</v>
      </c>
      <c r="Q1003">
        <v>5</v>
      </c>
      <c r="R1003">
        <v>1</v>
      </c>
      <c r="S1003">
        <v>7</v>
      </c>
      <c r="T1003" t="s">
        <v>33</v>
      </c>
      <c r="U1003" t="s">
        <v>34</v>
      </c>
      <c r="V1003" t="s">
        <v>35</v>
      </c>
      <c r="W1003" t="s">
        <v>34</v>
      </c>
      <c r="X1003" t="s">
        <v>36</v>
      </c>
      <c r="Z1003" t="str">
        <f>IF(Table1[[#This Row],[Age]]&lt;30,"20-29",IF(Table1[[#This Row],[Age]]&lt;40,"30-39",IF(Table1[[#This Row],[Age]]&lt;50,"40-49","50+")))</f>
        <v>20-29</v>
      </c>
      <c r="AA1003" t="str">
        <f>IF(Table1[[#This Row],[Salary]]&lt;20000000,"low",IF(Table1[[#This Row],[Salary]]&lt;40000000,"medium","high"))</f>
        <v>high</v>
      </c>
      <c r="AB1003">
        <f>YEAR(Table1[[#This Row],[Hire Date]])</f>
        <v>2022</v>
      </c>
      <c r="AC1003" t="str">
        <f>TEXT(Table1[[#This Row],[Hire Date]],"mmmm")</f>
        <v>دسامبر</v>
      </c>
      <c r="AD1003" t="str">
        <f>IF(Table1[[#This Row],[Resigned]]="yes","former","active")</f>
        <v>active</v>
      </c>
    </row>
    <row r="1004" spans="1:30" x14ac:dyDescent="0.3">
      <c r="A1004" t="s">
        <v>2073</v>
      </c>
      <c r="B1004" t="s">
        <v>2074</v>
      </c>
      <c r="C1004" t="s">
        <v>39</v>
      </c>
      <c r="D1004">
        <v>22</v>
      </c>
      <c r="E1004" t="s">
        <v>56</v>
      </c>
      <c r="F1004" t="s">
        <v>84</v>
      </c>
      <c r="G1004" t="s">
        <v>49</v>
      </c>
      <c r="H1004" t="s">
        <v>42</v>
      </c>
      <c r="I1004" t="s">
        <v>50</v>
      </c>
      <c r="J1004" s="1">
        <v>42456</v>
      </c>
      <c r="K1004">
        <v>10</v>
      </c>
      <c r="L1004">
        <v>22373025</v>
      </c>
      <c r="M1004">
        <v>8583875</v>
      </c>
      <c r="N1004" t="s">
        <v>33</v>
      </c>
      <c r="O1004">
        <v>3.37</v>
      </c>
      <c r="P1004">
        <v>48</v>
      </c>
      <c r="Q1004">
        <v>3</v>
      </c>
      <c r="R1004">
        <v>5</v>
      </c>
      <c r="S1004">
        <v>1</v>
      </c>
      <c r="T1004" t="s">
        <v>33</v>
      </c>
      <c r="U1004" t="s">
        <v>34</v>
      </c>
      <c r="V1004" t="s">
        <v>59</v>
      </c>
      <c r="W1004" t="s">
        <v>33</v>
      </c>
      <c r="X1004" t="s">
        <v>36</v>
      </c>
      <c r="Z1004" t="str">
        <f>IF(Table1[[#This Row],[Age]]&lt;30,"20-29",IF(Table1[[#This Row],[Age]]&lt;40,"30-39",IF(Table1[[#This Row],[Age]]&lt;50,"40-49","50+")))</f>
        <v>20-29</v>
      </c>
      <c r="AA1004" t="str">
        <f>IF(Table1[[#This Row],[Salary]]&lt;20000000,"low",IF(Table1[[#This Row],[Salary]]&lt;40000000,"medium","high"))</f>
        <v>medium</v>
      </c>
      <c r="AB1004">
        <f>YEAR(Table1[[#This Row],[Hire Date]])</f>
        <v>2016</v>
      </c>
      <c r="AC1004" t="str">
        <f>TEXT(Table1[[#This Row],[Hire Date]],"mmmm")</f>
        <v>مارس</v>
      </c>
      <c r="AD1004" t="str">
        <f>IF(Table1[[#This Row],[Resigned]]="yes","former","active")</f>
        <v>active</v>
      </c>
    </row>
    <row r="1005" spans="1:30" x14ac:dyDescent="0.3">
      <c r="A1005" t="s">
        <v>2075</v>
      </c>
      <c r="B1005" t="s">
        <v>2076</v>
      </c>
      <c r="C1005" t="s">
        <v>27</v>
      </c>
      <c r="D1005">
        <v>47</v>
      </c>
      <c r="E1005" t="s">
        <v>28</v>
      </c>
      <c r="F1005" t="s">
        <v>80</v>
      </c>
      <c r="G1005" t="s">
        <v>49</v>
      </c>
      <c r="H1005" t="s">
        <v>31</v>
      </c>
      <c r="I1005" t="s">
        <v>81</v>
      </c>
      <c r="J1005" s="1">
        <v>44215</v>
      </c>
      <c r="K1005">
        <v>5</v>
      </c>
      <c r="L1005">
        <v>27889490</v>
      </c>
      <c r="M1005">
        <v>2952342</v>
      </c>
      <c r="N1005" t="s">
        <v>34</v>
      </c>
      <c r="O1005">
        <v>3.39</v>
      </c>
      <c r="P1005">
        <v>74</v>
      </c>
      <c r="Q1005">
        <v>1</v>
      </c>
      <c r="R1005">
        <v>4</v>
      </c>
      <c r="S1005">
        <v>1</v>
      </c>
      <c r="T1005" t="s">
        <v>33</v>
      </c>
      <c r="U1005" t="s">
        <v>34</v>
      </c>
      <c r="V1005" t="s">
        <v>59</v>
      </c>
      <c r="W1005" t="s">
        <v>34</v>
      </c>
      <c r="X1005" t="s">
        <v>45</v>
      </c>
      <c r="Z1005" t="str">
        <f>IF(Table1[[#This Row],[Age]]&lt;30,"20-29",IF(Table1[[#This Row],[Age]]&lt;40,"30-39",IF(Table1[[#This Row],[Age]]&lt;50,"40-49","50+")))</f>
        <v>40-49</v>
      </c>
      <c r="AA1005" t="str">
        <f>IF(Table1[[#This Row],[Salary]]&lt;20000000,"low",IF(Table1[[#This Row],[Salary]]&lt;40000000,"medium","high"))</f>
        <v>medium</v>
      </c>
      <c r="AB1005">
        <f>YEAR(Table1[[#This Row],[Hire Date]])</f>
        <v>2021</v>
      </c>
      <c r="AC1005" t="str">
        <f>TEXT(Table1[[#This Row],[Hire Date]],"mmmm")</f>
        <v>ژانويه</v>
      </c>
      <c r="AD1005" t="str">
        <f>IF(Table1[[#This Row],[Resigned]]="yes","former","active")</f>
        <v>active</v>
      </c>
    </row>
    <row r="1006" spans="1:30" x14ac:dyDescent="0.3">
      <c r="A1006" t="s">
        <v>2077</v>
      </c>
      <c r="B1006" t="s">
        <v>2078</v>
      </c>
      <c r="C1006" t="s">
        <v>27</v>
      </c>
      <c r="D1006">
        <v>53</v>
      </c>
      <c r="E1006" t="s">
        <v>56</v>
      </c>
      <c r="F1006" t="s">
        <v>57</v>
      </c>
      <c r="G1006" t="s">
        <v>58</v>
      </c>
      <c r="H1006" t="s">
        <v>31</v>
      </c>
      <c r="I1006" t="s">
        <v>81</v>
      </c>
      <c r="J1006" s="1">
        <v>45776</v>
      </c>
      <c r="K1006">
        <v>1</v>
      </c>
      <c r="L1006">
        <v>36011950</v>
      </c>
      <c r="M1006">
        <v>7952149</v>
      </c>
      <c r="N1006" t="s">
        <v>34</v>
      </c>
      <c r="O1006">
        <v>3.11</v>
      </c>
      <c r="P1006">
        <v>27</v>
      </c>
      <c r="Q1006">
        <v>3</v>
      </c>
      <c r="R1006">
        <v>5</v>
      </c>
      <c r="S1006">
        <v>0</v>
      </c>
      <c r="T1006" t="s">
        <v>33</v>
      </c>
      <c r="U1006" t="s">
        <v>33</v>
      </c>
      <c r="V1006" t="s">
        <v>44</v>
      </c>
      <c r="W1006" t="s">
        <v>34</v>
      </c>
      <c r="X1006" t="s">
        <v>45</v>
      </c>
      <c r="Y1006" t="s">
        <v>75</v>
      </c>
      <c r="Z1006" t="str">
        <f>IF(Table1[[#This Row],[Age]]&lt;30,"20-29",IF(Table1[[#This Row],[Age]]&lt;40,"30-39",IF(Table1[[#This Row],[Age]]&lt;50,"40-49","50+")))</f>
        <v>50+</v>
      </c>
      <c r="AA1006" t="str">
        <f>IF(Table1[[#This Row],[Salary]]&lt;20000000,"low",IF(Table1[[#This Row],[Salary]]&lt;40000000,"medium","high"))</f>
        <v>medium</v>
      </c>
      <c r="AB1006">
        <f>YEAR(Table1[[#This Row],[Hire Date]])</f>
        <v>2025</v>
      </c>
      <c r="AC1006" t="str">
        <f>TEXT(Table1[[#This Row],[Hire Date]],"mmmm")</f>
        <v>آوريل</v>
      </c>
      <c r="AD1006" t="str">
        <f>IF(Table1[[#This Row],[Resigned]]="yes","former","active")</f>
        <v>former</v>
      </c>
    </row>
    <row r="1007" spans="1:30" x14ac:dyDescent="0.3">
      <c r="A1007" t="s">
        <v>2079</v>
      </c>
      <c r="B1007" t="s">
        <v>2080</v>
      </c>
      <c r="C1007" t="s">
        <v>39</v>
      </c>
      <c r="D1007">
        <v>57</v>
      </c>
      <c r="E1007" t="s">
        <v>110</v>
      </c>
      <c r="F1007" t="s">
        <v>120</v>
      </c>
      <c r="G1007" t="s">
        <v>49</v>
      </c>
      <c r="H1007" t="s">
        <v>31</v>
      </c>
      <c r="I1007" t="s">
        <v>43</v>
      </c>
      <c r="J1007" s="1">
        <v>42451</v>
      </c>
      <c r="K1007">
        <v>10</v>
      </c>
      <c r="L1007">
        <v>48869732</v>
      </c>
      <c r="M1007">
        <v>2007285</v>
      </c>
      <c r="N1007" t="s">
        <v>34</v>
      </c>
      <c r="O1007">
        <v>2.71</v>
      </c>
      <c r="P1007">
        <v>68</v>
      </c>
      <c r="Q1007">
        <v>4</v>
      </c>
      <c r="R1007">
        <v>2</v>
      </c>
      <c r="S1007">
        <v>11</v>
      </c>
      <c r="T1007" t="s">
        <v>34</v>
      </c>
      <c r="U1007" t="s">
        <v>33</v>
      </c>
      <c r="V1007" t="s">
        <v>59</v>
      </c>
      <c r="W1007" t="s">
        <v>33</v>
      </c>
      <c r="X1007" t="s">
        <v>45</v>
      </c>
      <c r="Y1007" t="s">
        <v>60</v>
      </c>
      <c r="Z1007" t="str">
        <f>IF(Table1[[#This Row],[Age]]&lt;30,"20-29",IF(Table1[[#This Row],[Age]]&lt;40,"30-39",IF(Table1[[#This Row],[Age]]&lt;50,"40-49","50+")))</f>
        <v>50+</v>
      </c>
      <c r="AA1007" t="str">
        <f>IF(Table1[[#This Row],[Salary]]&lt;20000000,"low",IF(Table1[[#This Row],[Salary]]&lt;40000000,"medium","high"))</f>
        <v>high</v>
      </c>
      <c r="AB1007">
        <f>YEAR(Table1[[#This Row],[Hire Date]])</f>
        <v>2016</v>
      </c>
      <c r="AC1007" t="str">
        <f>TEXT(Table1[[#This Row],[Hire Date]],"mmmm")</f>
        <v>مارس</v>
      </c>
      <c r="AD1007" t="str">
        <f>IF(Table1[[#This Row],[Resigned]]="yes","former","active")</f>
        <v>former</v>
      </c>
    </row>
    <row r="1008" spans="1:30" x14ac:dyDescent="0.3">
      <c r="A1008" t="s">
        <v>2081</v>
      </c>
      <c r="B1008" t="s">
        <v>2082</v>
      </c>
      <c r="C1008" t="s">
        <v>39</v>
      </c>
      <c r="D1008">
        <v>28</v>
      </c>
      <c r="E1008" t="s">
        <v>28</v>
      </c>
      <c r="F1008" t="s">
        <v>29</v>
      </c>
      <c r="G1008" t="s">
        <v>30</v>
      </c>
      <c r="H1008" t="s">
        <v>31</v>
      </c>
      <c r="I1008" t="s">
        <v>65</v>
      </c>
      <c r="J1008" s="1">
        <v>45747</v>
      </c>
      <c r="K1008">
        <v>1</v>
      </c>
      <c r="L1008">
        <v>37514661</v>
      </c>
      <c r="M1008">
        <v>364307</v>
      </c>
      <c r="N1008" t="s">
        <v>34</v>
      </c>
      <c r="O1008">
        <v>4.41</v>
      </c>
      <c r="P1008">
        <v>49</v>
      </c>
      <c r="Q1008">
        <v>3</v>
      </c>
      <c r="R1008">
        <v>5</v>
      </c>
      <c r="S1008">
        <v>16</v>
      </c>
      <c r="T1008" t="s">
        <v>33</v>
      </c>
      <c r="U1008" t="s">
        <v>34</v>
      </c>
      <c r="V1008" t="s">
        <v>51</v>
      </c>
      <c r="W1008" t="s">
        <v>33</v>
      </c>
      <c r="X1008" t="s">
        <v>45</v>
      </c>
      <c r="Z1008" t="str">
        <f>IF(Table1[[#This Row],[Age]]&lt;30,"20-29",IF(Table1[[#This Row],[Age]]&lt;40,"30-39",IF(Table1[[#This Row],[Age]]&lt;50,"40-49","50+")))</f>
        <v>20-29</v>
      </c>
      <c r="AA1008" t="str">
        <f>IF(Table1[[#This Row],[Salary]]&lt;20000000,"low",IF(Table1[[#This Row],[Salary]]&lt;40000000,"medium","high"))</f>
        <v>medium</v>
      </c>
      <c r="AB1008">
        <f>YEAR(Table1[[#This Row],[Hire Date]])</f>
        <v>2025</v>
      </c>
      <c r="AC1008" t="str">
        <f>TEXT(Table1[[#This Row],[Hire Date]],"mmmm")</f>
        <v>مارس</v>
      </c>
      <c r="AD1008" t="str">
        <f>IF(Table1[[#This Row],[Resigned]]="yes","former","active")</f>
        <v>active</v>
      </c>
    </row>
    <row r="1009" spans="1:30" x14ac:dyDescent="0.3">
      <c r="A1009" t="s">
        <v>2083</v>
      </c>
      <c r="B1009" t="s">
        <v>2084</v>
      </c>
      <c r="C1009" t="s">
        <v>39</v>
      </c>
      <c r="D1009">
        <v>47</v>
      </c>
      <c r="E1009" t="s">
        <v>110</v>
      </c>
      <c r="F1009" t="s">
        <v>111</v>
      </c>
      <c r="G1009" t="s">
        <v>30</v>
      </c>
      <c r="H1009" t="s">
        <v>31</v>
      </c>
      <c r="I1009" t="s">
        <v>50</v>
      </c>
      <c r="J1009" s="1">
        <v>43503</v>
      </c>
      <c r="K1009">
        <v>7</v>
      </c>
      <c r="L1009">
        <v>30648911</v>
      </c>
      <c r="M1009">
        <v>6654984</v>
      </c>
      <c r="N1009" t="s">
        <v>33</v>
      </c>
      <c r="O1009">
        <v>4.6500000000000004</v>
      </c>
      <c r="P1009">
        <v>21</v>
      </c>
      <c r="Q1009">
        <v>4</v>
      </c>
      <c r="R1009">
        <v>5</v>
      </c>
      <c r="S1009">
        <v>10</v>
      </c>
      <c r="T1009" t="s">
        <v>34</v>
      </c>
      <c r="U1009" t="s">
        <v>34</v>
      </c>
      <c r="V1009" t="s">
        <v>44</v>
      </c>
      <c r="W1009" t="s">
        <v>34</v>
      </c>
      <c r="X1009" t="s">
        <v>36</v>
      </c>
      <c r="Z1009" t="str">
        <f>IF(Table1[[#This Row],[Age]]&lt;30,"20-29",IF(Table1[[#This Row],[Age]]&lt;40,"30-39",IF(Table1[[#This Row],[Age]]&lt;50,"40-49","50+")))</f>
        <v>40-49</v>
      </c>
      <c r="AA1009" t="str">
        <f>IF(Table1[[#This Row],[Salary]]&lt;20000000,"low",IF(Table1[[#This Row],[Salary]]&lt;40000000,"medium","high"))</f>
        <v>medium</v>
      </c>
      <c r="AB1009">
        <f>YEAR(Table1[[#This Row],[Hire Date]])</f>
        <v>2019</v>
      </c>
      <c r="AC1009" t="str">
        <f>TEXT(Table1[[#This Row],[Hire Date]],"mmmm")</f>
        <v>فوريه</v>
      </c>
      <c r="AD1009" t="str">
        <f>IF(Table1[[#This Row],[Resigned]]="yes","former","active")</f>
        <v>active</v>
      </c>
    </row>
    <row r="1010" spans="1:30" x14ac:dyDescent="0.3">
      <c r="A1010" t="s">
        <v>2085</v>
      </c>
      <c r="B1010" t="s">
        <v>2086</v>
      </c>
      <c r="C1010" t="s">
        <v>27</v>
      </c>
      <c r="D1010">
        <v>48</v>
      </c>
      <c r="E1010" t="s">
        <v>110</v>
      </c>
      <c r="F1010" t="s">
        <v>111</v>
      </c>
      <c r="G1010" t="s">
        <v>49</v>
      </c>
      <c r="H1010" t="s">
        <v>42</v>
      </c>
      <c r="I1010" t="s">
        <v>81</v>
      </c>
      <c r="J1010" s="1">
        <v>44319</v>
      </c>
      <c r="K1010">
        <v>5</v>
      </c>
      <c r="L1010">
        <v>48863209</v>
      </c>
      <c r="M1010">
        <v>737322</v>
      </c>
      <c r="N1010" t="s">
        <v>34</v>
      </c>
      <c r="O1010">
        <v>3.36</v>
      </c>
      <c r="P1010">
        <v>58</v>
      </c>
      <c r="Q1010">
        <v>2</v>
      </c>
      <c r="R1010">
        <v>1</v>
      </c>
      <c r="S1010">
        <v>17</v>
      </c>
      <c r="T1010" t="s">
        <v>33</v>
      </c>
      <c r="U1010" t="s">
        <v>33</v>
      </c>
      <c r="V1010" t="s">
        <v>44</v>
      </c>
      <c r="W1010" t="s">
        <v>34</v>
      </c>
      <c r="X1010" t="s">
        <v>45</v>
      </c>
      <c r="Y1010" t="s">
        <v>162</v>
      </c>
      <c r="Z1010" t="str">
        <f>IF(Table1[[#This Row],[Age]]&lt;30,"20-29",IF(Table1[[#This Row],[Age]]&lt;40,"30-39",IF(Table1[[#This Row],[Age]]&lt;50,"40-49","50+")))</f>
        <v>40-49</v>
      </c>
      <c r="AA1010" t="str">
        <f>IF(Table1[[#This Row],[Salary]]&lt;20000000,"low",IF(Table1[[#This Row],[Salary]]&lt;40000000,"medium","high"))</f>
        <v>high</v>
      </c>
      <c r="AB1010">
        <f>YEAR(Table1[[#This Row],[Hire Date]])</f>
        <v>2021</v>
      </c>
      <c r="AC1010" t="str">
        <f>TEXT(Table1[[#This Row],[Hire Date]],"mmmm")</f>
        <v>مه</v>
      </c>
      <c r="AD1010" t="str">
        <f>IF(Table1[[#This Row],[Resigned]]="yes","former","active")</f>
        <v>former</v>
      </c>
    </row>
    <row r="1011" spans="1:30" x14ac:dyDescent="0.3">
      <c r="A1011" t="s">
        <v>2087</v>
      </c>
      <c r="B1011" t="s">
        <v>2088</v>
      </c>
      <c r="C1011" t="s">
        <v>27</v>
      </c>
      <c r="D1011">
        <v>55</v>
      </c>
      <c r="E1011" t="s">
        <v>63</v>
      </c>
      <c r="F1011" t="s">
        <v>93</v>
      </c>
      <c r="G1011" t="s">
        <v>58</v>
      </c>
      <c r="H1011" t="s">
        <v>31</v>
      </c>
      <c r="I1011" t="s">
        <v>81</v>
      </c>
      <c r="J1011" s="1">
        <v>42656</v>
      </c>
      <c r="K1011">
        <v>10</v>
      </c>
      <c r="L1011">
        <v>20408581</v>
      </c>
      <c r="M1011">
        <v>5603222</v>
      </c>
      <c r="N1011" t="s">
        <v>34</v>
      </c>
      <c r="O1011">
        <v>3.66</v>
      </c>
      <c r="P1011">
        <v>0</v>
      </c>
      <c r="Q1011">
        <v>4</v>
      </c>
      <c r="R1011">
        <v>2</v>
      </c>
      <c r="S1011">
        <v>13</v>
      </c>
      <c r="T1011" t="s">
        <v>34</v>
      </c>
      <c r="U1011" t="s">
        <v>34</v>
      </c>
      <c r="V1011" t="s">
        <v>51</v>
      </c>
      <c r="W1011" t="s">
        <v>34</v>
      </c>
      <c r="X1011" t="s">
        <v>45</v>
      </c>
      <c r="Z1011" t="str">
        <f>IF(Table1[[#This Row],[Age]]&lt;30,"20-29",IF(Table1[[#This Row],[Age]]&lt;40,"30-39",IF(Table1[[#This Row],[Age]]&lt;50,"40-49","50+")))</f>
        <v>50+</v>
      </c>
      <c r="AA1011" t="str">
        <f>IF(Table1[[#This Row],[Salary]]&lt;20000000,"low",IF(Table1[[#This Row],[Salary]]&lt;40000000,"medium","high"))</f>
        <v>medium</v>
      </c>
      <c r="AB1011">
        <f>YEAR(Table1[[#This Row],[Hire Date]])</f>
        <v>2016</v>
      </c>
      <c r="AC1011" t="str">
        <f>TEXT(Table1[[#This Row],[Hire Date]],"mmmm")</f>
        <v>اُكتبر</v>
      </c>
      <c r="AD1011" t="str">
        <f>IF(Table1[[#This Row],[Resigned]]="yes","former","active")</f>
        <v>active</v>
      </c>
    </row>
    <row r="1012" spans="1:30" x14ac:dyDescent="0.3">
      <c r="A1012" t="s">
        <v>2089</v>
      </c>
      <c r="B1012" t="s">
        <v>2090</v>
      </c>
      <c r="C1012" t="s">
        <v>27</v>
      </c>
      <c r="D1012">
        <v>26</v>
      </c>
      <c r="E1012" t="s">
        <v>40</v>
      </c>
      <c r="F1012" t="s">
        <v>48</v>
      </c>
      <c r="G1012" t="s">
        <v>58</v>
      </c>
      <c r="H1012" t="s">
        <v>42</v>
      </c>
      <c r="I1012" t="s">
        <v>65</v>
      </c>
      <c r="J1012" s="1">
        <v>44082</v>
      </c>
      <c r="K1012">
        <v>6</v>
      </c>
      <c r="L1012">
        <v>46278604</v>
      </c>
      <c r="M1012">
        <v>6974912</v>
      </c>
      <c r="N1012" t="s">
        <v>34</v>
      </c>
      <c r="O1012">
        <v>4.3600000000000003</v>
      </c>
      <c r="P1012">
        <v>14</v>
      </c>
      <c r="Q1012">
        <v>3</v>
      </c>
      <c r="R1012">
        <v>1</v>
      </c>
      <c r="S1012">
        <v>4</v>
      </c>
      <c r="T1012" t="s">
        <v>34</v>
      </c>
      <c r="U1012" t="s">
        <v>34</v>
      </c>
      <c r="V1012" t="s">
        <v>70</v>
      </c>
      <c r="W1012" t="s">
        <v>33</v>
      </c>
      <c r="X1012" t="s">
        <v>36</v>
      </c>
      <c r="Z1012" t="str">
        <f>IF(Table1[[#This Row],[Age]]&lt;30,"20-29",IF(Table1[[#This Row],[Age]]&lt;40,"30-39",IF(Table1[[#This Row],[Age]]&lt;50,"40-49","50+")))</f>
        <v>20-29</v>
      </c>
      <c r="AA1012" t="str">
        <f>IF(Table1[[#This Row],[Salary]]&lt;20000000,"low",IF(Table1[[#This Row],[Salary]]&lt;40000000,"medium","high"))</f>
        <v>high</v>
      </c>
      <c r="AB1012">
        <f>YEAR(Table1[[#This Row],[Hire Date]])</f>
        <v>2020</v>
      </c>
      <c r="AC1012" t="str">
        <f>TEXT(Table1[[#This Row],[Hire Date]],"mmmm")</f>
        <v>سپتامبر</v>
      </c>
      <c r="AD1012" t="str">
        <f>IF(Table1[[#This Row],[Resigned]]="yes","former","active")</f>
        <v>active</v>
      </c>
    </row>
    <row r="1013" spans="1:30" x14ac:dyDescent="0.3">
      <c r="A1013" t="s">
        <v>2091</v>
      </c>
      <c r="B1013" t="s">
        <v>2092</v>
      </c>
      <c r="C1013" t="s">
        <v>27</v>
      </c>
      <c r="D1013">
        <v>30</v>
      </c>
      <c r="E1013" t="s">
        <v>73</v>
      </c>
      <c r="F1013" t="s">
        <v>127</v>
      </c>
      <c r="G1013" t="s">
        <v>49</v>
      </c>
      <c r="H1013" t="s">
        <v>42</v>
      </c>
      <c r="I1013" t="s">
        <v>50</v>
      </c>
      <c r="J1013" s="1">
        <v>44183</v>
      </c>
      <c r="K1013">
        <v>6</v>
      </c>
      <c r="L1013">
        <v>15546295</v>
      </c>
      <c r="M1013">
        <v>4413875</v>
      </c>
      <c r="N1013" t="s">
        <v>33</v>
      </c>
      <c r="O1013">
        <v>3.74</v>
      </c>
      <c r="P1013">
        <v>9</v>
      </c>
      <c r="Q1013">
        <v>2</v>
      </c>
      <c r="R1013">
        <v>3</v>
      </c>
      <c r="S1013">
        <v>8</v>
      </c>
      <c r="T1013" t="s">
        <v>33</v>
      </c>
      <c r="U1013" t="s">
        <v>34</v>
      </c>
      <c r="V1013" t="s">
        <v>35</v>
      </c>
      <c r="W1013" t="s">
        <v>34</v>
      </c>
      <c r="X1013" t="s">
        <v>45</v>
      </c>
      <c r="Z1013" t="str">
        <f>IF(Table1[[#This Row],[Age]]&lt;30,"20-29",IF(Table1[[#This Row],[Age]]&lt;40,"30-39",IF(Table1[[#This Row],[Age]]&lt;50,"40-49","50+")))</f>
        <v>30-39</v>
      </c>
      <c r="AA1013" t="str">
        <f>IF(Table1[[#This Row],[Salary]]&lt;20000000,"low",IF(Table1[[#This Row],[Salary]]&lt;40000000,"medium","high"))</f>
        <v>low</v>
      </c>
      <c r="AB1013">
        <f>YEAR(Table1[[#This Row],[Hire Date]])</f>
        <v>2020</v>
      </c>
      <c r="AC1013" t="str">
        <f>TEXT(Table1[[#This Row],[Hire Date]],"mmmm")</f>
        <v>دسامبر</v>
      </c>
      <c r="AD1013" t="str">
        <f>IF(Table1[[#This Row],[Resigned]]="yes","former","active")</f>
        <v>active</v>
      </c>
    </row>
    <row r="1014" spans="1:30" x14ac:dyDescent="0.3">
      <c r="A1014" t="s">
        <v>2093</v>
      </c>
      <c r="B1014" t="s">
        <v>2094</v>
      </c>
      <c r="C1014" t="s">
        <v>27</v>
      </c>
      <c r="D1014">
        <v>55</v>
      </c>
      <c r="E1014" t="s">
        <v>63</v>
      </c>
      <c r="F1014" t="s">
        <v>64</v>
      </c>
      <c r="G1014" t="s">
        <v>58</v>
      </c>
      <c r="H1014" t="s">
        <v>42</v>
      </c>
      <c r="I1014" t="s">
        <v>32</v>
      </c>
      <c r="J1014" s="1">
        <v>43988</v>
      </c>
      <c r="K1014">
        <v>6</v>
      </c>
      <c r="L1014">
        <v>58981947</v>
      </c>
      <c r="M1014">
        <v>4899659</v>
      </c>
      <c r="N1014" t="s">
        <v>34</v>
      </c>
      <c r="O1014">
        <v>3.82</v>
      </c>
      <c r="P1014">
        <v>33</v>
      </c>
      <c r="Q1014">
        <v>5</v>
      </c>
      <c r="R1014">
        <v>2</v>
      </c>
      <c r="S1014">
        <v>11</v>
      </c>
      <c r="T1014" t="s">
        <v>34</v>
      </c>
      <c r="U1014" t="s">
        <v>34</v>
      </c>
      <c r="V1014" t="s">
        <v>59</v>
      </c>
      <c r="W1014" t="s">
        <v>33</v>
      </c>
      <c r="X1014" t="s">
        <v>36</v>
      </c>
      <c r="Z1014" t="str">
        <f>IF(Table1[[#This Row],[Age]]&lt;30,"20-29",IF(Table1[[#This Row],[Age]]&lt;40,"30-39",IF(Table1[[#This Row],[Age]]&lt;50,"40-49","50+")))</f>
        <v>50+</v>
      </c>
      <c r="AA1014" t="str">
        <f>IF(Table1[[#This Row],[Salary]]&lt;20000000,"low",IF(Table1[[#This Row],[Salary]]&lt;40000000,"medium","high"))</f>
        <v>high</v>
      </c>
      <c r="AB1014">
        <f>YEAR(Table1[[#This Row],[Hire Date]])</f>
        <v>2020</v>
      </c>
      <c r="AC1014" t="str">
        <f>TEXT(Table1[[#This Row],[Hire Date]],"mmmm")</f>
        <v>ژوئن</v>
      </c>
      <c r="AD1014" t="str">
        <f>IF(Table1[[#This Row],[Resigned]]="yes","former","active")</f>
        <v>active</v>
      </c>
    </row>
    <row r="1015" spans="1:30" x14ac:dyDescent="0.3">
      <c r="A1015" t="s">
        <v>2095</v>
      </c>
      <c r="B1015" t="s">
        <v>2096</v>
      </c>
      <c r="C1015" t="s">
        <v>27</v>
      </c>
      <c r="D1015">
        <v>44</v>
      </c>
      <c r="E1015" t="s">
        <v>110</v>
      </c>
      <c r="F1015" t="s">
        <v>111</v>
      </c>
      <c r="G1015" t="s">
        <v>30</v>
      </c>
      <c r="H1015" t="s">
        <v>42</v>
      </c>
      <c r="I1015" t="s">
        <v>43</v>
      </c>
      <c r="J1015" s="1">
        <v>42705</v>
      </c>
      <c r="K1015">
        <v>10</v>
      </c>
      <c r="L1015">
        <v>20403769</v>
      </c>
      <c r="M1015">
        <v>7276356</v>
      </c>
      <c r="N1015" t="s">
        <v>34</v>
      </c>
      <c r="O1015">
        <v>3.01</v>
      </c>
      <c r="P1015">
        <v>66</v>
      </c>
      <c r="Q1015">
        <v>3</v>
      </c>
      <c r="R1015">
        <v>5</v>
      </c>
      <c r="S1015">
        <v>1</v>
      </c>
      <c r="T1015" t="s">
        <v>33</v>
      </c>
      <c r="U1015" t="s">
        <v>34</v>
      </c>
      <c r="V1015" t="s">
        <v>59</v>
      </c>
      <c r="W1015" t="s">
        <v>33</v>
      </c>
      <c r="X1015" t="s">
        <v>45</v>
      </c>
      <c r="Z1015" t="str">
        <f>IF(Table1[[#This Row],[Age]]&lt;30,"20-29",IF(Table1[[#This Row],[Age]]&lt;40,"30-39",IF(Table1[[#This Row],[Age]]&lt;50,"40-49","50+")))</f>
        <v>40-49</v>
      </c>
      <c r="AA1015" t="str">
        <f>IF(Table1[[#This Row],[Salary]]&lt;20000000,"low",IF(Table1[[#This Row],[Salary]]&lt;40000000,"medium","high"))</f>
        <v>medium</v>
      </c>
      <c r="AB1015">
        <f>YEAR(Table1[[#This Row],[Hire Date]])</f>
        <v>2016</v>
      </c>
      <c r="AC1015" t="str">
        <f>TEXT(Table1[[#This Row],[Hire Date]],"mmmm")</f>
        <v>دسامبر</v>
      </c>
      <c r="AD1015" t="str">
        <f>IF(Table1[[#This Row],[Resigned]]="yes","former","active")</f>
        <v>active</v>
      </c>
    </row>
    <row r="1016" spans="1:30" x14ac:dyDescent="0.3">
      <c r="A1016" t="s">
        <v>2097</v>
      </c>
      <c r="B1016" t="s">
        <v>2098</v>
      </c>
      <c r="C1016" t="s">
        <v>27</v>
      </c>
      <c r="D1016">
        <v>37</v>
      </c>
      <c r="E1016" t="s">
        <v>63</v>
      </c>
      <c r="F1016" t="s">
        <v>93</v>
      </c>
      <c r="G1016" t="s">
        <v>49</v>
      </c>
      <c r="H1016" t="s">
        <v>31</v>
      </c>
      <c r="I1016" t="s">
        <v>50</v>
      </c>
      <c r="J1016" s="1">
        <v>42503</v>
      </c>
      <c r="K1016">
        <v>10</v>
      </c>
      <c r="L1016">
        <v>37595093</v>
      </c>
      <c r="M1016">
        <v>803720</v>
      </c>
      <c r="N1016" t="s">
        <v>33</v>
      </c>
      <c r="O1016">
        <v>3.98</v>
      </c>
      <c r="P1016">
        <v>69</v>
      </c>
      <c r="Q1016">
        <v>1</v>
      </c>
      <c r="R1016">
        <v>3</v>
      </c>
      <c r="S1016">
        <v>20</v>
      </c>
      <c r="T1016" t="s">
        <v>33</v>
      </c>
      <c r="U1016" t="s">
        <v>33</v>
      </c>
      <c r="V1016" t="s">
        <v>51</v>
      </c>
      <c r="W1016" t="s">
        <v>33</v>
      </c>
      <c r="X1016" t="s">
        <v>45</v>
      </c>
      <c r="Y1016" t="s">
        <v>60</v>
      </c>
      <c r="Z1016" t="str">
        <f>IF(Table1[[#This Row],[Age]]&lt;30,"20-29",IF(Table1[[#This Row],[Age]]&lt;40,"30-39",IF(Table1[[#This Row],[Age]]&lt;50,"40-49","50+")))</f>
        <v>30-39</v>
      </c>
      <c r="AA1016" t="str">
        <f>IF(Table1[[#This Row],[Salary]]&lt;20000000,"low",IF(Table1[[#This Row],[Salary]]&lt;40000000,"medium","high"))</f>
        <v>medium</v>
      </c>
      <c r="AB1016">
        <f>YEAR(Table1[[#This Row],[Hire Date]])</f>
        <v>2016</v>
      </c>
      <c r="AC1016" t="str">
        <f>TEXT(Table1[[#This Row],[Hire Date]],"mmmm")</f>
        <v>مه</v>
      </c>
      <c r="AD1016" t="str">
        <f>IF(Table1[[#This Row],[Resigned]]="yes","former","active")</f>
        <v>former</v>
      </c>
    </row>
    <row r="1017" spans="1:30" x14ac:dyDescent="0.3">
      <c r="A1017" t="s">
        <v>2099</v>
      </c>
      <c r="B1017" t="s">
        <v>2100</v>
      </c>
      <c r="C1017" t="s">
        <v>39</v>
      </c>
      <c r="D1017">
        <v>24</v>
      </c>
      <c r="E1017" t="s">
        <v>73</v>
      </c>
      <c r="F1017" t="s">
        <v>74</v>
      </c>
      <c r="G1017" t="s">
        <v>49</v>
      </c>
      <c r="H1017" t="s">
        <v>31</v>
      </c>
      <c r="I1017" t="s">
        <v>50</v>
      </c>
      <c r="J1017" s="1">
        <v>43109</v>
      </c>
      <c r="K1017">
        <v>8</v>
      </c>
      <c r="L1017">
        <v>16649238</v>
      </c>
      <c r="M1017">
        <v>7747857</v>
      </c>
      <c r="N1017" t="s">
        <v>33</v>
      </c>
      <c r="O1017">
        <v>2.61</v>
      </c>
      <c r="P1017">
        <v>38</v>
      </c>
      <c r="Q1017">
        <v>4</v>
      </c>
      <c r="R1017">
        <v>5</v>
      </c>
      <c r="S1017">
        <v>0</v>
      </c>
      <c r="T1017" t="s">
        <v>33</v>
      </c>
      <c r="U1017" t="s">
        <v>34</v>
      </c>
      <c r="V1017" t="s">
        <v>51</v>
      </c>
      <c r="W1017" t="s">
        <v>33</v>
      </c>
      <c r="X1017" t="s">
        <v>45</v>
      </c>
      <c r="Z1017" t="str">
        <f>IF(Table1[[#This Row],[Age]]&lt;30,"20-29",IF(Table1[[#This Row],[Age]]&lt;40,"30-39",IF(Table1[[#This Row],[Age]]&lt;50,"40-49","50+")))</f>
        <v>20-29</v>
      </c>
      <c r="AA1017" t="str">
        <f>IF(Table1[[#This Row],[Salary]]&lt;20000000,"low",IF(Table1[[#This Row],[Salary]]&lt;40000000,"medium","high"))</f>
        <v>low</v>
      </c>
      <c r="AB1017">
        <f>YEAR(Table1[[#This Row],[Hire Date]])</f>
        <v>2018</v>
      </c>
      <c r="AC1017" t="str">
        <f>TEXT(Table1[[#This Row],[Hire Date]],"mmmm")</f>
        <v>ژانويه</v>
      </c>
      <c r="AD1017" t="str">
        <f>IF(Table1[[#This Row],[Resigned]]="yes","former","active")</f>
        <v>active</v>
      </c>
    </row>
    <row r="1018" spans="1:30" x14ac:dyDescent="0.3">
      <c r="A1018" t="s">
        <v>2101</v>
      </c>
      <c r="B1018" t="s">
        <v>2102</v>
      </c>
      <c r="C1018" t="s">
        <v>39</v>
      </c>
      <c r="D1018">
        <v>48</v>
      </c>
      <c r="E1018" t="s">
        <v>110</v>
      </c>
      <c r="F1018" t="s">
        <v>120</v>
      </c>
      <c r="G1018" t="s">
        <v>30</v>
      </c>
      <c r="H1018" t="s">
        <v>31</v>
      </c>
      <c r="I1018" t="s">
        <v>81</v>
      </c>
      <c r="J1018" s="1">
        <v>42676</v>
      </c>
      <c r="K1018">
        <v>10</v>
      </c>
      <c r="L1018">
        <v>58633944</v>
      </c>
      <c r="M1018">
        <v>6045764</v>
      </c>
      <c r="N1018" t="s">
        <v>34</v>
      </c>
      <c r="O1018">
        <v>4.22</v>
      </c>
      <c r="P1018">
        <v>70</v>
      </c>
      <c r="Q1018">
        <v>2</v>
      </c>
      <c r="R1018">
        <v>4</v>
      </c>
      <c r="S1018">
        <v>16</v>
      </c>
      <c r="T1018" t="s">
        <v>33</v>
      </c>
      <c r="U1018" t="s">
        <v>34</v>
      </c>
      <c r="V1018" t="s">
        <v>44</v>
      </c>
      <c r="W1018" t="s">
        <v>34</v>
      </c>
      <c r="X1018" t="s">
        <v>52</v>
      </c>
      <c r="Z1018" t="str">
        <f>IF(Table1[[#This Row],[Age]]&lt;30,"20-29",IF(Table1[[#This Row],[Age]]&lt;40,"30-39",IF(Table1[[#This Row],[Age]]&lt;50,"40-49","50+")))</f>
        <v>40-49</v>
      </c>
      <c r="AA1018" t="str">
        <f>IF(Table1[[#This Row],[Salary]]&lt;20000000,"low",IF(Table1[[#This Row],[Salary]]&lt;40000000,"medium","high"))</f>
        <v>high</v>
      </c>
      <c r="AB1018">
        <f>YEAR(Table1[[#This Row],[Hire Date]])</f>
        <v>2016</v>
      </c>
      <c r="AC1018" t="str">
        <f>TEXT(Table1[[#This Row],[Hire Date]],"mmmm")</f>
        <v>نوامبر</v>
      </c>
      <c r="AD1018" t="str">
        <f>IF(Table1[[#This Row],[Resigned]]="yes","former","active")</f>
        <v>active</v>
      </c>
    </row>
    <row r="1019" spans="1:30" x14ac:dyDescent="0.3">
      <c r="A1019" t="s">
        <v>2103</v>
      </c>
      <c r="B1019" t="s">
        <v>2104</v>
      </c>
      <c r="C1019" t="s">
        <v>39</v>
      </c>
      <c r="D1019">
        <v>31</v>
      </c>
      <c r="E1019" t="s">
        <v>40</v>
      </c>
      <c r="F1019" t="s">
        <v>48</v>
      </c>
      <c r="G1019" t="s">
        <v>58</v>
      </c>
      <c r="H1019" t="s">
        <v>31</v>
      </c>
      <c r="I1019" t="s">
        <v>81</v>
      </c>
      <c r="J1019" s="1">
        <v>43450</v>
      </c>
      <c r="K1019">
        <v>8</v>
      </c>
      <c r="L1019">
        <v>25773584</v>
      </c>
      <c r="M1019">
        <v>3859562</v>
      </c>
      <c r="N1019" t="s">
        <v>34</v>
      </c>
      <c r="O1019">
        <v>2.87</v>
      </c>
      <c r="P1019">
        <v>70</v>
      </c>
      <c r="Q1019">
        <v>4</v>
      </c>
      <c r="R1019">
        <v>5</v>
      </c>
      <c r="S1019">
        <v>5</v>
      </c>
      <c r="T1019" t="s">
        <v>34</v>
      </c>
      <c r="U1019" t="s">
        <v>34</v>
      </c>
      <c r="V1019" t="s">
        <v>51</v>
      </c>
      <c r="W1019" t="s">
        <v>33</v>
      </c>
      <c r="X1019" t="s">
        <v>36</v>
      </c>
      <c r="Z1019" t="str">
        <f>IF(Table1[[#This Row],[Age]]&lt;30,"20-29",IF(Table1[[#This Row],[Age]]&lt;40,"30-39",IF(Table1[[#This Row],[Age]]&lt;50,"40-49","50+")))</f>
        <v>30-39</v>
      </c>
      <c r="AA1019" t="str">
        <f>IF(Table1[[#This Row],[Salary]]&lt;20000000,"low",IF(Table1[[#This Row],[Salary]]&lt;40000000,"medium","high"))</f>
        <v>medium</v>
      </c>
      <c r="AB1019">
        <f>YEAR(Table1[[#This Row],[Hire Date]])</f>
        <v>2018</v>
      </c>
      <c r="AC1019" t="str">
        <f>TEXT(Table1[[#This Row],[Hire Date]],"mmmm")</f>
        <v>دسامبر</v>
      </c>
      <c r="AD1019" t="str">
        <f>IF(Table1[[#This Row],[Resigned]]="yes","former","active")</f>
        <v>active</v>
      </c>
    </row>
    <row r="1020" spans="1:30" x14ac:dyDescent="0.3">
      <c r="A1020" t="s">
        <v>2105</v>
      </c>
      <c r="B1020" t="s">
        <v>2106</v>
      </c>
      <c r="C1020" t="s">
        <v>39</v>
      </c>
      <c r="D1020">
        <v>31</v>
      </c>
      <c r="E1020" t="s">
        <v>73</v>
      </c>
      <c r="F1020" t="s">
        <v>127</v>
      </c>
      <c r="G1020" t="s">
        <v>58</v>
      </c>
      <c r="H1020" t="s">
        <v>42</v>
      </c>
      <c r="I1020" t="s">
        <v>43</v>
      </c>
      <c r="J1020" s="1">
        <v>44189</v>
      </c>
      <c r="K1020">
        <v>6</v>
      </c>
      <c r="L1020">
        <v>53671009</v>
      </c>
      <c r="M1020">
        <v>2593293</v>
      </c>
      <c r="N1020" t="s">
        <v>33</v>
      </c>
      <c r="O1020">
        <v>4.66</v>
      </c>
      <c r="P1020">
        <v>57</v>
      </c>
      <c r="Q1020">
        <v>1</v>
      </c>
      <c r="R1020">
        <v>1</v>
      </c>
      <c r="S1020">
        <v>14</v>
      </c>
      <c r="T1020" t="s">
        <v>33</v>
      </c>
      <c r="U1020" t="s">
        <v>34</v>
      </c>
      <c r="V1020" t="s">
        <v>35</v>
      </c>
      <c r="W1020" t="s">
        <v>33</v>
      </c>
      <c r="X1020" t="s">
        <v>45</v>
      </c>
      <c r="Z1020" t="str">
        <f>IF(Table1[[#This Row],[Age]]&lt;30,"20-29",IF(Table1[[#This Row],[Age]]&lt;40,"30-39",IF(Table1[[#This Row],[Age]]&lt;50,"40-49","50+")))</f>
        <v>30-39</v>
      </c>
      <c r="AA1020" t="str">
        <f>IF(Table1[[#This Row],[Salary]]&lt;20000000,"low",IF(Table1[[#This Row],[Salary]]&lt;40000000,"medium","high"))</f>
        <v>high</v>
      </c>
      <c r="AB1020">
        <f>YEAR(Table1[[#This Row],[Hire Date]])</f>
        <v>2020</v>
      </c>
      <c r="AC1020" t="str">
        <f>TEXT(Table1[[#This Row],[Hire Date]],"mmmm")</f>
        <v>دسامبر</v>
      </c>
      <c r="AD1020" t="str">
        <f>IF(Table1[[#This Row],[Resigned]]="yes","former","active")</f>
        <v>active</v>
      </c>
    </row>
    <row r="1021" spans="1:30" x14ac:dyDescent="0.3">
      <c r="A1021" t="s">
        <v>2107</v>
      </c>
      <c r="B1021" t="s">
        <v>2108</v>
      </c>
      <c r="C1021" t="s">
        <v>39</v>
      </c>
      <c r="D1021">
        <v>46</v>
      </c>
      <c r="E1021" t="s">
        <v>40</v>
      </c>
      <c r="F1021" t="s">
        <v>41</v>
      </c>
      <c r="G1021" t="s">
        <v>58</v>
      </c>
      <c r="H1021" t="s">
        <v>31</v>
      </c>
      <c r="I1021" t="s">
        <v>65</v>
      </c>
      <c r="J1021" s="1">
        <v>42499</v>
      </c>
      <c r="K1021">
        <v>10</v>
      </c>
      <c r="L1021">
        <v>51490475</v>
      </c>
      <c r="M1021">
        <v>2181537</v>
      </c>
      <c r="N1021" t="s">
        <v>34</v>
      </c>
      <c r="O1021">
        <v>3.88</v>
      </c>
      <c r="P1021">
        <v>7</v>
      </c>
      <c r="Q1021">
        <v>1</v>
      </c>
      <c r="R1021">
        <v>5</v>
      </c>
      <c r="S1021">
        <v>20</v>
      </c>
      <c r="T1021" t="s">
        <v>33</v>
      </c>
      <c r="U1021" t="s">
        <v>34</v>
      </c>
      <c r="V1021" t="s">
        <v>35</v>
      </c>
      <c r="W1021" t="s">
        <v>34</v>
      </c>
      <c r="X1021" t="s">
        <v>36</v>
      </c>
      <c r="Z1021" t="str">
        <f>IF(Table1[[#This Row],[Age]]&lt;30,"20-29",IF(Table1[[#This Row],[Age]]&lt;40,"30-39",IF(Table1[[#This Row],[Age]]&lt;50,"40-49","50+")))</f>
        <v>40-49</v>
      </c>
      <c r="AA1021" t="str">
        <f>IF(Table1[[#This Row],[Salary]]&lt;20000000,"low",IF(Table1[[#This Row],[Salary]]&lt;40000000,"medium","high"))</f>
        <v>high</v>
      </c>
      <c r="AB1021">
        <f>YEAR(Table1[[#This Row],[Hire Date]])</f>
        <v>2016</v>
      </c>
      <c r="AC1021" t="str">
        <f>TEXT(Table1[[#This Row],[Hire Date]],"mmmm")</f>
        <v>مه</v>
      </c>
      <c r="AD1021" t="str">
        <f>IF(Table1[[#This Row],[Resigned]]="yes","former","active")</f>
        <v>active</v>
      </c>
    </row>
    <row r="1022" spans="1:30" x14ac:dyDescent="0.3">
      <c r="A1022" t="s">
        <v>2109</v>
      </c>
      <c r="B1022" t="s">
        <v>2110</v>
      </c>
      <c r="C1022" t="s">
        <v>39</v>
      </c>
      <c r="D1022">
        <v>32</v>
      </c>
      <c r="E1022" t="s">
        <v>40</v>
      </c>
      <c r="F1022" t="s">
        <v>48</v>
      </c>
      <c r="G1022" t="s">
        <v>30</v>
      </c>
      <c r="H1022" t="s">
        <v>42</v>
      </c>
      <c r="I1022" t="s">
        <v>65</v>
      </c>
      <c r="J1022" s="1">
        <v>42793</v>
      </c>
      <c r="K1022">
        <v>9</v>
      </c>
      <c r="L1022">
        <v>53068187</v>
      </c>
      <c r="M1022">
        <v>6678931</v>
      </c>
      <c r="N1022" t="s">
        <v>33</v>
      </c>
      <c r="O1022">
        <v>4.21</v>
      </c>
      <c r="P1022">
        <v>44</v>
      </c>
      <c r="Q1022">
        <v>4</v>
      </c>
      <c r="R1022">
        <v>1</v>
      </c>
      <c r="S1022">
        <v>12</v>
      </c>
      <c r="T1022" t="s">
        <v>33</v>
      </c>
      <c r="U1022" t="s">
        <v>34</v>
      </c>
      <c r="V1022" t="s">
        <v>59</v>
      </c>
      <c r="W1022" t="s">
        <v>33</v>
      </c>
      <c r="X1022" t="s">
        <v>52</v>
      </c>
      <c r="Z1022" t="str">
        <f>IF(Table1[[#This Row],[Age]]&lt;30,"20-29",IF(Table1[[#This Row],[Age]]&lt;40,"30-39",IF(Table1[[#This Row],[Age]]&lt;50,"40-49","50+")))</f>
        <v>30-39</v>
      </c>
      <c r="AA1022" t="str">
        <f>IF(Table1[[#This Row],[Salary]]&lt;20000000,"low",IF(Table1[[#This Row],[Salary]]&lt;40000000,"medium","high"))</f>
        <v>high</v>
      </c>
      <c r="AB1022">
        <f>YEAR(Table1[[#This Row],[Hire Date]])</f>
        <v>2017</v>
      </c>
      <c r="AC1022" t="str">
        <f>TEXT(Table1[[#This Row],[Hire Date]],"mmmm")</f>
        <v>فوريه</v>
      </c>
      <c r="AD1022" t="str">
        <f>IF(Table1[[#This Row],[Resigned]]="yes","former","active")</f>
        <v>active</v>
      </c>
    </row>
    <row r="1023" spans="1:30" x14ac:dyDescent="0.3">
      <c r="A1023" t="s">
        <v>2111</v>
      </c>
      <c r="B1023" t="s">
        <v>2112</v>
      </c>
      <c r="C1023" t="s">
        <v>27</v>
      </c>
      <c r="D1023">
        <v>46</v>
      </c>
      <c r="E1023" t="s">
        <v>63</v>
      </c>
      <c r="F1023" t="s">
        <v>64</v>
      </c>
      <c r="G1023" t="s">
        <v>49</v>
      </c>
      <c r="H1023" t="s">
        <v>42</v>
      </c>
      <c r="I1023" t="s">
        <v>50</v>
      </c>
      <c r="J1023" s="1">
        <v>43202</v>
      </c>
      <c r="K1023">
        <v>8</v>
      </c>
      <c r="L1023">
        <v>30314390</v>
      </c>
      <c r="M1023">
        <v>6021314</v>
      </c>
      <c r="N1023" t="s">
        <v>33</v>
      </c>
      <c r="O1023">
        <v>2.68</v>
      </c>
      <c r="P1023">
        <v>46</v>
      </c>
      <c r="Q1023">
        <v>2</v>
      </c>
      <c r="R1023">
        <v>4</v>
      </c>
      <c r="S1023">
        <v>13</v>
      </c>
      <c r="T1023" t="s">
        <v>34</v>
      </c>
      <c r="U1023" t="s">
        <v>34</v>
      </c>
      <c r="V1023" t="s">
        <v>70</v>
      </c>
      <c r="W1023" t="s">
        <v>34</v>
      </c>
      <c r="X1023" t="s">
        <v>45</v>
      </c>
      <c r="Z1023" t="str">
        <f>IF(Table1[[#This Row],[Age]]&lt;30,"20-29",IF(Table1[[#This Row],[Age]]&lt;40,"30-39",IF(Table1[[#This Row],[Age]]&lt;50,"40-49","50+")))</f>
        <v>40-49</v>
      </c>
      <c r="AA1023" t="str">
        <f>IF(Table1[[#This Row],[Salary]]&lt;20000000,"low",IF(Table1[[#This Row],[Salary]]&lt;40000000,"medium","high"))</f>
        <v>medium</v>
      </c>
      <c r="AB1023">
        <f>YEAR(Table1[[#This Row],[Hire Date]])</f>
        <v>2018</v>
      </c>
      <c r="AC1023" t="str">
        <f>TEXT(Table1[[#This Row],[Hire Date]],"mmmm")</f>
        <v>آوريل</v>
      </c>
      <c r="AD1023" t="str">
        <f>IF(Table1[[#This Row],[Resigned]]="yes","former","active")</f>
        <v>active</v>
      </c>
    </row>
    <row r="1024" spans="1:30" x14ac:dyDescent="0.3">
      <c r="A1024" t="s">
        <v>2113</v>
      </c>
      <c r="B1024" t="s">
        <v>2114</v>
      </c>
      <c r="C1024" t="s">
        <v>27</v>
      </c>
      <c r="D1024">
        <v>45</v>
      </c>
      <c r="E1024" t="s">
        <v>56</v>
      </c>
      <c r="F1024" t="s">
        <v>84</v>
      </c>
      <c r="G1024" t="s">
        <v>58</v>
      </c>
      <c r="H1024" t="s">
        <v>42</v>
      </c>
      <c r="I1024" t="s">
        <v>50</v>
      </c>
      <c r="J1024" s="1">
        <v>45007</v>
      </c>
      <c r="K1024">
        <v>3</v>
      </c>
      <c r="L1024">
        <v>27252861</v>
      </c>
      <c r="M1024">
        <v>1268038</v>
      </c>
      <c r="N1024" t="s">
        <v>34</v>
      </c>
      <c r="O1024">
        <v>2.88</v>
      </c>
      <c r="P1024">
        <v>60</v>
      </c>
      <c r="Q1024">
        <v>5</v>
      </c>
      <c r="R1024">
        <v>2</v>
      </c>
      <c r="S1024">
        <v>3</v>
      </c>
      <c r="T1024" t="s">
        <v>33</v>
      </c>
      <c r="U1024" t="s">
        <v>34</v>
      </c>
      <c r="V1024" t="s">
        <v>59</v>
      </c>
      <c r="W1024" t="s">
        <v>33</v>
      </c>
      <c r="X1024" t="s">
        <v>52</v>
      </c>
      <c r="Z1024" t="str">
        <f>IF(Table1[[#This Row],[Age]]&lt;30,"20-29",IF(Table1[[#This Row],[Age]]&lt;40,"30-39",IF(Table1[[#This Row],[Age]]&lt;50,"40-49","50+")))</f>
        <v>40-49</v>
      </c>
      <c r="AA1024" t="str">
        <f>IF(Table1[[#This Row],[Salary]]&lt;20000000,"low",IF(Table1[[#This Row],[Salary]]&lt;40000000,"medium","high"))</f>
        <v>medium</v>
      </c>
      <c r="AB1024">
        <f>YEAR(Table1[[#This Row],[Hire Date]])</f>
        <v>2023</v>
      </c>
      <c r="AC1024" t="str">
        <f>TEXT(Table1[[#This Row],[Hire Date]],"mmmm")</f>
        <v>مارس</v>
      </c>
      <c r="AD1024" t="str">
        <f>IF(Table1[[#This Row],[Resigned]]="yes","former","active")</f>
        <v>active</v>
      </c>
    </row>
    <row r="1025" spans="1:30" x14ac:dyDescent="0.3">
      <c r="A1025" t="s">
        <v>2115</v>
      </c>
      <c r="B1025" t="s">
        <v>2116</v>
      </c>
      <c r="C1025" t="s">
        <v>39</v>
      </c>
      <c r="D1025">
        <v>56</v>
      </c>
      <c r="E1025" t="s">
        <v>73</v>
      </c>
      <c r="F1025" t="s">
        <v>74</v>
      </c>
      <c r="G1025" t="s">
        <v>58</v>
      </c>
      <c r="H1025" t="s">
        <v>42</v>
      </c>
      <c r="I1025" t="s">
        <v>43</v>
      </c>
      <c r="J1025" s="1">
        <v>43497</v>
      </c>
      <c r="K1025">
        <v>7</v>
      </c>
      <c r="L1025">
        <v>17650315</v>
      </c>
      <c r="M1025">
        <v>3205385</v>
      </c>
      <c r="N1025" t="s">
        <v>33</v>
      </c>
      <c r="O1025">
        <v>4.09</v>
      </c>
      <c r="P1025">
        <v>65</v>
      </c>
      <c r="Q1025">
        <v>3</v>
      </c>
      <c r="R1025">
        <v>4</v>
      </c>
      <c r="S1025">
        <v>13</v>
      </c>
      <c r="T1025" t="s">
        <v>34</v>
      </c>
      <c r="U1025" t="s">
        <v>34</v>
      </c>
      <c r="V1025" t="s">
        <v>44</v>
      </c>
      <c r="W1025" t="s">
        <v>33</v>
      </c>
      <c r="X1025" t="s">
        <v>52</v>
      </c>
      <c r="Z1025" t="str">
        <f>IF(Table1[[#This Row],[Age]]&lt;30,"20-29",IF(Table1[[#This Row],[Age]]&lt;40,"30-39",IF(Table1[[#This Row],[Age]]&lt;50,"40-49","50+")))</f>
        <v>50+</v>
      </c>
      <c r="AA1025" t="str">
        <f>IF(Table1[[#This Row],[Salary]]&lt;20000000,"low",IF(Table1[[#This Row],[Salary]]&lt;40000000,"medium","high"))</f>
        <v>low</v>
      </c>
      <c r="AB1025">
        <f>YEAR(Table1[[#This Row],[Hire Date]])</f>
        <v>2019</v>
      </c>
      <c r="AC1025" t="str">
        <f>TEXT(Table1[[#This Row],[Hire Date]],"mmmm")</f>
        <v>فوريه</v>
      </c>
      <c r="AD1025" t="str">
        <f>IF(Table1[[#This Row],[Resigned]]="yes","former","active")</f>
        <v>active</v>
      </c>
    </row>
    <row r="1026" spans="1:30" x14ac:dyDescent="0.3">
      <c r="A1026" t="s">
        <v>2117</v>
      </c>
      <c r="B1026" t="s">
        <v>2118</v>
      </c>
      <c r="C1026" t="s">
        <v>27</v>
      </c>
      <c r="D1026">
        <v>43</v>
      </c>
      <c r="E1026" t="s">
        <v>28</v>
      </c>
      <c r="F1026" t="s">
        <v>80</v>
      </c>
      <c r="G1026" t="s">
        <v>30</v>
      </c>
      <c r="H1026" t="s">
        <v>42</v>
      </c>
      <c r="I1026" t="s">
        <v>81</v>
      </c>
      <c r="J1026" s="1">
        <v>45396</v>
      </c>
      <c r="K1026">
        <v>2</v>
      </c>
      <c r="L1026">
        <v>23659202</v>
      </c>
      <c r="M1026">
        <v>2883127</v>
      </c>
      <c r="N1026" t="s">
        <v>34</v>
      </c>
      <c r="O1026">
        <v>2.85</v>
      </c>
      <c r="P1026">
        <v>31</v>
      </c>
      <c r="Q1026">
        <v>2</v>
      </c>
      <c r="R1026">
        <v>1</v>
      </c>
      <c r="S1026">
        <v>16</v>
      </c>
      <c r="T1026" t="s">
        <v>34</v>
      </c>
      <c r="U1026" t="s">
        <v>34</v>
      </c>
      <c r="V1026" t="s">
        <v>70</v>
      </c>
      <c r="W1026" t="s">
        <v>33</v>
      </c>
      <c r="X1026" t="s">
        <v>36</v>
      </c>
      <c r="Z1026" t="str">
        <f>IF(Table1[[#This Row],[Age]]&lt;30,"20-29",IF(Table1[[#This Row],[Age]]&lt;40,"30-39",IF(Table1[[#This Row],[Age]]&lt;50,"40-49","50+")))</f>
        <v>40-49</v>
      </c>
      <c r="AA1026" t="str">
        <f>IF(Table1[[#This Row],[Salary]]&lt;20000000,"low",IF(Table1[[#This Row],[Salary]]&lt;40000000,"medium","high"))</f>
        <v>medium</v>
      </c>
      <c r="AB1026">
        <f>YEAR(Table1[[#This Row],[Hire Date]])</f>
        <v>2024</v>
      </c>
      <c r="AC1026" t="str">
        <f>TEXT(Table1[[#This Row],[Hire Date]],"mmmm")</f>
        <v>آوريل</v>
      </c>
      <c r="AD1026" t="str">
        <f>IF(Table1[[#This Row],[Resigned]]="yes","former","active")</f>
        <v>active</v>
      </c>
    </row>
    <row r="1027" spans="1:30" x14ac:dyDescent="0.3">
      <c r="A1027" t="s">
        <v>2119</v>
      </c>
      <c r="B1027" t="s">
        <v>2120</v>
      </c>
      <c r="C1027" t="s">
        <v>39</v>
      </c>
      <c r="D1027">
        <v>48</v>
      </c>
      <c r="E1027" t="s">
        <v>28</v>
      </c>
      <c r="F1027" t="s">
        <v>29</v>
      </c>
      <c r="G1027" t="s">
        <v>58</v>
      </c>
      <c r="H1027" t="s">
        <v>31</v>
      </c>
      <c r="I1027" t="s">
        <v>50</v>
      </c>
      <c r="J1027" s="1">
        <v>45747</v>
      </c>
      <c r="K1027">
        <v>1</v>
      </c>
      <c r="L1027">
        <v>23406283</v>
      </c>
      <c r="M1027">
        <v>6193118</v>
      </c>
      <c r="N1027" t="s">
        <v>34</v>
      </c>
      <c r="O1027">
        <v>3.98</v>
      </c>
      <c r="P1027">
        <v>26</v>
      </c>
      <c r="Q1027">
        <v>4</v>
      </c>
      <c r="R1027">
        <v>2</v>
      </c>
      <c r="S1027">
        <v>12</v>
      </c>
      <c r="T1027" t="s">
        <v>34</v>
      </c>
      <c r="U1027" t="s">
        <v>34</v>
      </c>
      <c r="V1027" t="s">
        <v>51</v>
      </c>
      <c r="W1027" t="s">
        <v>34</v>
      </c>
      <c r="X1027" t="s">
        <v>52</v>
      </c>
      <c r="Z1027" t="str">
        <f>IF(Table1[[#This Row],[Age]]&lt;30,"20-29",IF(Table1[[#This Row],[Age]]&lt;40,"30-39",IF(Table1[[#This Row],[Age]]&lt;50,"40-49","50+")))</f>
        <v>40-49</v>
      </c>
      <c r="AA1027" t="str">
        <f>IF(Table1[[#This Row],[Salary]]&lt;20000000,"low",IF(Table1[[#This Row],[Salary]]&lt;40000000,"medium","high"))</f>
        <v>medium</v>
      </c>
      <c r="AB1027">
        <f>YEAR(Table1[[#This Row],[Hire Date]])</f>
        <v>2025</v>
      </c>
      <c r="AC1027" t="str">
        <f>TEXT(Table1[[#This Row],[Hire Date]],"mmmm")</f>
        <v>مارس</v>
      </c>
      <c r="AD1027" t="str">
        <f>IF(Table1[[#This Row],[Resigned]]="yes","former","active")</f>
        <v>active</v>
      </c>
    </row>
    <row r="1028" spans="1:30" x14ac:dyDescent="0.3">
      <c r="A1028" t="s">
        <v>2121</v>
      </c>
      <c r="B1028" t="s">
        <v>2122</v>
      </c>
      <c r="C1028" t="s">
        <v>27</v>
      </c>
      <c r="D1028">
        <v>36</v>
      </c>
      <c r="E1028" t="s">
        <v>56</v>
      </c>
      <c r="F1028" t="s">
        <v>84</v>
      </c>
      <c r="G1028" t="s">
        <v>58</v>
      </c>
      <c r="H1028" t="s">
        <v>42</v>
      </c>
      <c r="I1028" t="s">
        <v>65</v>
      </c>
      <c r="J1028" s="1">
        <v>43740</v>
      </c>
      <c r="K1028">
        <v>7</v>
      </c>
      <c r="L1028">
        <v>51261010</v>
      </c>
      <c r="M1028">
        <v>1849020</v>
      </c>
      <c r="N1028" t="s">
        <v>33</v>
      </c>
      <c r="O1028">
        <v>4.01</v>
      </c>
      <c r="P1028">
        <v>69</v>
      </c>
      <c r="Q1028">
        <v>2</v>
      </c>
      <c r="R1028">
        <v>3</v>
      </c>
      <c r="S1028">
        <v>6</v>
      </c>
      <c r="T1028" t="s">
        <v>33</v>
      </c>
      <c r="U1028" t="s">
        <v>34</v>
      </c>
      <c r="V1028" t="s">
        <v>70</v>
      </c>
      <c r="W1028" t="s">
        <v>33</v>
      </c>
      <c r="X1028" t="s">
        <v>36</v>
      </c>
      <c r="Z1028" t="str">
        <f>IF(Table1[[#This Row],[Age]]&lt;30,"20-29",IF(Table1[[#This Row],[Age]]&lt;40,"30-39",IF(Table1[[#This Row],[Age]]&lt;50,"40-49","50+")))</f>
        <v>30-39</v>
      </c>
      <c r="AA1028" t="str">
        <f>IF(Table1[[#This Row],[Salary]]&lt;20000000,"low",IF(Table1[[#This Row],[Salary]]&lt;40000000,"medium","high"))</f>
        <v>high</v>
      </c>
      <c r="AB1028">
        <f>YEAR(Table1[[#This Row],[Hire Date]])</f>
        <v>2019</v>
      </c>
      <c r="AC1028" t="str">
        <f>TEXT(Table1[[#This Row],[Hire Date]],"mmmm")</f>
        <v>اُكتبر</v>
      </c>
      <c r="AD1028" t="str">
        <f>IF(Table1[[#This Row],[Resigned]]="yes","former","active")</f>
        <v>active</v>
      </c>
    </row>
    <row r="1029" spans="1:30" x14ac:dyDescent="0.3">
      <c r="A1029" t="s">
        <v>2123</v>
      </c>
      <c r="B1029" t="s">
        <v>2124</v>
      </c>
      <c r="C1029" t="s">
        <v>39</v>
      </c>
      <c r="D1029">
        <v>50</v>
      </c>
      <c r="E1029" t="s">
        <v>56</v>
      </c>
      <c r="F1029" t="s">
        <v>84</v>
      </c>
      <c r="G1029" t="s">
        <v>58</v>
      </c>
      <c r="H1029" t="s">
        <v>42</v>
      </c>
      <c r="I1029" t="s">
        <v>81</v>
      </c>
      <c r="J1029" s="1">
        <v>43539</v>
      </c>
      <c r="K1029">
        <v>7</v>
      </c>
      <c r="L1029">
        <v>12141841</v>
      </c>
      <c r="M1029">
        <v>1274366</v>
      </c>
      <c r="N1029" t="s">
        <v>33</v>
      </c>
      <c r="O1029">
        <v>3.81</v>
      </c>
      <c r="P1029">
        <v>76</v>
      </c>
      <c r="Q1029">
        <v>2</v>
      </c>
      <c r="R1029">
        <v>2</v>
      </c>
      <c r="S1029">
        <v>3</v>
      </c>
      <c r="T1029" t="s">
        <v>34</v>
      </c>
      <c r="U1029" t="s">
        <v>34</v>
      </c>
      <c r="V1029" t="s">
        <v>70</v>
      </c>
      <c r="W1029" t="s">
        <v>33</v>
      </c>
      <c r="X1029" t="s">
        <v>45</v>
      </c>
      <c r="Z1029" t="str">
        <f>IF(Table1[[#This Row],[Age]]&lt;30,"20-29",IF(Table1[[#This Row],[Age]]&lt;40,"30-39",IF(Table1[[#This Row],[Age]]&lt;50,"40-49","50+")))</f>
        <v>50+</v>
      </c>
      <c r="AA1029" t="str">
        <f>IF(Table1[[#This Row],[Salary]]&lt;20000000,"low",IF(Table1[[#This Row],[Salary]]&lt;40000000,"medium","high"))</f>
        <v>low</v>
      </c>
      <c r="AB1029">
        <f>YEAR(Table1[[#This Row],[Hire Date]])</f>
        <v>2019</v>
      </c>
      <c r="AC1029" t="str">
        <f>TEXT(Table1[[#This Row],[Hire Date]],"mmmm")</f>
        <v>مارس</v>
      </c>
      <c r="AD1029" t="str">
        <f>IF(Table1[[#This Row],[Resigned]]="yes","former","active")</f>
        <v>active</v>
      </c>
    </row>
    <row r="1030" spans="1:30" x14ac:dyDescent="0.3">
      <c r="A1030" t="s">
        <v>2125</v>
      </c>
      <c r="B1030" t="s">
        <v>2126</v>
      </c>
      <c r="C1030" t="s">
        <v>39</v>
      </c>
      <c r="D1030">
        <v>24</v>
      </c>
      <c r="E1030" t="s">
        <v>63</v>
      </c>
      <c r="F1030" t="s">
        <v>64</v>
      </c>
      <c r="G1030" t="s">
        <v>30</v>
      </c>
      <c r="H1030" t="s">
        <v>42</v>
      </c>
      <c r="I1030" t="s">
        <v>50</v>
      </c>
      <c r="J1030" s="1">
        <v>44731</v>
      </c>
      <c r="K1030">
        <v>4</v>
      </c>
      <c r="L1030">
        <v>27574485</v>
      </c>
      <c r="M1030">
        <v>9840812</v>
      </c>
      <c r="N1030" t="s">
        <v>33</v>
      </c>
      <c r="O1030">
        <v>4.91</v>
      </c>
      <c r="P1030">
        <v>77</v>
      </c>
      <c r="Q1030">
        <v>2</v>
      </c>
      <c r="R1030">
        <v>1</v>
      </c>
      <c r="S1030">
        <v>11</v>
      </c>
      <c r="T1030" t="s">
        <v>34</v>
      </c>
      <c r="U1030" t="s">
        <v>34</v>
      </c>
      <c r="V1030" t="s">
        <v>59</v>
      </c>
      <c r="W1030" t="s">
        <v>33</v>
      </c>
      <c r="X1030" t="s">
        <v>36</v>
      </c>
      <c r="Z1030" t="str">
        <f>IF(Table1[[#This Row],[Age]]&lt;30,"20-29",IF(Table1[[#This Row],[Age]]&lt;40,"30-39",IF(Table1[[#This Row],[Age]]&lt;50,"40-49","50+")))</f>
        <v>20-29</v>
      </c>
      <c r="AA1030" t="str">
        <f>IF(Table1[[#This Row],[Salary]]&lt;20000000,"low",IF(Table1[[#This Row],[Salary]]&lt;40000000,"medium","high"))</f>
        <v>medium</v>
      </c>
      <c r="AB1030">
        <f>YEAR(Table1[[#This Row],[Hire Date]])</f>
        <v>2022</v>
      </c>
      <c r="AC1030" t="str">
        <f>TEXT(Table1[[#This Row],[Hire Date]],"mmmm")</f>
        <v>ژوئن</v>
      </c>
      <c r="AD1030" t="str">
        <f>IF(Table1[[#This Row],[Resigned]]="yes","former","active")</f>
        <v>active</v>
      </c>
    </row>
    <row r="1031" spans="1:30" x14ac:dyDescent="0.3">
      <c r="A1031" t="s">
        <v>2127</v>
      </c>
      <c r="B1031" t="s">
        <v>2128</v>
      </c>
      <c r="C1031" t="s">
        <v>39</v>
      </c>
      <c r="D1031">
        <v>32</v>
      </c>
      <c r="E1031" t="s">
        <v>73</v>
      </c>
      <c r="F1031" t="s">
        <v>74</v>
      </c>
      <c r="G1031" t="s">
        <v>49</v>
      </c>
      <c r="H1031" t="s">
        <v>42</v>
      </c>
      <c r="I1031" t="s">
        <v>43</v>
      </c>
      <c r="J1031" s="1">
        <v>44394</v>
      </c>
      <c r="K1031">
        <v>5</v>
      </c>
      <c r="L1031">
        <v>42364034</v>
      </c>
      <c r="M1031">
        <v>7706484</v>
      </c>
      <c r="N1031" t="s">
        <v>33</v>
      </c>
      <c r="O1031">
        <v>4.5599999999999996</v>
      </c>
      <c r="P1031">
        <v>21</v>
      </c>
      <c r="Q1031">
        <v>4</v>
      </c>
      <c r="R1031">
        <v>5</v>
      </c>
      <c r="S1031">
        <v>11</v>
      </c>
      <c r="T1031" t="s">
        <v>34</v>
      </c>
      <c r="U1031" t="s">
        <v>33</v>
      </c>
      <c r="V1031" t="s">
        <v>51</v>
      </c>
      <c r="W1031" t="s">
        <v>33</v>
      </c>
      <c r="X1031" t="s">
        <v>36</v>
      </c>
      <c r="Y1031" t="s">
        <v>75</v>
      </c>
      <c r="Z1031" t="str">
        <f>IF(Table1[[#This Row],[Age]]&lt;30,"20-29",IF(Table1[[#This Row],[Age]]&lt;40,"30-39",IF(Table1[[#This Row],[Age]]&lt;50,"40-49","50+")))</f>
        <v>30-39</v>
      </c>
      <c r="AA1031" t="str">
        <f>IF(Table1[[#This Row],[Salary]]&lt;20000000,"low",IF(Table1[[#This Row],[Salary]]&lt;40000000,"medium","high"))</f>
        <v>high</v>
      </c>
      <c r="AB1031">
        <f>YEAR(Table1[[#This Row],[Hire Date]])</f>
        <v>2021</v>
      </c>
      <c r="AC1031" t="str">
        <f>TEXT(Table1[[#This Row],[Hire Date]],"mmmm")</f>
        <v>ژوئيه</v>
      </c>
      <c r="AD1031" t="str">
        <f>IF(Table1[[#This Row],[Resigned]]="yes","former","active")</f>
        <v>former</v>
      </c>
    </row>
    <row r="1032" spans="1:30" x14ac:dyDescent="0.3">
      <c r="A1032" t="s">
        <v>2129</v>
      </c>
      <c r="B1032" t="s">
        <v>2130</v>
      </c>
      <c r="C1032" t="s">
        <v>39</v>
      </c>
      <c r="D1032">
        <v>49</v>
      </c>
      <c r="E1032" t="s">
        <v>28</v>
      </c>
      <c r="F1032" t="s">
        <v>29</v>
      </c>
      <c r="G1032" t="s">
        <v>58</v>
      </c>
      <c r="H1032" t="s">
        <v>31</v>
      </c>
      <c r="I1032" t="s">
        <v>32</v>
      </c>
      <c r="J1032" s="1">
        <v>45154</v>
      </c>
      <c r="K1032">
        <v>3</v>
      </c>
      <c r="L1032">
        <v>12854525</v>
      </c>
      <c r="M1032">
        <v>5565250</v>
      </c>
      <c r="N1032" t="s">
        <v>34</v>
      </c>
      <c r="O1032">
        <v>4.34</v>
      </c>
      <c r="P1032">
        <v>36</v>
      </c>
      <c r="Q1032">
        <v>3</v>
      </c>
      <c r="R1032">
        <v>5</v>
      </c>
      <c r="S1032">
        <v>1</v>
      </c>
      <c r="T1032" t="s">
        <v>33</v>
      </c>
      <c r="U1032" t="s">
        <v>34</v>
      </c>
      <c r="V1032" t="s">
        <v>70</v>
      </c>
      <c r="W1032" t="s">
        <v>34</v>
      </c>
      <c r="X1032" t="s">
        <v>36</v>
      </c>
      <c r="Z1032" t="str">
        <f>IF(Table1[[#This Row],[Age]]&lt;30,"20-29",IF(Table1[[#This Row],[Age]]&lt;40,"30-39",IF(Table1[[#This Row],[Age]]&lt;50,"40-49","50+")))</f>
        <v>40-49</v>
      </c>
      <c r="AA1032" t="str">
        <f>IF(Table1[[#This Row],[Salary]]&lt;20000000,"low",IF(Table1[[#This Row],[Salary]]&lt;40000000,"medium","high"))</f>
        <v>low</v>
      </c>
      <c r="AB1032">
        <f>YEAR(Table1[[#This Row],[Hire Date]])</f>
        <v>2023</v>
      </c>
      <c r="AC1032" t="str">
        <f>TEXT(Table1[[#This Row],[Hire Date]],"mmmm")</f>
        <v>اوت</v>
      </c>
      <c r="AD1032" t="str">
        <f>IF(Table1[[#This Row],[Resigned]]="yes","former","active")</f>
        <v>active</v>
      </c>
    </row>
    <row r="1033" spans="1:30" x14ac:dyDescent="0.3">
      <c r="A1033" t="s">
        <v>2131</v>
      </c>
      <c r="B1033" t="s">
        <v>2132</v>
      </c>
      <c r="C1033" t="s">
        <v>27</v>
      </c>
      <c r="D1033">
        <v>51</v>
      </c>
      <c r="E1033" t="s">
        <v>56</v>
      </c>
      <c r="F1033" t="s">
        <v>57</v>
      </c>
      <c r="G1033" t="s">
        <v>49</v>
      </c>
      <c r="H1033" t="s">
        <v>31</v>
      </c>
      <c r="I1033" t="s">
        <v>50</v>
      </c>
      <c r="J1033" s="1">
        <v>45053</v>
      </c>
      <c r="K1033">
        <v>3</v>
      </c>
      <c r="L1033">
        <v>26568725</v>
      </c>
      <c r="M1033">
        <v>4617759</v>
      </c>
      <c r="N1033" t="s">
        <v>34</v>
      </c>
      <c r="O1033">
        <v>4.25</v>
      </c>
      <c r="P1033">
        <v>33</v>
      </c>
      <c r="Q1033">
        <v>5</v>
      </c>
      <c r="R1033">
        <v>2</v>
      </c>
      <c r="S1033">
        <v>17</v>
      </c>
      <c r="T1033" t="s">
        <v>34</v>
      </c>
      <c r="U1033" t="s">
        <v>33</v>
      </c>
      <c r="V1033" t="s">
        <v>44</v>
      </c>
      <c r="W1033" t="s">
        <v>33</v>
      </c>
      <c r="X1033" t="s">
        <v>45</v>
      </c>
      <c r="Y1033" t="s">
        <v>53</v>
      </c>
      <c r="Z1033" t="str">
        <f>IF(Table1[[#This Row],[Age]]&lt;30,"20-29",IF(Table1[[#This Row],[Age]]&lt;40,"30-39",IF(Table1[[#This Row],[Age]]&lt;50,"40-49","50+")))</f>
        <v>50+</v>
      </c>
      <c r="AA1033" t="str">
        <f>IF(Table1[[#This Row],[Salary]]&lt;20000000,"low",IF(Table1[[#This Row],[Salary]]&lt;40000000,"medium","high"))</f>
        <v>medium</v>
      </c>
      <c r="AB1033">
        <f>YEAR(Table1[[#This Row],[Hire Date]])</f>
        <v>2023</v>
      </c>
      <c r="AC1033" t="str">
        <f>TEXT(Table1[[#This Row],[Hire Date]],"mmmm")</f>
        <v>مه</v>
      </c>
      <c r="AD1033" t="str">
        <f>IF(Table1[[#This Row],[Resigned]]="yes","former","active")</f>
        <v>former</v>
      </c>
    </row>
    <row r="1034" spans="1:30" x14ac:dyDescent="0.3">
      <c r="A1034" t="s">
        <v>2133</v>
      </c>
      <c r="B1034" t="s">
        <v>2134</v>
      </c>
      <c r="C1034" t="s">
        <v>39</v>
      </c>
      <c r="D1034">
        <v>49</v>
      </c>
      <c r="E1034" t="s">
        <v>40</v>
      </c>
      <c r="F1034" t="s">
        <v>41</v>
      </c>
      <c r="G1034" t="s">
        <v>58</v>
      </c>
      <c r="H1034" t="s">
        <v>42</v>
      </c>
      <c r="I1034" t="s">
        <v>81</v>
      </c>
      <c r="J1034" s="1">
        <v>45774</v>
      </c>
      <c r="K1034">
        <v>1</v>
      </c>
      <c r="L1034">
        <v>15154011</v>
      </c>
      <c r="M1034">
        <v>9640036</v>
      </c>
      <c r="N1034" t="s">
        <v>33</v>
      </c>
      <c r="O1034">
        <v>3.79</v>
      </c>
      <c r="P1034">
        <v>50</v>
      </c>
      <c r="Q1034">
        <v>4</v>
      </c>
      <c r="R1034">
        <v>1</v>
      </c>
      <c r="S1034">
        <v>15</v>
      </c>
      <c r="T1034" t="s">
        <v>34</v>
      </c>
      <c r="U1034" t="s">
        <v>33</v>
      </c>
      <c r="V1034" t="s">
        <v>44</v>
      </c>
      <c r="W1034" t="s">
        <v>33</v>
      </c>
      <c r="X1034" t="s">
        <v>45</v>
      </c>
      <c r="Y1034" t="s">
        <v>53</v>
      </c>
      <c r="Z1034" t="str">
        <f>IF(Table1[[#This Row],[Age]]&lt;30,"20-29",IF(Table1[[#This Row],[Age]]&lt;40,"30-39",IF(Table1[[#This Row],[Age]]&lt;50,"40-49","50+")))</f>
        <v>40-49</v>
      </c>
      <c r="AA1034" t="str">
        <f>IF(Table1[[#This Row],[Salary]]&lt;20000000,"low",IF(Table1[[#This Row],[Salary]]&lt;40000000,"medium","high"))</f>
        <v>low</v>
      </c>
      <c r="AB1034">
        <f>YEAR(Table1[[#This Row],[Hire Date]])</f>
        <v>2025</v>
      </c>
      <c r="AC1034" t="str">
        <f>TEXT(Table1[[#This Row],[Hire Date]],"mmmm")</f>
        <v>آوريل</v>
      </c>
      <c r="AD1034" t="str">
        <f>IF(Table1[[#This Row],[Resigned]]="yes","former","active")</f>
        <v>former</v>
      </c>
    </row>
    <row r="1035" spans="1:30" x14ac:dyDescent="0.3">
      <c r="A1035" t="s">
        <v>2135</v>
      </c>
      <c r="B1035" t="s">
        <v>2136</v>
      </c>
      <c r="C1035" t="s">
        <v>39</v>
      </c>
      <c r="D1035">
        <v>39</v>
      </c>
      <c r="E1035" t="s">
        <v>110</v>
      </c>
      <c r="F1035" t="s">
        <v>111</v>
      </c>
      <c r="G1035" t="s">
        <v>49</v>
      </c>
      <c r="H1035" t="s">
        <v>31</v>
      </c>
      <c r="I1035" t="s">
        <v>81</v>
      </c>
      <c r="J1035" s="1">
        <v>45398</v>
      </c>
      <c r="K1035">
        <v>2</v>
      </c>
      <c r="L1035">
        <v>22764783</v>
      </c>
      <c r="M1035">
        <v>6232865</v>
      </c>
      <c r="N1035" t="s">
        <v>33</v>
      </c>
      <c r="O1035">
        <v>4.42</v>
      </c>
      <c r="P1035">
        <v>6</v>
      </c>
      <c r="Q1035">
        <v>5</v>
      </c>
      <c r="R1035">
        <v>4</v>
      </c>
      <c r="S1035">
        <v>14</v>
      </c>
      <c r="T1035" t="s">
        <v>34</v>
      </c>
      <c r="U1035" t="s">
        <v>34</v>
      </c>
      <c r="V1035" t="s">
        <v>35</v>
      </c>
      <c r="W1035" t="s">
        <v>34</v>
      </c>
      <c r="X1035" t="s">
        <v>52</v>
      </c>
      <c r="Z1035" t="str">
        <f>IF(Table1[[#This Row],[Age]]&lt;30,"20-29",IF(Table1[[#This Row],[Age]]&lt;40,"30-39",IF(Table1[[#This Row],[Age]]&lt;50,"40-49","50+")))</f>
        <v>30-39</v>
      </c>
      <c r="AA1035" t="str">
        <f>IF(Table1[[#This Row],[Salary]]&lt;20000000,"low",IF(Table1[[#This Row],[Salary]]&lt;40000000,"medium","high"))</f>
        <v>medium</v>
      </c>
      <c r="AB1035">
        <f>YEAR(Table1[[#This Row],[Hire Date]])</f>
        <v>2024</v>
      </c>
      <c r="AC1035" t="str">
        <f>TEXT(Table1[[#This Row],[Hire Date]],"mmmm")</f>
        <v>آوريل</v>
      </c>
      <c r="AD1035" t="str">
        <f>IF(Table1[[#This Row],[Resigned]]="yes","former","active")</f>
        <v>active</v>
      </c>
    </row>
    <row r="1036" spans="1:30" x14ac:dyDescent="0.3">
      <c r="A1036" t="s">
        <v>2137</v>
      </c>
      <c r="B1036" t="s">
        <v>2138</v>
      </c>
      <c r="C1036" t="s">
        <v>39</v>
      </c>
      <c r="D1036">
        <v>32</v>
      </c>
      <c r="E1036" t="s">
        <v>56</v>
      </c>
      <c r="F1036" t="s">
        <v>84</v>
      </c>
      <c r="G1036" t="s">
        <v>49</v>
      </c>
      <c r="H1036" t="s">
        <v>42</v>
      </c>
      <c r="I1036" t="s">
        <v>81</v>
      </c>
      <c r="J1036" s="1">
        <v>43627</v>
      </c>
      <c r="K1036">
        <v>7</v>
      </c>
      <c r="L1036">
        <v>43773084</v>
      </c>
      <c r="M1036">
        <v>3990594</v>
      </c>
      <c r="N1036" t="s">
        <v>34</v>
      </c>
      <c r="O1036">
        <v>3.72</v>
      </c>
      <c r="P1036">
        <v>75</v>
      </c>
      <c r="Q1036">
        <v>5</v>
      </c>
      <c r="R1036">
        <v>2</v>
      </c>
      <c r="S1036">
        <v>0</v>
      </c>
      <c r="T1036" t="s">
        <v>34</v>
      </c>
      <c r="U1036" t="s">
        <v>34</v>
      </c>
      <c r="V1036" t="s">
        <v>35</v>
      </c>
      <c r="W1036" t="s">
        <v>34</v>
      </c>
      <c r="X1036" t="s">
        <v>52</v>
      </c>
      <c r="Z1036" t="str">
        <f>IF(Table1[[#This Row],[Age]]&lt;30,"20-29",IF(Table1[[#This Row],[Age]]&lt;40,"30-39",IF(Table1[[#This Row],[Age]]&lt;50,"40-49","50+")))</f>
        <v>30-39</v>
      </c>
      <c r="AA1036" t="str">
        <f>IF(Table1[[#This Row],[Salary]]&lt;20000000,"low",IF(Table1[[#This Row],[Salary]]&lt;40000000,"medium","high"))</f>
        <v>high</v>
      </c>
      <c r="AB1036">
        <f>YEAR(Table1[[#This Row],[Hire Date]])</f>
        <v>2019</v>
      </c>
      <c r="AC1036" t="str">
        <f>TEXT(Table1[[#This Row],[Hire Date]],"mmmm")</f>
        <v>ژوئن</v>
      </c>
      <c r="AD1036" t="str">
        <f>IF(Table1[[#This Row],[Resigned]]="yes","former","active")</f>
        <v>active</v>
      </c>
    </row>
    <row r="1037" spans="1:30" x14ac:dyDescent="0.3">
      <c r="A1037" t="s">
        <v>2139</v>
      </c>
      <c r="B1037" t="s">
        <v>2140</v>
      </c>
      <c r="C1037" t="s">
        <v>39</v>
      </c>
      <c r="D1037">
        <v>39</v>
      </c>
      <c r="E1037" t="s">
        <v>28</v>
      </c>
      <c r="F1037" t="s">
        <v>29</v>
      </c>
      <c r="G1037" t="s">
        <v>30</v>
      </c>
      <c r="H1037" t="s">
        <v>31</v>
      </c>
      <c r="I1037" t="s">
        <v>32</v>
      </c>
      <c r="J1037" s="1">
        <v>45328</v>
      </c>
      <c r="K1037">
        <v>2</v>
      </c>
      <c r="L1037">
        <v>43254342</v>
      </c>
      <c r="M1037">
        <v>4901664</v>
      </c>
      <c r="N1037" t="s">
        <v>34</v>
      </c>
      <c r="O1037">
        <v>2.85</v>
      </c>
      <c r="P1037">
        <v>51</v>
      </c>
      <c r="Q1037">
        <v>4</v>
      </c>
      <c r="R1037">
        <v>1</v>
      </c>
      <c r="S1037">
        <v>6</v>
      </c>
      <c r="T1037" t="s">
        <v>34</v>
      </c>
      <c r="U1037" t="s">
        <v>34</v>
      </c>
      <c r="V1037" t="s">
        <v>35</v>
      </c>
      <c r="W1037" t="s">
        <v>33</v>
      </c>
      <c r="X1037" t="s">
        <v>36</v>
      </c>
      <c r="Z1037" t="str">
        <f>IF(Table1[[#This Row],[Age]]&lt;30,"20-29",IF(Table1[[#This Row],[Age]]&lt;40,"30-39",IF(Table1[[#This Row],[Age]]&lt;50,"40-49","50+")))</f>
        <v>30-39</v>
      </c>
      <c r="AA1037" t="str">
        <f>IF(Table1[[#This Row],[Salary]]&lt;20000000,"low",IF(Table1[[#This Row],[Salary]]&lt;40000000,"medium","high"))</f>
        <v>high</v>
      </c>
      <c r="AB1037">
        <f>YEAR(Table1[[#This Row],[Hire Date]])</f>
        <v>2024</v>
      </c>
      <c r="AC1037" t="str">
        <f>TEXT(Table1[[#This Row],[Hire Date]],"mmmm")</f>
        <v>فوريه</v>
      </c>
      <c r="AD1037" t="str">
        <f>IF(Table1[[#This Row],[Resigned]]="yes","former","active")</f>
        <v>active</v>
      </c>
    </row>
    <row r="1038" spans="1:30" x14ac:dyDescent="0.3">
      <c r="A1038" t="s">
        <v>2141</v>
      </c>
      <c r="B1038" t="s">
        <v>2142</v>
      </c>
      <c r="C1038" t="s">
        <v>39</v>
      </c>
      <c r="D1038">
        <v>44</v>
      </c>
      <c r="E1038" t="s">
        <v>40</v>
      </c>
      <c r="F1038" t="s">
        <v>41</v>
      </c>
      <c r="G1038" t="s">
        <v>58</v>
      </c>
      <c r="H1038" t="s">
        <v>31</v>
      </c>
      <c r="I1038" t="s">
        <v>81</v>
      </c>
      <c r="J1038" s="1">
        <v>44288</v>
      </c>
      <c r="K1038">
        <v>5</v>
      </c>
      <c r="L1038">
        <v>56851687</v>
      </c>
      <c r="M1038">
        <v>9932793</v>
      </c>
      <c r="N1038" t="s">
        <v>34</v>
      </c>
      <c r="O1038">
        <v>3.83</v>
      </c>
      <c r="P1038">
        <v>15</v>
      </c>
      <c r="Q1038">
        <v>1</v>
      </c>
      <c r="R1038">
        <v>2</v>
      </c>
      <c r="S1038">
        <v>13</v>
      </c>
      <c r="T1038" t="s">
        <v>34</v>
      </c>
      <c r="U1038" t="s">
        <v>34</v>
      </c>
      <c r="V1038" t="s">
        <v>35</v>
      </c>
      <c r="W1038" t="s">
        <v>33</v>
      </c>
      <c r="X1038" t="s">
        <v>52</v>
      </c>
      <c r="Z1038" t="str">
        <f>IF(Table1[[#This Row],[Age]]&lt;30,"20-29",IF(Table1[[#This Row],[Age]]&lt;40,"30-39",IF(Table1[[#This Row],[Age]]&lt;50,"40-49","50+")))</f>
        <v>40-49</v>
      </c>
      <c r="AA1038" t="str">
        <f>IF(Table1[[#This Row],[Salary]]&lt;20000000,"low",IF(Table1[[#This Row],[Salary]]&lt;40000000,"medium","high"))</f>
        <v>high</v>
      </c>
      <c r="AB1038">
        <f>YEAR(Table1[[#This Row],[Hire Date]])</f>
        <v>2021</v>
      </c>
      <c r="AC1038" t="str">
        <f>TEXT(Table1[[#This Row],[Hire Date]],"mmmm")</f>
        <v>آوريل</v>
      </c>
      <c r="AD1038" t="str">
        <f>IF(Table1[[#This Row],[Resigned]]="yes","former","active")</f>
        <v>active</v>
      </c>
    </row>
    <row r="1039" spans="1:30" x14ac:dyDescent="0.3">
      <c r="A1039" t="s">
        <v>2143</v>
      </c>
      <c r="B1039" t="s">
        <v>2144</v>
      </c>
      <c r="C1039" t="s">
        <v>27</v>
      </c>
      <c r="D1039">
        <v>37</v>
      </c>
      <c r="E1039" t="s">
        <v>56</v>
      </c>
      <c r="F1039" t="s">
        <v>84</v>
      </c>
      <c r="G1039" t="s">
        <v>58</v>
      </c>
      <c r="H1039" t="s">
        <v>42</v>
      </c>
      <c r="I1039" t="s">
        <v>50</v>
      </c>
      <c r="J1039" s="1">
        <v>44391</v>
      </c>
      <c r="K1039">
        <v>5</v>
      </c>
      <c r="L1039">
        <v>13013336</v>
      </c>
      <c r="M1039">
        <v>4871319</v>
      </c>
      <c r="N1039" t="s">
        <v>33</v>
      </c>
      <c r="O1039">
        <v>4.18</v>
      </c>
      <c r="P1039">
        <v>19</v>
      </c>
      <c r="Q1039">
        <v>1</v>
      </c>
      <c r="R1039">
        <v>3</v>
      </c>
      <c r="S1039">
        <v>14</v>
      </c>
      <c r="T1039" t="s">
        <v>34</v>
      </c>
      <c r="U1039" t="s">
        <v>33</v>
      </c>
      <c r="V1039" t="s">
        <v>70</v>
      </c>
      <c r="W1039" t="s">
        <v>33</v>
      </c>
      <c r="X1039" t="s">
        <v>52</v>
      </c>
      <c r="Y1039" t="s">
        <v>60</v>
      </c>
      <c r="Z1039" t="str">
        <f>IF(Table1[[#This Row],[Age]]&lt;30,"20-29",IF(Table1[[#This Row],[Age]]&lt;40,"30-39",IF(Table1[[#This Row],[Age]]&lt;50,"40-49","50+")))</f>
        <v>30-39</v>
      </c>
      <c r="AA1039" t="str">
        <f>IF(Table1[[#This Row],[Salary]]&lt;20000000,"low",IF(Table1[[#This Row],[Salary]]&lt;40000000,"medium","high"))</f>
        <v>low</v>
      </c>
      <c r="AB1039">
        <f>YEAR(Table1[[#This Row],[Hire Date]])</f>
        <v>2021</v>
      </c>
      <c r="AC1039" t="str">
        <f>TEXT(Table1[[#This Row],[Hire Date]],"mmmm")</f>
        <v>ژوئيه</v>
      </c>
      <c r="AD1039" t="str">
        <f>IF(Table1[[#This Row],[Resigned]]="yes","former","active")</f>
        <v>former</v>
      </c>
    </row>
    <row r="1040" spans="1:30" x14ac:dyDescent="0.3">
      <c r="A1040" t="s">
        <v>2145</v>
      </c>
      <c r="B1040" t="s">
        <v>2146</v>
      </c>
      <c r="C1040" t="s">
        <v>27</v>
      </c>
      <c r="D1040">
        <v>36</v>
      </c>
      <c r="E1040" t="s">
        <v>28</v>
      </c>
      <c r="F1040" t="s">
        <v>80</v>
      </c>
      <c r="G1040" t="s">
        <v>30</v>
      </c>
      <c r="H1040" t="s">
        <v>31</v>
      </c>
      <c r="I1040" t="s">
        <v>81</v>
      </c>
      <c r="J1040" s="1">
        <v>43218</v>
      </c>
      <c r="K1040">
        <v>8</v>
      </c>
      <c r="L1040">
        <v>56357394</v>
      </c>
      <c r="M1040">
        <v>5994325</v>
      </c>
      <c r="N1040" t="s">
        <v>34</v>
      </c>
      <c r="O1040">
        <v>3.83</v>
      </c>
      <c r="P1040">
        <v>6</v>
      </c>
      <c r="Q1040">
        <v>2</v>
      </c>
      <c r="R1040">
        <v>5</v>
      </c>
      <c r="S1040">
        <v>15</v>
      </c>
      <c r="T1040" t="s">
        <v>34</v>
      </c>
      <c r="U1040" t="s">
        <v>34</v>
      </c>
      <c r="V1040" t="s">
        <v>44</v>
      </c>
      <c r="W1040" t="s">
        <v>33</v>
      </c>
      <c r="X1040" t="s">
        <v>36</v>
      </c>
      <c r="Z1040" t="str">
        <f>IF(Table1[[#This Row],[Age]]&lt;30,"20-29",IF(Table1[[#This Row],[Age]]&lt;40,"30-39",IF(Table1[[#This Row],[Age]]&lt;50,"40-49","50+")))</f>
        <v>30-39</v>
      </c>
      <c r="AA1040" t="str">
        <f>IF(Table1[[#This Row],[Salary]]&lt;20000000,"low",IF(Table1[[#This Row],[Salary]]&lt;40000000,"medium","high"))</f>
        <v>high</v>
      </c>
      <c r="AB1040">
        <f>YEAR(Table1[[#This Row],[Hire Date]])</f>
        <v>2018</v>
      </c>
      <c r="AC1040" t="str">
        <f>TEXT(Table1[[#This Row],[Hire Date]],"mmmm")</f>
        <v>آوريل</v>
      </c>
      <c r="AD1040" t="str">
        <f>IF(Table1[[#This Row],[Resigned]]="yes","former","active")</f>
        <v>active</v>
      </c>
    </row>
    <row r="1041" spans="1:30" x14ac:dyDescent="0.3">
      <c r="A1041" t="s">
        <v>2147</v>
      </c>
      <c r="B1041" t="s">
        <v>2148</v>
      </c>
      <c r="C1041" t="s">
        <v>39</v>
      </c>
      <c r="D1041">
        <v>44</v>
      </c>
      <c r="E1041" t="s">
        <v>28</v>
      </c>
      <c r="F1041" t="s">
        <v>80</v>
      </c>
      <c r="G1041" t="s">
        <v>49</v>
      </c>
      <c r="H1041" t="s">
        <v>42</v>
      </c>
      <c r="I1041" t="s">
        <v>65</v>
      </c>
      <c r="J1041" s="1">
        <v>42929</v>
      </c>
      <c r="K1041">
        <v>9</v>
      </c>
      <c r="L1041">
        <v>41409893</v>
      </c>
      <c r="M1041">
        <v>3421117</v>
      </c>
      <c r="N1041" t="s">
        <v>33</v>
      </c>
      <c r="O1041">
        <v>3.92</v>
      </c>
      <c r="P1041">
        <v>23</v>
      </c>
      <c r="Q1041">
        <v>4</v>
      </c>
      <c r="R1041">
        <v>1</v>
      </c>
      <c r="S1041">
        <v>7</v>
      </c>
      <c r="T1041" t="s">
        <v>33</v>
      </c>
      <c r="U1041" t="s">
        <v>34</v>
      </c>
      <c r="V1041" t="s">
        <v>51</v>
      </c>
      <c r="W1041" t="s">
        <v>34</v>
      </c>
      <c r="X1041" t="s">
        <v>52</v>
      </c>
      <c r="Z1041" t="str">
        <f>IF(Table1[[#This Row],[Age]]&lt;30,"20-29",IF(Table1[[#This Row],[Age]]&lt;40,"30-39",IF(Table1[[#This Row],[Age]]&lt;50,"40-49","50+")))</f>
        <v>40-49</v>
      </c>
      <c r="AA1041" t="str">
        <f>IF(Table1[[#This Row],[Salary]]&lt;20000000,"low",IF(Table1[[#This Row],[Salary]]&lt;40000000,"medium","high"))</f>
        <v>high</v>
      </c>
      <c r="AB1041">
        <f>YEAR(Table1[[#This Row],[Hire Date]])</f>
        <v>2017</v>
      </c>
      <c r="AC1041" t="str">
        <f>TEXT(Table1[[#This Row],[Hire Date]],"mmmm")</f>
        <v>ژوئيه</v>
      </c>
      <c r="AD1041" t="str">
        <f>IF(Table1[[#This Row],[Resigned]]="yes","former","active")</f>
        <v>active</v>
      </c>
    </row>
    <row r="1042" spans="1:30" x14ac:dyDescent="0.3">
      <c r="A1042" t="s">
        <v>2149</v>
      </c>
      <c r="B1042" t="s">
        <v>2150</v>
      </c>
      <c r="C1042" t="s">
        <v>27</v>
      </c>
      <c r="D1042">
        <v>51</v>
      </c>
      <c r="E1042" t="s">
        <v>110</v>
      </c>
      <c r="F1042" t="s">
        <v>120</v>
      </c>
      <c r="G1042" t="s">
        <v>30</v>
      </c>
      <c r="H1042" t="s">
        <v>31</v>
      </c>
      <c r="I1042" t="s">
        <v>32</v>
      </c>
      <c r="J1042" s="1">
        <v>45757</v>
      </c>
      <c r="K1042">
        <v>1</v>
      </c>
      <c r="L1042">
        <v>28317203</v>
      </c>
      <c r="M1042">
        <v>5020117</v>
      </c>
      <c r="N1042" t="s">
        <v>34</v>
      </c>
      <c r="O1042">
        <v>3.94</v>
      </c>
      <c r="P1042">
        <v>9</v>
      </c>
      <c r="Q1042">
        <v>2</v>
      </c>
      <c r="R1042">
        <v>1</v>
      </c>
      <c r="S1042">
        <v>9</v>
      </c>
      <c r="T1042" t="s">
        <v>34</v>
      </c>
      <c r="U1042" t="s">
        <v>33</v>
      </c>
      <c r="V1042" t="s">
        <v>44</v>
      </c>
      <c r="W1042" t="s">
        <v>34</v>
      </c>
      <c r="X1042" t="s">
        <v>36</v>
      </c>
      <c r="Y1042" t="s">
        <v>53</v>
      </c>
      <c r="Z1042" t="str">
        <f>IF(Table1[[#This Row],[Age]]&lt;30,"20-29",IF(Table1[[#This Row],[Age]]&lt;40,"30-39",IF(Table1[[#This Row],[Age]]&lt;50,"40-49","50+")))</f>
        <v>50+</v>
      </c>
      <c r="AA1042" t="str">
        <f>IF(Table1[[#This Row],[Salary]]&lt;20000000,"low",IF(Table1[[#This Row],[Salary]]&lt;40000000,"medium","high"))</f>
        <v>medium</v>
      </c>
      <c r="AB1042">
        <f>YEAR(Table1[[#This Row],[Hire Date]])</f>
        <v>2025</v>
      </c>
      <c r="AC1042" t="str">
        <f>TEXT(Table1[[#This Row],[Hire Date]],"mmmm")</f>
        <v>آوريل</v>
      </c>
      <c r="AD1042" t="str">
        <f>IF(Table1[[#This Row],[Resigned]]="yes","former","active")</f>
        <v>former</v>
      </c>
    </row>
    <row r="1043" spans="1:30" x14ac:dyDescent="0.3">
      <c r="A1043" t="s">
        <v>2151</v>
      </c>
      <c r="B1043" t="s">
        <v>2152</v>
      </c>
      <c r="C1043" t="s">
        <v>39</v>
      </c>
      <c r="D1043">
        <v>44</v>
      </c>
      <c r="E1043" t="s">
        <v>63</v>
      </c>
      <c r="F1043" t="s">
        <v>93</v>
      </c>
      <c r="G1043" t="s">
        <v>49</v>
      </c>
      <c r="H1043" t="s">
        <v>42</v>
      </c>
      <c r="I1043" t="s">
        <v>65</v>
      </c>
      <c r="J1043" s="1">
        <v>43259</v>
      </c>
      <c r="K1043">
        <v>8</v>
      </c>
      <c r="L1043">
        <v>39034815</v>
      </c>
      <c r="M1043">
        <v>5482355</v>
      </c>
      <c r="N1043" t="s">
        <v>34</v>
      </c>
      <c r="O1043">
        <v>3.44</v>
      </c>
      <c r="P1043">
        <v>80</v>
      </c>
      <c r="Q1043">
        <v>4</v>
      </c>
      <c r="R1043">
        <v>3</v>
      </c>
      <c r="S1043">
        <v>1</v>
      </c>
      <c r="T1043" t="s">
        <v>34</v>
      </c>
      <c r="U1043" t="s">
        <v>34</v>
      </c>
      <c r="V1043" t="s">
        <v>51</v>
      </c>
      <c r="W1043" t="s">
        <v>33</v>
      </c>
      <c r="X1043" t="s">
        <v>36</v>
      </c>
      <c r="Z1043" t="str">
        <f>IF(Table1[[#This Row],[Age]]&lt;30,"20-29",IF(Table1[[#This Row],[Age]]&lt;40,"30-39",IF(Table1[[#This Row],[Age]]&lt;50,"40-49","50+")))</f>
        <v>40-49</v>
      </c>
      <c r="AA1043" t="str">
        <f>IF(Table1[[#This Row],[Salary]]&lt;20000000,"low",IF(Table1[[#This Row],[Salary]]&lt;40000000,"medium","high"))</f>
        <v>medium</v>
      </c>
      <c r="AB1043">
        <f>YEAR(Table1[[#This Row],[Hire Date]])</f>
        <v>2018</v>
      </c>
      <c r="AC1043" t="str">
        <f>TEXT(Table1[[#This Row],[Hire Date]],"mmmm")</f>
        <v>ژوئن</v>
      </c>
      <c r="AD1043" t="str">
        <f>IF(Table1[[#This Row],[Resigned]]="yes","former","active")</f>
        <v>active</v>
      </c>
    </row>
    <row r="1044" spans="1:30" x14ac:dyDescent="0.3">
      <c r="A1044" t="s">
        <v>2153</v>
      </c>
      <c r="B1044" t="s">
        <v>2154</v>
      </c>
      <c r="C1044" t="s">
        <v>27</v>
      </c>
      <c r="D1044">
        <v>46</v>
      </c>
      <c r="E1044" t="s">
        <v>110</v>
      </c>
      <c r="F1044" t="s">
        <v>111</v>
      </c>
      <c r="G1044" t="s">
        <v>30</v>
      </c>
      <c r="H1044" t="s">
        <v>31</v>
      </c>
      <c r="I1044" t="s">
        <v>65</v>
      </c>
      <c r="J1044" s="1">
        <v>45837</v>
      </c>
      <c r="K1044">
        <v>1</v>
      </c>
      <c r="L1044">
        <v>52770074</v>
      </c>
      <c r="M1044">
        <v>8025978</v>
      </c>
      <c r="N1044" t="s">
        <v>34</v>
      </c>
      <c r="O1044">
        <v>4.6900000000000004</v>
      </c>
      <c r="P1044">
        <v>53</v>
      </c>
      <c r="Q1044">
        <v>1</v>
      </c>
      <c r="R1044">
        <v>3</v>
      </c>
      <c r="S1044">
        <v>15</v>
      </c>
      <c r="T1044" t="s">
        <v>33</v>
      </c>
      <c r="U1044" t="s">
        <v>34</v>
      </c>
      <c r="V1044" t="s">
        <v>70</v>
      </c>
      <c r="W1044" t="s">
        <v>34</v>
      </c>
      <c r="X1044" t="s">
        <v>52</v>
      </c>
      <c r="Z1044" t="str">
        <f>IF(Table1[[#This Row],[Age]]&lt;30,"20-29",IF(Table1[[#This Row],[Age]]&lt;40,"30-39",IF(Table1[[#This Row],[Age]]&lt;50,"40-49","50+")))</f>
        <v>40-49</v>
      </c>
      <c r="AA1044" t="str">
        <f>IF(Table1[[#This Row],[Salary]]&lt;20000000,"low",IF(Table1[[#This Row],[Salary]]&lt;40000000,"medium","high"))</f>
        <v>high</v>
      </c>
      <c r="AB1044">
        <f>YEAR(Table1[[#This Row],[Hire Date]])</f>
        <v>2025</v>
      </c>
      <c r="AC1044" t="str">
        <f>TEXT(Table1[[#This Row],[Hire Date]],"mmmm")</f>
        <v>ژوئن</v>
      </c>
      <c r="AD1044" t="str">
        <f>IF(Table1[[#This Row],[Resigned]]="yes","former","active")</f>
        <v>active</v>
      </c>
    </row>
    <row r="1045" spans="1:30" x14ac:dyDescent="0.3">
      <c r="A1045" t="s">
        <v>2155</v>
      </c>
      <c r="B1045" t="s">
        <v>2156</v>
      </c>
      <c r="C1045" t="s">
        <v>27</v>
      </c>
      <c r="D1045">
        <v>27</v>
      </c>
      <c r="E1045" t="s">
        <v>110</v>
      </c>
      <c r="F1045" t="s">
        <v>120</v>
      </c>
      <c r="G1045" t="s">
        <v>58</v>
      </c>
      <c r="H1045" t="s">
        <v>42</v>
      </c>
      <c r="I1045" t="s">
        <v>65</v>
      </c>
      <c r="J1045" s="1">
        <v>43721</v>
      </c>
      <c r="K1045">
        <v>7</v>
      </c>
      <c r="L1045">
        <v>18111557</v>
      </c>
      <c r="M1045">
        <v>8779250</v>
      </c>
      <c r="N1045" t="s">
        <v>34</v>
      </c>
      <c r="O1045">
        <v>4.17</v>
      </c>
      <c r="P1045">
        <v>39</v>
      </c>
      <c r="Q1045">
        <v>4</v>
      </c>
      <c r="R1045">
        <v>4</v>
      </c>
      <c r="S1045">
        <v>17</v>
      </c>
      <c r="T1045" t="s">
        <v>34</v>
      </c>
      <c r="U1045" t="s">
        <v>34</v>
      </c>
      <c r="V1045" t="s">
        <v>59</v>
      </c>
      <c r="W1045" t="s">
        <v>34</v>
      </c>
      <c r="X1045" t="s">
        <v>52</v>
      </c>
      <c r="Z1045" t="str">
        <f>IF(Table1[[#This Row],[Age]]&lt;30,"20-29",IF(Table1[[#This Row],[Age]]&lt;40,"30-39",IF(Table1[[#This Row],[Age]]&lt;50,"40-49","50+")))</f>
        <v>20-29</v>
      </c>
      <c r="AA1045" t="str">
        <f>IF(Table1[[#This Row],[Salary]]&lt;20000000,"low",IF(Table1[[#This Row],[Salary]]&lt;40000000,"medium","high"))</f>
        <v>low</v>
      </c>
      <c r="AB1045">
        <f>YEAR(Table1[[#This Row],[Hire Date]])</f>
        <v>2019</v>
      </c>
      <c r="AC1045" t="str">
        <f>TEXT(Table1[[#This Row],[Hire Date]],"mmmm")</f>
        <v>سپتامبر</v>
      </c>
      <c r="AD1045" t="str">
        <f>IF(Table1[[#This Row],[Resigned]]="yes","former","active")</f>
        <v>active</v>
      </c>
    </row>
    <row r="1046" spans="1:30" x14ac:dyDescent="0.3">
      <c r="A1046" t="s">
        <v>2157</v>
      </c>
      <c r="B1046" t="s">
        <v>2158</v>
      </c>
      <c r="C1046" t="s">
        <v>39</v>
      </c>
      <c r="D1046">
        <v>39</v>
      </c>
      <c r="E1046" t="s">
        <v>56</v>
      </c>
      <c r="F1046" t="s">
        <v>84</v>
      </c>
      <c r="G1046" t="s">
        <v>49</v>
      </c>
      <c r="H1046" t="s">
        <v>42</v>
      </c>
      <c r="I1046" t="s">
        <v>32</v>
      </c>
      <c r="J1046" s="1">
        <v>43777</v>
      </c>
      <c r="K1046">
        <v>7</v>
      </c>
      <c r="L1046">
        <v>38996317</v>
      </c>
      <c r="M1046">
        <v>9505586</v>
      </c>
      <c r="N1046" t="s">
        <v>34</v>
      </c>
      <c r="O1046">
        <v>4.2</v>
      </c>
      <c r="P1046">
        <v>38</v>
      </c>
      <c r="Q1046">
        <v>1</v>
      </c>
      <c r="R1046">
        <v>2</v>
      </c>
      <c r="S1046">
        <v>19</v>
      </c>
      <c r="T1046" t="s">
        <v>34</v>
      </c>
      <c r="U1046" t="s">
        <v>33</v>
      </c>
      <c r="V1046" t="s">
        <v>59</v>
      </c>
      <c r="W1046" t="s">
        <v>34</v>
      </c>
      <c r="X1046" t="s">
        <v>36</v>
      </c>
      <c r="Y1046" t="s">
        <v>162</v>
      </c>
      <c r="Z1046" t="str">
        <f>IF(Table1[[#This Row],[Age]]&lt;30,"20-29",IF(Table1[[#This Row],[Age]]&lt;40,"30-39",IF(Table1[[#This Row],[Age]]&lt;50,"40-49","50+")))</f>
        <v>30-39</v>
      </c>
      <c r="AA1046" t="str">
        <f>IF(Table1[[#This Row],[Salary]]&lt;20000000,"low",IF(Table1[[#This Row],[Salary]]&lt;40000000,"medium","high"))</f>
        <v>medium</v>
      </c>
      <c r="AB1046">
        <f>YEAR(Table1[[#This Row],[Hire Date]])</f>
        <v>2019</v>
      </c>
      <c r="AC1046" t="str">
        <f>TEXT(Table1[[#This Row],[Hire Date]],"mmmm")</f>
        <v>نوامبر</v>
      </c>
      <c r="AD1046" t="str">
        <f>IF(Table1[[#This Row],[Resigned]]="yes","former","active")</f>
        <v>former</v>
      </c>
    </row>
    <row r="1047" spans="1:30" x14ac:dyDescent="0.3">
      <c r="A1047" t="s">
        <v>2159</v>
      </c>
      <c r="B1047" t="s">
        <v>2160</v>
      </c>
      <c r="C1047" t="s">
        <v>39</v>
      </c>
      <c r="D1047">
        <v>49</v>
      </c>
      <c r="E1047" t="s">
        <v>28</v>
      </c>
      <c r="F1047" t="s">
        <v>29</v>
      </c>
      <c r="G1047" t="s">
        <v>49</v>
      </c>
      <c r="H1047" t="s">
        <v>31</v>
      </c>
      <c r="I1047" t="s">
        <v>81</v>
      </c>
      <c r="J1047" s="1">
        <v>44674</v>
      </c>
      <c r="K1047">
        <v>4</v>
      </c>
      <c r="L1047">
        <v>41952541</v>
      </c>
      <c r="M1047">
        <v>8208500</v>
      </c>
      <c r="N1047" t="s">
        <v>33</v>
      </c>
      <c r="O1047">
        <v>3.36</v>
      </c>
      <c r="P1047">
        <v>8</v>
      </c>
      <c r="Q1047">
        <v>2</v>
      </c>
      <c r="R1047">
        <v>5</v>
      </c>
      <c r="S1047">
        <v>6</v>
      </c>
      <c r="T1047" t="s">
        <v>34</v>
      </c>
      <c r="U1047" t="s">
        <v>34</v>
      </c>
      <c r="V1047" t="s">
        <v>70</v>
      </c>
      <c r="W1047" t="s">
        <v>33</v>
      </c>
      <c r="X1047" t="s">
        <v>45</v>
      </c>
      <c r="Z1047" t="str">
        <f>IF(Table1[[#This Row],[Age]]&lt;30,"20-29",IF(Table1[[#This Row],[Age]]&lt;40,"30-39",IF(Table1[[#This Row],[Age]]&lt;50,"40-49","50+")))</f>
        <v>40-49</v>
      </c>
      <c r="AA1047" t="str">
        <f>IF(Table1[[#This Row],[Salary]]&lt;20000000,"low",IF(Table1[[#This Row],[Salary]]&lt;40000000,"medium","high"))</f>
        <v>high</v>
      </c>
      <c r="AB1047">
        <f>YEAR(Table1[[#This Row],[Hire Date]])</f>
        <v>2022</v>
      </c>
      <c r="AC1047" t="str">
        <f>TEXT(Table1[[#This Row],[Hire Date]],"mmmm")</f>
        <v>آوريل</v>
      </c>
      <c r="AD1047" t="str">
        <f>IF(Table1[[#This Row],[Resigned]]="yes","former","active")</f>
        <v>active</v>
      </c>
    </row>
    <row r="1048" spans="1:30" x14ac:dyDescent="0.3">
      <c r="A1048" t="s">
        <v>2161</v>
      </c>
      <c r="B1048" t="s">
        <v>2162</v>
      </c>
      <c r="C1048" t="s">
        <v>27</v>
      </c>
      <c r="D1048">
        <v>39</v>
      </c>
      <c r="E1048" t="s">
        <v>56</v>
      </c>
      <c r="F1048" t="s">
        <v>84</v>
      </c>
      <c r="G1048" t="s">
        <v>58</v>
      </c>
      <c r="H1048" t="s">
        <v>31</v>
      </c>
      <c r="I1048" t="s">
        <v>32</v>
      </c>
      <c r="J1048" s="1">
        <v>42643</v>
      </c>
      <c r="K1048">
        <v>10</v>
      </c>
      <c r="L1048">
        <v>48430847</v>
      </c>
      <c r="M1048">
        <v>1909881</v>
      </c>
      <c r="N1048" t="s">
        <v>34</v>
      </c>
      <c r="O1048">
        <v>4.53</v>
      </c>
      <c r="P1048">
        <v>31</v>
      </c>
      <c r="Q1048">
        <v>3</v>
      </c>
      <c r="R1048">
        <v>4</v>
      </c>
      <c r="S1048">
        <v>7</v>
      </c>
      <c r="T1048" t="s">
        <v>33</v>
      </c>
      <c r="U1048" t="s">
        <v>34</v>
      </c>
      <c r="V1048" t="s">
        <v>44</v>
      </c>
      <c r="W1048" t="s">
        <v>33</v>
      </c>
      <c r="X1048" t="s">
        <v>36</v>
      </c>
      <c r="Z1048" t="str">
        <f>IF(Table1[[#This Row],[Age]]&lt;30,"20-29",IF(Table1[[#This Row],[Age]]&lt;40,"30-39",IF(Table1[[#This Row],[Age]]&lt;50,"40-49","50+")))</f>
        <v>30-39</v>
      </c>
      <c r="AA1048" t="str">
        <f>IF(Table1[[#This Row],[Salary]]&lt;20000000,"low",IF(Table1[[#This Row],[Salary]]&lt;40000000,"medium","high"))</f>
        <v>high</v>
      </c>
      <c r="AB1048">
        <f>YEAR(Table1[[#This Row],[Hire Date]])</f>
        <v>2016</v>
      </c>
      <c r="AC1048" t="str">
        <f>TEXT(Table1[[#This Row],[Hire Date]],"mmmm")</f>
        <v>سپتامبر</v>
      </c>
      <c r="AD1048" t="str">
        <f>IF(Table1[[#This Row],[Resigned]]="yes","former","active")</f>
        <v>active</v>
      </c>
    </row>
    <row r="1049" spans="1:30" x14ac:dyDescent="0.3">
      <c r="A1049" t="s">
        <v>2163</v>
      </c>
      <c r="B1049" t="s">
        <v>2164</v>
      </c>
      <c r="C1049" t="s">
        <v>27</v>
      </c>
      <c r="D1049">
        <v>52</v>
      </c>
      <c r="E1049" t="s">
        <v>40</v>
      </c>
      <c r="F1049" t="s">
        <v>41</v>
      </c>
      <c r="G1049" t="s">
        <v>49</v>
      </c>
      <c r="H1049" t="s">
        <v>31</v>
      </c>
      <c r="I1049" t="s">
        <v>81</v>
      </c>
      <c r="J1049" s="1">
        <v>42485</v>
      </c>
      <c r="K1049">
        <v>10</v>
      </c>
      <c r="L1049">
        <v>15980823</v>
      </c>
      <c r="M1049">
        <v>2182225</v>
      </c>
      <c r="N1049" t="s">
        <v>34</v>
      </c>
      <c r="O1049">
        <v>2.76</v>
      </c>
      <c r="P1049">
        <v>28</v>
      </c>
      <c r="Q1049">
        <v>5</v>
      </c>
      <c r="R1049">
        <v>4</v>
      </c>
      <c r="S1049">
        <v>19</v>
      </c>
      <c r="T1049" t="s">
        <v>34</v>
      </c>
      <c r="U1049" t="s">
        <v>34</v>
      </c>
      <c r="V1049" t="s">
        <v>70</v>
      </c>
      <c r="W1049" t="s">
        <v>33</v>
      </c>
      <c r="X1049" t="s">
        <v>45</v>
      </c>
      <c r="Z1049" t="str">
        <f>IF(Table1[[#This Row],[Age]]&lt;30,"20-29",IF(Table1[[#This Row],[Age]]&lt;40,"30-39",IF(Table1[[#This Row],[Age]]&lt;50,"40-49","50+")))</f>
        <v>50+</v>
      </c>
      <c r="AA1049" t="str">
        <f>IF(Table1[[#This Row],[Salary]]&lt;20000000,"low",IF(Table1[[#This Row],[Salary]]&lt;40000000,"medium","high"))</f>
        <v>low</v>
      </c>
      <c r="AB1049">
        <f>YEAR(Table1[[#This Row],[Hire Date]])</f>
        <v>2016</v>
      </c>
      <c r="AC1049" t="str">
        <f>TEXT(Table1[[#This Row],[Hire Date]],"mmmm")</f>
        <v>آوريل</v>
      </c>
      <c r="AD1049" t="str">
        <f>IF(Table1[[#This Row],[Resigned]]="yes","former","active")</f>
        <v>active</v>
      </c>
    </row>
    <row r="1050" spans="1:30" x14ac:dyDescent="0.3">
      <c r="A1050" t="s">
        <v>2165</v>
      </c>
      <c r="B1050" t="s">
        <v>2166</v>
      </c>
      <c r="C1050" t="s">
        <v>27</v>
      </c>
      <c r="D1050">
        <v>46</v>
      </c>
      <c r="E1050" t="s">
        <v>56</v>
      </c>
      <c r="F1050" t="s">
        <v>57</v>
      </c>
      <c r="G1050" t="s">
        <v>58</v>
      </c>
      <c r="H1050" t="s">
        <v>42</v>
      </c>
      <c r="I1050" t="s">
        <v>50</v>
      </c>
      <c r="J1050" s="1">
        <v>43188</v>
      </c>
      <c r="K1050">
        <v>8</v>
      </c>
      <c r="L1050">
        <v>23068103</v>
      </c>
      <c r="M1050">
        <v>6933220</v>
      </c>
      <c r="N1050" t="s">
        <v>34</v>
      </c>
      <c r="O1050">
        <v>3.82</v>
      </c>
      <c r="P1050">
        <v>42</v>
      </c>
      <c r="Q1050">
        <v>3</v>
      </c>
      <c r="R1050">
        <v>1</v>
      </c>
      <c r="S1050">
        <v>20</v>
      </c>
      <c r="T1050" t="s">
        <v>33</v>
      </c>
      <c r="U1050" t="s">
        <v>33</v>
      </c>
      <c r="V1050" t="s">
        <v>70</v>
      </c>
      <c r="W1050" t="s">
        <v>33</v>
      </c>
      <c r="X1050" t="s">
        <v>36</v>
      </c>
      <c r="Y1050" t="s">
        <v>162</v>
      </c>
      <c r="Z1050" t="str">
        <f>IF(Table1[[#This Row],[Age]]&lt;30,"20-29",IF(Table1[[#This Row],[Age]]&lt;40,"30-39",IF(Table1[[#This Row],[Age]]&lt;50,"40-49","50+")))</f>
        <v>40-49</v>
      </c>
      <c r="AA1050" t="str">
        <f>IF(Table1[[#This Row],[Salary]]&lt;20000000,"low",IF(Table1[[#This Row],[Salary]]&lt;40000000,"medium","high"))</f>
        <v>medium</v>
      </c>
      <c r="AB1050">
        <f>YEAR(Table1[[#This Row],[Hire Date]])</f>
        <v>2018</v>
      </c>
      <c r="AC1050" t="str">
        <f>TEXT(Table1[[#This Row],[Hire Date]],"mmmm")</f>
        <v>مارس</v>
      </c>
      <c r="AD1050" t="str">
        <f>IF(Table1[[#This Row],[Resigned]]="yes","former","active")</f>
        <v>former</v>
      </c>
    </row>
    <row r="1051" spans="1:30" x14ac:dyDescent="0.3">
      <c r="A1051" t="s">
        <v>2167</v>
      </c>
      <c r="B1051" t="s">
        <v>2168</v>
      </c>
      <c r="C1051" t="s">
        <v>27</v>
      </c>
      <c r="D1051">
        <v>46</v>
      </c>
      <c r="E1051" t="s">
        <v>40</v>
      </c>
      <c r="F1051" t="s">
        <v>48</v>
      </c>
      <c r="G1051" t="s">
        <v>49</v>
      </c>
      <c r="H1051" t="s">
        <v>42</v>
      </c>
      <c r="I1051" t="s">
        <v>65</v>
      </c>
      <c r="J1051" s="1">
        <v>43597</v>
      </c>
      <c r="K1051">
        <v>7</v>
      </c>
      <c r="L1051">
        <v>44826304</v>
      </c>
      <c r="M1051">
        <v>919725</v>
      </c>
      <c r="N1051" t="s">
        <v>34</v>
      </c>
      <c r="O1051">
        <v>4.6500000000000004</v>
      </c>
      <c r="P1051">
        <v>47</v>
      </c>
      <c r="Q1051">
        <v>3</v>
      </c>
      <c r="R1051">
        <v>5</v>
      </c>
      <c r="S1051">
        <v>2</v>
      </c>
      <c r="T1051" t="s">
        <v>33</v>
      </c>
      <c r="U1051" t="s">
        <v>34</v>
      </c>
      <c r="V1051" t="s">
        <v>70</v>
      </c>
      <c r="W1051" t="s">
        <v>34</v>
      </c>
      <c r="X1051" t="s">
        <v>36</v>
      </c>
      <c r="Z1051" t="str">
        <f>IF(Table1[[#This Row],[Age]]&lt;30,"20-29",IF(Table1[[#This Row],[Age]]&lt;40,"30-39",IF(Table1[[#This Row],[Age]]&lt;50,"40-49","50+")))</f>
        <v>40-49</v>
      </c>
      <c r="AA1051" t="str">
        <f>IF(Table1[[#This Row],[Salary]]&lt;20000000,"low",IF(Table1[[#This Row],[Salary]]&lt;40000000,"medium","high"))</f>
        <v>high</v>
      </c>
      <c r="AB1051">
        <f>YEAR(Table1[[#This Row],[Hire Date]])</f>
        <v>2019</v>
      </c>
      <c r="AC1051" t="str">
        <f>TEXT(Table1[[#This Row],[Hire Date]],"mmmm")</f>
        <v>مه</v>
      </c>
      <c r="AD1051" t="str">
        <f>IF(Table1[[#This Row],[Resigned]]="yes","former","active")</f>
        <v>active</v>
      </c>
    </row>
    <row r="1052" spans="1:30" x14ac:dyDescent="0.3">
      <c r="A1052" t="s">
        <v>2169</v>
      </c>
      <c r="B1052" t="s">
        <v>2170</v>
      </c>
      <c r="C1052" t="s">
        <v>27</v>
      </c>
      <c r="D1052">
        <v>42</v>
      </c>
      <c r="E1052" t="s">
        <v>110</v>
      </c>
      <c r="F1052" t="s">
        <v>111</v>
      </c>
      <c r="G1052" t="s">
        <v>49</v>
      </c>
      <c r="H1052" t="s">
        <v>42</v>
      </c>
      <c r="I1052" t="s">
        <v>81</v>
      </c>
      <c r="J1052" s="1">
        <v>43730</v>
      </c>
      <c r="K1052">
        <v>7</v>
      </c>
      <c r="L1052">
        <v>38332128</v>
      </c>
      <c r="M1052">
        <v>6274842</v>
      </c>
      <c r="N1052" t="s">
        <v>33</v>
      </c>
      <c r="O1052">
        <v>4.21</v>
      </c>
      <c r="P1052">
        <v>47</v>
      </c>
      <c r="Q1052">
        <v>5</v>
      </c>
      <c r="R1052">
        <v>3</v>
      </c>
      <c r="S1052">
        <v>1</v>
      </c>
      <c r="T1052" t="s">
        <v>33</v>
      </c>
      <c r="U1052" t="s">
        <v>34</v>
      </c>
      <c r="V1052" t="s">
        <v>70</v>
      </c>
      <c r="W1052" t="s">
        <v>33</v>
      </c>
      <c r="X1052" t="s">
        <v>52</v>
      </c>
      <c r="Z1052" t="str">
        <f>IF(Table1[[#This Row],[Age]]&lt;30,"20-29",IF(Table1[[#This Row],[Age]]&lt;40,"30-39",IF(Table1[[#This Row],[Age]]&lt;50,"40-49","50+")))</f>
        <v>40-49</v>
      </c>
      <c r="AA1052" t="str">
        <f>IF(Table1[[#This Row],[Salary]]&lt;20000000,"low",IF(Table1[[#This Row],[Salary]]&lt;40000000,"medium","high"))</f>
        <v>medium</v>
      </c>
      <c r="AB1052">
        <f>YEAR(Table1[[#This Row],[Hire Date]])</f>
        <v>2019</v>
      </c>
      <c r="AC1052" t="str">
        <f>TEXT(Table1[[#This Row],[Hire Date]],"mmmm")</f>
        <v>سپتامبر</v>
      </c>
      <c r="AD1052" t="str">
        <f>IF(Table1[[#This Row],[Resigned]]="yes","former","active")</f>
        <v>active</v>
      </c>
    </row>
    <row r="1053" spans="1:30" x14ac:dyDescent="0.3">
      <c r="A1053" t="s">
        <v>2171</v>
      </c>
      <c r="B1053" t="s">
        <v>2172</v>
      </c>
      <c r="C1053" t="s">
        <v>27</v>
      </c>
      <c r="D1053">
        <v>24</v>
      </c>
      <c r="E1053" t="s">
        <v>73</v>
      </c>
      <c r="F1053" t="s">
        <v>74</v>
      </c>
      <c r="G1053" t="s">
        <v>49</v>
      </c>
      <c r="H1053" t="s">
        <v>42</v>
      </c>
      <c r="I1053" t="s">
        <v>32</v>
      </c>
      <c r="J1053" s="1">
        <v>45028</v>
      </c>
      <c r="K1053">
        <v>3</v>
      </c>
      <c r="L1053">
        <v>14579211</v>
      </c>
      <c r="M1053">
        <v>9413839</v>
      </c>
      <c r="N1053" t="s">
        <v>33</v>
      </c>
      <c r="O1053">
        <v>3.46</v>
      </c>
      <c r="P1053">
        <v>74</v>
      </c>
      <c r="Q1053">
        <v>5</v>
      </c>
      <c r="R1053">
        <v>3</v>
      </c>
      <c r="S1053">
        <v>11</v>
      </c>
      <c r="T1053" t="s">
        <v>34</v>
      </c>
      <c r="U1053" t="s">
        <v>34</v>
      </c>
      <c r="V1053" t="s">
        <v>70</v>
      </c>
      <c r="W1053" t="s">
        <v>33</v>
      </c>
      <c r="X1053" t="s">
        <v>52</v>
      </c>
      <c r="Z1053" t="str">
        <f>IF(Table1[[#This Row],[Age]]&lt;30,"20-29",IF(Table1[[#This Row],[Age]]&lt;40,"30-39",IF(Table1[[#This Row],[Age]]&lt;50,"40-49","50+")))</f>
        <v>20-29</v>
      </c>
      <c r="AA1053" t="str">
        <f>IF(Table1[[#This Row],[Salary]]&lt;20000000,"low",IF(Table1[[#This Row],[Salary]]&lt;40000000,"medium","high"))</f>
        <v>low</v>
      </c>
      <c r="AB1053">
        <f>YEAR(Table1[[#This Row],[Hire Date]])</f>
        <v>2023</v>
      </c>
      <c r="AC1053" t="str">
        <f>TEXT(Table1[[#This Row],[Hire Date]],"mmmm")</f>
        <v>آوريل</v>
      </c>
      <c r="AD1053" t="str">
        <f>IF(Table1[[#This Row],[Resigned]]="yes","former","active")</f>
        <v>active</v>
      </c>
    </row>
    <row r="1054" spans="1:30" x14ac:dyDescent="0.3">
      <c r="A1054" t="s">
        <v>2173</v>
      </c>
      <c r="B1054" t="s">
        <v>2174</v>
      </c>
      <c r="C1054" t="s">
        <v>27</v>
      </c>
      <c r="D1054">
        <v>41</v>
      </c>
      <c r="E1054" t="s">
        <v>73</v>
      </c>
      <c r="F1054" t="s">
        <v>127</v>
      </c>
      <c r="G1054" t="s">
        <v>49</v>
      </c>
      <c r="H1054" t="s">
        <v>42</v>
      </c>
      <c r="I1054" t="s">
        <v>32</v>
      </c>
      <c r="J1054" s="1">
        <v>44051</v>
      </c>
      <c r="K1054">
        <v>6</v>
      </c>
      <c r="L1054">
        <v>37850218</v>
      </c>
      <c r="M1054">
        <v>7592495</v>
      </c>
      <c r="N1054" t="s">
        <v>34</v>
      </c>
      <c r="O1054">
        <v>3.36</v>
      </c>
      <c r="P1054">
        <v>73</v>
      </c>
      <c r="Q1054">
        <v>5</v>
      </c>
      <c r="R1054">
        <v>3</v>
      </c>
      <c r="S1054">
        <v>5</v>
      </c>
      <c r="T1054" t="s">
        <v>34</v>
      </c>
      <c r="U1054" t="s">
        <v>34</v>
      </c>
      <c r="V1054" t="s">
        <v>44</v>
      </c>
      <c r="W1054" t="s">
        <v>33</v>
      </c>
      <c r="X1054" t="s">
        <v>45</v>
      </c>
      <c r="Z1054" t="str">
        <f>IF(Table1[[#This Row],[Age]]&lt;30,"20-29",IF(Table1[[#This Row],[Age]]&lt;40,"30-39",IF(Table1[[#This Row],[Age]]&lt;50,"40-49","50+")))</f>
        <v>40-49</v>
      </c>
      <c r="AA1054" t="str">
        <f>IF(Table1[[#This Row],[Salary]]&lt;20000000,"low",IF(Table1[[#This Row],[Salary]]&lt;40000000,"medium","high"))</f>
        <v>medium</v>
      </c>
      <c r="AB1054">
        <f>YEAR(Table1[[#This Row],[Hire Date]])</f>
        <v>2020</v>
      </c>
      <c r="AC1054" t="str">
        <f>TEXT(Table1[[#This Row],[Hire Date]],"mmmm")</f>
        <v>اوت</v>
      </c>
      <c r="AD1054" t="str">
        <f>IF(Table1[[#This Row],[Resigned]]="yes","former","active")</f>
        <v>active</v>
      </c>
    </row>
    <row r="1055" spans="1:30" x14ac:dyDescent="0.3">
      <c r="A1055" t="s">
        <v>2175</v>
      </c>
      <c r="B1055" t="s">
        <v>2176</v>
      </c>
      <c r="C1055" t="s">
        <v>39</v>
      </c>
      <c r="D1055">
        <v>25</v>
      </c>
      <c r="E1055" t="s">
        <v>73</v>
      </c>
      <c r="F1055" t="s">
        <v>127</v>
      </c>
      <c r="G1055" t="s">
        <v>49</v>
      </c>
      <c r="H1055" t="s">
        <v>42</v>
      </c>
      <c r="I1055" t="s">
        <v>32</v>
      </c>
      <c r="J1055" s="1">
        <v>44126</v>
      </c>
      <c r="K1055">
        <v>6</v>
      </c>
      <c r="L1055">
        <v>21924868</v>
      </c>
      <c r="M1055">
        <v>9604159</v>
      </c>
      <c r="N1055" t="s">
        <v>34</v>
      </c>
      <c r="O1055">
        <v>4.8099999999999996</v>
      </c>
      <c r="P1055">
        <v>18</v>
      </c>
      <c r="Q1055">
        <v>2</v>
      </c>
      <c r="R1055">
        <v>4</v>
      </c>
      <c r="S1055">
        <v>2</v>
      </c>
      <c r="T1055" t="s">
        <v>34</v>
      </c>
      <c r="U1055" t="s">
        <v>34</v>
      </c>
      <c r="V1055" t="s">
        <v>70</v>
      </c>
      <c r="W1055" t="s">
        <v>34</v>
      </c>
      <c r="X1055" t="s">
        <v>52</v>
      </c>
      <c r="Z1055" t="str">
        <f>IF(Table1[[#This Row],[Age]]&lt;30,"20-29",IF(Table1[[#This Row],[Age]]&lt;40,"30-39",IF(Table1[[#This Row],[Age]]&lt;50,"40-49","50+")))</f>
        <v>20-29</v>
      </c>
      <c r="AA1055" t="str">
        <f>IF(Table1[[#This Row],[Salary]]&lt;20000000,"low",IF(Table1[[#This Row],[Salary]]&lt;40000000,"medium","high"))</f>
        <v>medium</v>
      </c>
      <c r="AB1055">
        <f>YEAR(Table1[[#This Row],[Hire Date]])</f>
        <v>2020</v>
      </c>
      <c r="AC1055" t="str">
        <f>TEXT(Table1[[#This Row],[Hire Date]],"mmmm")</f>
        <v>اُكتبر</v>
      </c>
      <c r="AD1055" t="str">
        <f>IF(Table1[[#This Row],[Resigned]]="yes","former","active")</f>
        <v>active</v>
      </c>
    </row>
    <row r="1056" spans="1:30" x14ac:dyDescent="0.3">
      <c r="A1056" t="s">
        <v>2177</v>
      </c>
      <c r="B1056" t="s">
        <v>2178</v>
      </c>
      <c r="C1056" t="s">
        <v>27</v>
      </c>
      <c r="D1056">
        <v>36</v>
      </c>
      <c r="E1056" t="s">
        <v>56</v>
      </c>
      <c r="F1056" t="s">
        <v>57</v>
      </c>
      <c r="G1056" t="s">
        <v>58</v>
      </c>
      <c r="H1056" t="s">
        <v>31</v>
      </c>
      <c r="I1056" t="s">
        <v>43</v>
      </c>
      <c r="J1056" s="1">
        <v>45748</v>
      </c>
      <c r="K1056">
        <v>1</v>
      </c>
      <c r="L1056">
        <v>50689178</v>
      </c>
      <c r="M1056">
        <v>136316</v>
      </c>
      <c r="N1056" t="s">
        <v>33</v>
      </c>
      <c r="O1056">
        <v>4.7300000000000004</v>
      </c>
      <c r="P1056">
        <v>77</v>
      </c>
      <c r="Q1056">
        <v>2</v>
      </c>
      <c r="R1056">
        <v>4</v>
      </c>
      <c r="S1056">
        <v>12</v>
      </c>
      <c r="T1056" t="s">
        <v>34</v>
      </c>
      <c r="U1056" t="s">
        <v>34</v>
      </c>
      <c r="V1056" t="s">
        <v>59</v>
      </c>
      <c r="W1056" t="s">
        <v>34</v>
      </c>
      <c r="X1056" t="s">
        <v>36</v>
      </c>
      <c r="Z1056" t="str">
        <f>IF(Table1[[#This Row],[Age]]&lt;30,"20-29",IF(Table1[[#This Row],[Age]]&lt;40,"30-39",IF(Table1[[#This Row],[Age]]&lt;50,"40-49","50+")))</f>
        <v>30-39</v>
      </c>
      <c r="AA1056" t="str">
        <f>IF(Table1[[#This Row],[Salary]]&lt;20000000,"low",IF(Table1[[#This Row],[Salary]]&lt;40000000,"medium","high"))</f>
        <v>high</v>
      </c>
      <c r="AB1056">
        <f>YEAR(Table1[[#This Row],[Hire Date]])</f>
        <v>2025</v>
      </c>
      <c r="AC1056" t="str">
        <f>TEXT(Table1[[#This Row],[Hire Date]],"mmmm")</f>
        <v>آوريل</v>
      </c>
      <c r="AD1056" t="str">
        <f>IF(Table1[[#This Row],[Resigned]]="yes","former","active")</f>
        <v>active</v>
      </c>
    </row>
    <row r="1057" spans="1:30" x14ac:dyDescent="0.3">
      <c r="A1057" t="s">
        <v>2179</v>
      </c>
      <c r="B1057" t="s">
        <v>2180</v>
      </c>
      <c r="C1057" t="s">
        <v>39</v>
      </c>
      <c r="D1057">
        <v>38</v>
      </c>
      <c r="E1057" t="s">
        <v>63</v>
      </c>
      <c r="F1057" t="s">
        <v>93</v>
      </c>
      <c r="G1057" t="s">
        <v>49</v>
      </c>
      <c r="H1057" t="s">
        <v>31</v>
      </c>
      <c r="I1057" t="s">
        <v>50</v>
      </c>
      <c r="J1057" s="1">
        <v>43757</v>
      </c>
      <c r="K1057">
        <v>7</v>
      </c>
      <c r="L1057">
        <v>40826284</v>
      </c>
      <c r="M1057">
        <v>1514730</v>
      </c>
      <c r="N1057" t="s">
        <v>34</v>
      </c>
      <c r="O1057">
        <v>3.45</v>
      </c>
      <c r="P1057">
        <v>2</v>
      </c>
      <c r="Q1057">
        <v>3</v>
      </c>
      <c r="R1057">
        <v>1</v>
      </c>
      <c r="S1057">
        <v>8</v>
      </c>
      <c r="T1057" t="s">
        <v>34</v>
      </c>
      <c r="U1057" t="s">
        <v>34</v>
      </c>
      <c r="V1057" t="s">
        <v>44</v>
      </c>
      <c r="W1057" t="s">
        <v>34</v>
      </c>
      <c r="X1057" t="s">
        <v>52</v>
      </c>
      <c r="Z1057" t="str">
        <f>IF(Table1[[#This Row],[Age]]&lt;30,"20-29",IF(Table1[[#This Row],[Age]]&lt;40,"30-39",IF(Table1[[#This Row],[Age]]&lt;50,"40-49","50+")))</f>
        <v>30-39</v>
      </c>
      <c r="AA1057" t="str">
        <f>IF(Table1[[#This Row],[Salary]]&lt;20000000,"low",IF(Table1[[#This Row],[Salary]]&lt;40000000,"medium","high"))</f>
        <v>high</v>
      </c>
      <c r="AB1057">
        <f>YEAR(Table1[[#This Row],[Hire Date]])</f>
        <v>2019</v>
      </c>
      <c r="AC1057" t="str">
        <f>TEXT(Table1[[#This Row],[Hire Date]],"mmmm")</f>
        <v>اُكتبر</v>
      </c>
      <c r="AD1057" t="str">
        <f>IF(Table1[[#This Row],[Resigned]]="yes","former","active")</f>
        <v>active</v>
      </c>
    </row>
    <row r="1058" spans="1:30" x14ac:dyDescent="0.3">
      <c r="A1058" t="s">
        <v>2181</v>
      </c>
      <c r="B1058" t="s">
        <v>2182</v>
      </c>
      <c r="C1058" t="s">
        <v>27</v>
      </c>
      <c r="D1058">
        <v>30</v>
      </c>
      <c r="E1058" t="s">
        <v>28</v>
      </c>
      <c r="F1058" t="s">
        <v>80</v>
      </c>
      <c r="G1058" t="s">
        <v>30</v>
      </c>
      <c r="H1058" t="s">
        <v>31</v>
      </c>
      <c r="I1058" t="s">
        <v>43</v>
      </c>
      <c r="J1058" s="1">
        <v>45703</v>
      </c>
      <c r="K1058">
        <v>1</v>
      </c>
      <c r="L1058">
        <v>33301364</v>
      </c>
      <c r="M1058">
        <v>6707160</v>
      </c>
      <c r="N1058" t="s">
        <v>33</v>
      </c>
      <c r="O1058">
        <v>3.61</v>
      </c>
      <c r="P1058">
        <v>46</v>
      </c>
      <c r="Q1058">
        <v>3</v>
      </c>
      <c r="R1058">
        <v>4</v>
      </c>
      <c r="S1058">
        <v>3</v>
      </c>
      <c r="T1058" t="s">
        <v>34</v>
      </c>
      <c r="U1058" t="s">
        <v>34</v>
      </c>
      <c r="V1058" t="s">
        <v>44</v>
      </c>
      <c r="W1058" t="s">
        <v>33</v>
      </c>
      <c r="X1058" t="s">
        <v>36</v>
      </c>
      <c r="Z1058" t="str">
        <f>IF(Table1[[#This Row],[Age]]&lt;30,"20-29",IF(Table1[[#This Row],[Age]]&lt;40,"30-39",IF(Table1[[#This Row],[Age]]&lt;50,"40-49","50+")))</f>
        <v>30-39</v>
      </c>
      <c r="AA1058" t="str">
        <f>IF(Table1[[#This Row],[Salary]]&lt;20000000,"low",IF(Table1[[#This Row],[Salary]]&lt;40000000,"medium","high"))</f>
        <v>medium</v>
      </c>
      <c r="AB1058">
        <f>YEAR(Table1[[#This Row],[Hire Date]])</f>
        <v>2025</v>
      </c>
      <c r="AC1058" t="str">
        <f>TEXT(Table1[[#This Row],[Hire Date]],"mmmm")</f>
        <v>فوريه</v>
      </c>
      <c r="AD1058" t="str">
        <f>IF(Table1[[#This Row],[Resigned]]="yes","former","active")</f>
        <v>active</v>
      </c>
    </row>
    <row r="1059" spans="1:30" x14ac:dyDescent="0.3">
      <c r="A1059" t="s">
        <v>2183</v>
      </c>
      <c r="B1059" t="s">
        <v>2184</v>
      </c>
      <c r="C1059" t="s">
        <v>39</v>
      </c>
      <c r="D1059">
        <v>50</v>
      </c>
      <c r="E1059" t="s">
        <v>40</v>
      </c>
      <c r="F1059" t="s">
        <v>48</v>
      </c>
      <c r="G1059" t="s">
        <v>58</v>
      </c>
      <c r="H1059" t="s">
        <v>31</v>
      </c>
      <c r="I1059" t="s">
        <v>50</v>
      </c>
      <c r="J1059" s="1">
        <v>42994</v>
      </c>
      <c r="K1059">
        <v>9</v>
      </c>
      <c r="L1059">
        <v>21642637</v>
      </c>
      <c r="M1059">
        <v>7499516</v>
      </c>
      <c r="N1059" t="s">
        <v>34</v>
      </c>
      <c r="O1059">
        <v>3.57</v>
      </c>
      <c r="P1059">
        <v>18</v>
      </c>
      <c r="Q1059">
        <v>4</v>
      </c>
      <c r="R1059">
        <v>2</v>
      </c>
      <c r="S1059">
        <v>5</v>
      </c>
      <c r="T1059" t="s">
        <v>33</v>
      </c>
      <c r="U1059" t="s">
        <v>34</v>
      </c>
      <c r="V1059" t="s">
        <v>35</v>
      </c>
      <c r="W1059" t="s">
        <v>34</v>
      </c>
      <c r="X1059" t="s">
        <v>52</v>
      </c>
      <c r="Z1059" t="str">
        <f>IF(Table1[[#This Row],[Age]]&lt;30,"20-29",IF(Table1[[#This Row],[Age]]&lt;40,"30-39",IF(Table1[[#This Row],[Age]]&lt;50,"40-49","50+")))</f>
        <v>50+</v>
      </c>
      <c r="AA1059" t="str">
        <f>IF(Table1[[#This Row],[Salary]]&lt;20000000,"low",IF(Table1[[#This Row],[Salary]]&lt;40000000,"medium","high"))</f>
        <v>medium</v>
      </c>
      <c r="AB1059">
        <f>YEAR(Table1[[#This Row],[Hire Date]])</f>
        <v>2017</v>
      </c>
      <c r="AC1059" t="str">
        <f>TEXT(Table1[[#This Row],[Hire Date]],"mmmm")</f>
        <v>سپتامبر</v>
      </c>
      <c r="AD1059" t="str">
        <f>IF(Table1[[#This Row],[Resigned]]="yes","former","active")</f>
        <v>active</v>
      </c>
    </row>
    <row r="1060" spans="1:30" x14ac:dyDescent="0.3">
      <c r="A1060" t="s">
        <v>2185</v>
      </c>
      <c r="B1060" t="s">
        <v>2186</v>
      </c>
      <c r="C1060" t="s">
        <v>27</v>
      </c>
      <c r="D1060">
        <v>45</v>
      </c>
      <c r="E1060" t="s">
        <v>40</v>
      </c>
      <c r="F1060" t="s">
        <v>41</v>
      </c>
      <c r="G1060" t="s">
        <v>30</v>
      </c>
      <c r="H1060" t="s">
        <v>42</v>
      </c>
      <c r="I1060" t="s">
        <v>81</v>
      </c>
      <c r="J1060" s="1">
        <v>44655</v>
      </c>
      <c r="K1060">
        <v>4</v>
      </c>
      <c r="L1060">
        <v>30856188</v>
      </c>
      <c r="M1060">
        <v>8566530</v>
      </c>
      <c r="N1060" t="s">
        <v>34</v>
      </c>
      <c r="O1060">
        <v>2.89</v>
      </c>
      <c r="P1060">
        <v>52</v>
      </c>
      <c r="Q1060">
        <v>5</v>
      </c>
      <c r="R1060">
        <v>5</v>
      </c>
      <c r="S1060">
        <v>1</v>
      </c>
      <c r="T1060" t="s">
        <v>34</v>
      </c>
      <c r="U1060" t="s">
        <v>33</v>
      </c>
      <c r="V1060" t="s">
        <v>35</v>
      </c>
      <c r="W1060" t="s">
        <v>33</v>
      </c>
      <c r="X1060" t="s">
        <v>36</v>
      </c>
      <c r="Y1060" t="s">
        <v>53</v>
      </c>
      <c r="Z1060" t="str">
        <f>IF(Table1[[#This Row],[Age]]&lt;30,"20-29",IF(Table1[[#This Row],[Age]]&lt;40,"30-39",IF(Table1[[#This Row],[Age]]&lt;50,"40-49","50+")))</f>
        <v>40-49</v>
      </c>
      <c r="AA1060" t="str">
        <f>IF(Table1[[#This Row],[Salary]]&lt;20000000,"low",IF(Table1[[#This Row],[Salary]]&lt;40000000,"medium","high"))</f>
        <v>medium</v>
      </c>
      <c r="AB1060">
        <f>YEAR(Table1[[#This Row],[Hire Date]])</f>
        <v>2022</v>
      </c>
      <c r="AC1060" t="str">
        <f>TEXT(Table1[[#This Row],[Hire Date]],"mmmm")</f>
        <v>آوريل</v>
      </c>
      <c r="AD1060" t="str">
        <f>IF(Table1[[#This Row],[Resigned]]="yes","former","active")</f>
        <v>former</v>
      </c>
    </row>
    <row r="1061" spans="1:30" x14ac:dyDescent="0.3">
      <c r="A1061" t="s">
        <v>2187</v>
      </c>
      <c r="B1061" t="s">
        <v>2188</v>
      </c>
      <c r="C1061" t="s">
        <v>27</v>
      </c>
      <c r="D1061">
        <v>46</v>
      </c>
      <c r="E1061" t="s">
        <v>28</v>
      </c>
      <c r="F1061" t="s">
        <v>80</v>
      </c>
      <c r="G1061" t="s">
        <v>30</v>
      </c>
      <c r="H1061" t="s">
        <v>31</v>
      </c>
      <c r="I1061" t="s">
        <v>50</v>
      </c>
      <c r="J1061" s="1">
        <v>45493</v>
      </c>
      <c r="K1061">
        <v>2</v>
      </c>
      <c r="L1061">
        <v>38353751</v>
      </c>
      <c r="M1061">
        <v>7067523</v>
      </c>
      <c r="N1061" t="s">
        <v>34</v>
      </c>
      <c r="O1061">
        <v>4.84</v>
      </c>
      <c r="P1061">
        <v>44</v>
      </c>
      <c r="Q1061">
        <v>2</v>
      </c>
      <c r="R1061">
        <v>4</v>
      </c>
      <c r="S1061">
        <v>18</v>
      </c>
      <c r="T1061" t="s">
        <v>34</v>
      </c>
      <c r="U1061" t="s">
        <v>34</v>
      </c>
      <c r="V1061" t="s">
        <v>51</v>
      </c>
      <c r="W1061" t="s">
        <v>34</v>
      </c>
      <c r="X1061" t="s">
        <v>52</v>
      </c>
      <c r="Z1061" t="str">
        <f>IF(Table1[[#This Row],[Age]]&lt;30,"20-29",IF(Table1[[#This Row],[Age]]&lt;40,"30-39",IF(Table1[[#This Row],[Age]]&lt;50,"40-49","50+")))</f>
        <v>40-49</v>
      </c>
      <c r="AA1061" t="str">
        <f>IF(Table1[[#This Row],[Salary]]&lt;20000000,"low",IF(Table1[[#This Row],[Salary]]&lt;40000000,"medium","high"))</f>
        <v>medium</v>
      </c>
      <c r="AB1061">
        <f>YEAR(Table1[[#This Row],[Hire Date]])</f>
        <v>2024</v>
      </c>
      <c r="AC1061" t="str">
        <f>TEXT(Table1[[#This Row],[Hire Date]],"mmmm")</f>
        <v>ژوئيه</v>
      </c>
      <c r="AD1061" t="str">
        <f>IF(Table1[[#This Row],[Resigned]]="yes","former","active")</f>
        <v>active</v>
      </c>
    </row>
    <row r="1062" spans="1:30" x14ac:dyDescent="0.3">
      <c r="A1062" t="s">
        <v>2189</v>
      </c>
      <c r="B1062" t="s">
        <v>2190</v>
      </c>
      <c r="C1062" t="s">
        <v>27</v>
      </c>
      <c r="D1062">
        <v>27</v>
      </c>
      <c r="E1062" t="s">
        <v>63</v>
      </c>
      <c r="F1062" t="s">
        <v>93</v>
      </c>
      <c r="G1062" t="s">
        <v>58</v>
      </c>
      <c r="H1062" t="s">
        <v>31</v>
      </c>
      <c r="I1062" t="s">
        <v>65</v>
      </c>
      <c r="J1062" s="1">
        <v>44293</v>
      </c>
      <c r="K1062">
        <v>5</v>
      </c>
      <c r="L1062">
        <v>55036444</v>
      </c>
      <c r="M1062">
        <v>2879929</v>
      </c>
      <c r="N1062" t="s">
        <v>34</v>
      </c>
      <c r="O1062">
        <v>4.76</v>
      </c>
      <c r="P1062">
        <v>61</v>
      </c>
      <c r="Q1062">
        <v>2</v>
      </c>
      <c r="R1062">
        <v>3</v>
      </c>
      <c r="S1062">
        <v>2</v>
      </c>
      <c r="T1062" t="s">
        <v>34</v>
      </c>
      <c r="U1062" t="s">
        <v>33</v>
      </c>
      <c r="V1062" t="s">
        <v>44</v>
      </c>
      <c r="W1062" t="s">
        <v>33</v>
      </c>
      <c r="X1062" t="s">
        <v>52</v>
      </c>
      <c r="Y1062" t="s">
        <v>53</v>
      </c>
      <c r="Z1062" t="str">
        <f>IF(Table1[[#This Row],[Age]]&lt;30,"20-29",IF(Table1[[#This Row],[Age]]&lt;40,"30-39",IF(Table1[[#This Row],[Age]]&lt;50,"40-49","50+")))</f>
        <v>20-29</v>
      </c>
      <c r="AA1062" t="str">
        <f>IF(Table1[[#This Row],[Salary]]&lt;20000000,"low",IF(Table1[[#This Row],[Salary]]&lt;40000000,"medium","high"))</f>
        <v>high</v>
      </c>
      <c r="AB1062">
        <f>YEAR(Table1[[#This Row],[Hire Date]])</f>
        <v>2021</v>
      </c>
      <c r="AC1062" t="str">
        <f>TEXT(Table1[[#This Row],[Hire Date]],"mmmm")</f>
        <v>آوريل</v>
      </c>
      <c r="AD1062" t="str">
        <f>IF(Table1[[#This Row],[Resigned]]="yes","former","active")</f>
        <v>former</v>
      </c>
    </row>
    <row r="1063" spans="1:30" x14ac:dyDescent="0.3">
      <c r="A1063" t="s">
        <v>2191</v>
      </c>
      <c r="B1063" t="s">
        <v>2192</v>
      </c>
      <c r="C1063" t="s">
        <v>39</v>
      </c>
      <c r="D1063">
        <v>42</v>
      </c>
      <c r="E1063" t="s">
        <v>63</v>
      </c>
      <c r="F1063" t="s">
        <v>93</v>
      </c>
      <c r="G1063" t="s">
        <v>30</v>
      </c>
      <c r="H1063" t="s">
        <v>42</v>
      </c>
      <c r="I1063" t="s">
        <v>65</v>
      </c>
      <c r="J1063" s="1">
        <v>44192</v>
      </c>
      <c r="K1063">
        <v>6</v>
      </c>
      <c r="L1063">
        <v>50758435</v>
      </c>
      <c r="M1063">
        <v>9507012</v>
      </c>
      <c r="N1063" t="s">
        <v>34</v>
      </c>
      <c r="O1063">
        <v>3.88</v>
      </c>
      <c r="P1063">
        <v>25</v>
      </c>
      <c r="Q1063">
        <v>3</v>
      </c>
      <c r="R1063">
        <v>5</v>
      </c>
      <c r="S1063">
        <v>1</v>
      </c>
      <c r="T1063" t="s">
        <v>34</v>
      </c>
      <c r="U1063" t="s">
        <v>34</v>
      </c>
      <c r="V1063" t="s">
        <v>51</v>
      </c>
      <c r="W1063" t="s">
        <v>34</v>
      </c>
      <c r="X1063" t="s">
        <v>45</v>
      </c>
      <c r="Z1063" t="str">
        <f>IF(Table1[[#This Row],[Age]]&lt;30,"20-29",IF(Table1[[#This Row],[Age]]&lt;40,"30-39",IF(Table1[[#This Row],[Age]]&lt;50,"40-49","50+")))</f>
        <v>40-49</v>
      </c>
      <c r="AA1063" t="str">
        <f>IF(Table1[[#This Row],[Salary]]&lt;20000000,"low",IF(Table1[[#This Row],[Salary]]&lt;40000000,"medium","high"))</f>
        <v>high</v>
      </c>
      <c r="AB1063">
        <f>YEAR(Table1[[#This Row],[Hire Date]])</f>
        <v>2020</v>
      </c>
      <c r="AC1063" t="str">
        <f>TEXT(Table1[[#This Row],[Hire Date]],"mmmm")</f>
        <v>دسامبر</v>
      </c>
      <c r="AD1063" t="str">
        <f>IF(Table1[[#This Row],[Resigned]]="yes","former","active")</f>
        <v>active</v>
      </c>
    </row>
    <row r="1064" spans="1:30" x14ac:dyDescent="0.3">
      <c r="A1064" t="s">
        <v>2193</v>
      </c>
      <c r="B1064" t="s">
        <v>2194</v>
      </c>
      <c r="C1064" t="s">
        <v>27</v>
      </c>
      <c r="D1064">
        <v>46</v>
      </c>
      <c r="E1064" t="s">
        <v>63</v>
      </c>
      <c r="F1064" t="s">
        <v>64</v>
      </c>
      <c r="G1064" t="s">
        <v>30</v>
      </c>
      <c r="H1064" t="s">
        <v>31</v>
      </c>
      <c r="I1064" t="s">
        <v>81</v>
      </c>
      <c r="J1064" s="1">
        <v>43145</v>
      </c>
      <c r="K1064">
        <v>8</v>
      </c>
      <c r="L1064">
        <v>47440727</v>
      </c>
      <c r="M1064">
        <v>1120322</v>
      </c>
      <c r="N1064" t="s">
        <v>33</v>
      </c>
      <c r="O1064">
        <v>3.88</v>
      </c>
      <c r="P1064">
        <v>58</v>
      </c>
      <c r="Q1064">
        <v>1</v>
      </c>
      <c r="R1064">
        <v>2</v>
      </c>
      <c r="S1064">
        <v>5</v>
      </c>
      <c r="T1064" t="s">
        <v>34</v>
      </c>
      <c r="U1064" t="s">
        <v>34</v>
      </c>
      <c r="V1064" t="s">
        <v>44</v>
      </c>
      <c r="W1064" t="s">
        <v>33</v>
      </c>
      <c r="X1064" t="s">
        <v>45</v>
      </c>
      <c r="Z1064" t="str">
        <f>IF(Table1[[#This Row],[Age]]&lt;30,"20-29",IF(Table1[[#This Row],[Age]]&lt;40,"30-39",IF(Table1[[#This Row],[Age]]&lt;50,"40-49","50+")))</f>
        <v>40-49</v>
      </c>
      <c r="AA1064" t="str">
        <f>IF(Table1[[#This Row],[Salary]]&lt;20000000,"low",IF(Table1[[#This Row],[Salary]]&lt;40000000,"medium","high"))</f>
        <v>high</v>
      </c>
      <c r="AB1064">
        <f>YEAR(Table1[[#This Row],[Hire Date]])</f>
        <v>2018</v>
      </c>
      <c r="AC1064" t="str">
        <f>TEXT(Table1[[#This Row],[Hire Date]],"mmmm")</f>
        <v>فوريه</v>
      </c>
      <c r="AD1064" t="str">
        <f>IF(Table1[[#This Row],[Resigned]]="yes","former","active")</f>
        <v>active</v>
      </c>
    </row>
    <row r="1065" spans="1:30" x14ac:dyDescent="0.3">
      <c r="A1065" t="s">
        <v>2195</v>
      </c>
      <c r="B1065" t="s">
        <v>2196</v>
      </c>
      <c r="C1065" t="s">
        <v>39</v>
      </c>
      <c r="D1065">
        <v>47</v>
      </c>
      <c r="E1065" t="s">
        <v>73</v>
      </c>
      <c r="F1065" t="s">
        <v>74</v>
      </c>
      <c r="G1065" t="s">
        <v>58</v>
      </c>
      <c r="H1065" t="s">
        <v>31</v>
      </c>
      <c r="I1065" t="s">
        <v>32</v>
      </c>
      <c r="J1065" s="1">
        <v>45721</v>
      </c>
      <c r="K1065">
        <v>1</v>
      </c>
      <c r="L1065">
        <v>15065067</v>
      </c>
      <c r="M1065">
        <v>1049157</v>
      </c>
      <c r="N1065" t="s">
        <v>33</v>
      </c>
      <c r="O1065">
        <v>2.84</v>
      </c>
      <c r="P1065">
        <v>25</v>
      </c>
      <c r="Q1065">
        <v>2</v>
      </c>
      <c r="R1065">
        <v>2</v>
      </c>
      <c r="S1065">
        <v>2</v>
      </c>
      <c r="T1065" t="s">
        <v>33</v>
      </c>
      <c r="U1065" t="s">
        <v>34</v>
      </c>
      <c r="V1065" t="s">
        <v>51</v>
      </c>
      <c r="W1065" t="s">
        <v>34</v>
      </c>
      <c r="X1065" t="s">
        <v>45</v>
      </c>
      <c r="Z1065" t="str">
        <f>IF(Table1[[#This Row],[Age]]&lt;30,"20-29",IF(Table1[[#This Row],[Age]]&lt;40,"30-39",IF(Table1[[#This Row],[Age]]&lt;50,"40-49","50+")))</f>
        <v>40-49</v>
      </c>
      <c r="AA1065" t="str">
        <f>IF(Table1[[#This Row],[Salary]]&lt;20000000,"low",IF(Table1[[#This Row],[Salary]]&lt;40000000,"medium","high"))</f>
        <v>low</v>
      </c>
      <c r="AB1065">
        <f>YEAR(Table1[[#This Row],[Hire Date]])</f>
        <v>2025</v>
      </c>
      <c r="AC1065" t="str">
        <f>TEXT(Table1[[#This Row],[Hire Date]],"mmmm")</f>
        <v>مارس</v>
      </c>
      <c r="AD1065" t="str">
        <f>IF(Table1[[#This Row],[Resigned]]="yes","former","active")</f>
        <v>active</v>
      </c>
    </row>
    <row r="1066" spans="1:30" x14ac:dyDescent="0.3">
      <c r="A1066" t="s">
        <v>2197</v>
      </c>
      <c r="B1066" t="s">
        <v>2198</v>
      </c>
      <c r="C1066" t="s">
        <v>39</v>
      </c>
      <c r="D1066">
        <v>43</v>
      </c>
      <c r="E1066" t="s">
        <v>40</v>
      </c>
      <c r="F1066" t="s">
        <v>41</v>
      </c>
      <c r="G1066" t="s">
        <v>58</v>
      </c>
      <c r="H1066" t="s">
        <v>31</v>
      </c>
      <c r="I1066" t="s">
        <v>81</v>
      </c>
      <c r="J1066" s="1">
        <v>43648</v>
      </c>
      <c r="K1066">
        <v>7</v>
      </c>
      <c r="L1066">
        <v>28596926</v>
      </c>
      <c r="M1066">
        <v>3269802</v>
      </c>
      <c r="N1066" t="s">
        <v>34</v>
      </c>
      <c r="O1066">
        <v>2.75</v>
      </c>
      <c r="P1066">
        <v>56</v>
      </c>
      <c r="Q1066">
        <v>1</v>
      </c>
      <c r="R1066">
        <v>3</v>
      </c>
      <c r="S1066">
        <v>11</v>
      </c>
      <c r="T1066" t="s">
        <v>34</v>
      </c>
      <c r="U1066" t="s">
        <v>34</v>
      </c>
      <c r="V1066" t="s">
        <v>51</v>
      </c>
      <c r="W1066" t="s">
        <v>34</v>
      </c>
      <c r="X1066" t="s">
        <v>45</v>
      </c>
      <c r="Z1066" t="str">
        <f>IF(Table1[[#This Row],[Age]]&lt;30,"20-29",IF(Table1[[#This Row],[Age]]&lt;40,"30-39",IF(Table1[[#This Row],[Age]]&lt;50,"40-49","50+")))</f>
        <v>40-49</v>
      </c>
      <c r="AA1066" t="str">
        <f>IF(Table1[[#This Row],[Salary]]&lt;20000000,"low",IF(Table1[[#This Row],[Salary]]&lt;40000000,"medium","high"))</f>
        <v>medium</v>
      </c>
      <c r="AB1066">
        <f>YEAR(Table1[[#This Row],[Hire Date]])</f>
        <v>2019</v>
      </c>
      <c r="AC1066" t="str">
        <f>TEXT(Table1[[#This Row],[Hire Date]],"mmmm")</f>
        <v>ژوئيه</v>
      </c>
      <c r="AD1066" t="str">
        <f>IF(Table1[[#This Row],[Resigned]]="yes","former","active")</f>
        <v>active</v>
      </c>
    </row>
    <row r="1067" spans="1:30" x14ac:dyDescent="0.3">
      <c r="A1067" t="s">
        <v>2199</v>
      </c>
      <c r="B1067" t="s">
        <v>2200</v>
      </c>
      <c r="C1067" t="s">
        <v>39</v>
      </c>
      <c r="D1067">
        <v>53</v>
      </c>
      <c r="E1067" t="s">
        <v>110</v>
      </c>
      <c r="F1067" t="s">
        <v>111</v>
      </c>
      <c r="G1067" t="s">
        <v>58</v>
      </c>
      <c r="H1067" t="s">
        <v>42</v>
      </c>
      <c r="I1067" t="s">
        <v>32</v>
      </c>
      <c r="J1067" s="1">
        <v>45102</v>
      </c>
      <c r="K1067">
        <v>3</v>
      </c>
      <c r="L1067">
        <v>43543992</v>
      </c>
      <c r="M1067">
        <v>9663534</v>
      </c>
      <c r="N1067" t="s">
        <v>34</v>
      </c>
      <c r="O1067">
        <v>2.61</v>
      </c>
      <c r="P1067">
        <v>74</v>
      </c>
      <c r="Q1067">
        <v>3</v>
      </c>
      <c r="R1067">
        <v>2</v>
      </c>
      <c r="S1067">
        <v>17</v>
      </c>
      <c r="T1067" t="s">
        <v>33</v>
      </c>
      <c r="U1067" t="s">
        <v>34</v>
      </c>
      <c r="V1067" t="s">
        <v>51</v>
      </c>
      <c r="W1067" t="s">
        <v>33</v>
      </c>
      <c r="X1067" t="s">
        <v>36</v>
      </c>
      <c r="Z1067" t="str">
        <f>IF(Table1[[#This Row],[Age]]&lt;30,"20-29",IF(Table1[[#This Row],[Age]]&lt;40,"30-39",IF(Table1[[#This Row],[Age]]&lt;50,"40-49","50+")))</f>
        <v>50+</v>
      </c>
      <c r="AA1067" t="str">
        <f>IF(Table1[[#This Row],[Salary]]&lt;20000000,"low",IF(Table1[[#This Row],[Salary]]&lt;40000000,"medium","high"))</f>
        <v>high</v>
      </c>
      <c r="AB1067">
        <f>YEAR(Table1[[#This Row],[Hire Date]])</f>
        <v>2023</v>
      </c>
      <c r="AC1067" t="str">
        <f>TEXT(Table1[[#This Row],[Hire Date]],"mmmm")</f>
        <v>ژوئن</v>
      </c>
      <c r="AD1067" t="str">
        <f>IF(Table1[[#This Row],[Resigned]]="yes","former","active")</f>
        <v>active</v>
      </c>
    </row>
    <row r="1068" spans="1:30" x14ac:dyDescent="0.3">
      <c r="A1068" t="s">
        <v>2201</v>
      </c>
      <c r="B1068" t="s">
        <v>2202</v>
      </c>
      <c r="C1068" t="s">
        <v>27</v>
      </c>
      <c r="D1068">
        <v>42</v>
      </c>
      <c r="E1068" t="s">
        <v>63</v>
      </c>
      <c r="F1068" t="s">
        <v>64</v>
      </c>
      <c r="G1068" t="s">
        <v>30</v>
      </c>
      <c r="H1068" t="s">
        <v>31</v>
      </c>
      <c r="I1068" t="s">
        <v>32</v>
      </c>
      <c r="J1068" s="1">
        <v>44759</v>
      </c>
      <c r="K1068">
        <v>4</v>
      </c>
      <c r="L1068">
        <v>22633906</v>
      </c>
      <c r="M1068">
        <v>4478675</v>
      </c>
      <c r="N1068" t="s">
        <v>33</v>
      </c>
      <c r="O1068">
        <v>2.61</v>
      </c>
      <c r="P1068">
        <v>8</v>
      </c>
      <c r="Q1068">
        <v>4</v>
      </c>
      <c r="R1068">
        <v>3</v>
      </c>
      <c r="S1068">
        <v>20</v>
      </c>
      <c r="T1068" t="s">
        <v>34</v>
      </c>
      <c r="U1068" t="s">
        <v>34</v>
      </c>
      <c r="V1068" t="s">
        <v>51</v>
      </c>
      <c r="W1068" t="s">
        <v>34</v>
      </c>
      <c r="X1068" t="s">
        <v>52</v>
      </c>
      <c r="Z1068" t="str">
        <f>IF(Table1[[#This Row],[Age]]&lt;30,"20-29",IF(Table1[[#This Row],[Age]]&lt;40,"30-39",IF(Table1[[#This Row],[Age]]&lt;50,"40-49","50+")))</f>
        <v>40-49</v>
      </c>
      <c r="AA1068" t="str">
        <f>IF(Table1[[#This Row],[Salary]]&lt;20000000,"low",IF(Table1[[#This Row],[Salary]]&lt;40000000,"medium","high"))</f>
        <v>medium</v>
      </c>
      <c r="AB1068">
        <f>YEAR(Table1[[#This Row],[Hire Date]])</f>
        <v>2022</v>
      </c>
      <c r="AC1068" t="str">
        <f>TEXT(Table1[[#This Row],[Hire Date]],"mmmm")</f>
        <v>ژوئيه</v>
      </c>
      <c r="AD1068" t="str">
        <f>IF(Table1[[#This Row],[Resigned]]="yes","former","active")</f>
        <v>active</v>
      </c>
    </row>
    <row r="1069" spans="1:30" x14ac:dyDescent="0.3">
      <c r="A1069" t="s">
        <v>2203</v>
      </c>
      <c r="B1069" t="s">
        <v>2204</v>
      </c>
      <c r="C1069" t="s">
        <v>27</v>
      </c>
      <c r="D1069">
        <v>43</v>
      </c>
      <c r="E1069" t="s">
        <v>73</v>
      </c>
      <c r="F1069" t="s">
        <v>127</v>
      </c>
      <c r="G1069" t="s">
        <v>58</v>
      </c>
      <c r="H1069" t="s">
        <v>42</v>
      </c>
      <c r="I1069" t="s">
        <v>81</v>
      </c>
      <c r="J1069" s="1">
        <v>45765</v>
      </c>
      <c r="K1069">
        <v>1</v>
      </c>
      <c r="L1069">
        <v>37271869</v>
      </c>
      <c r="M1069">
        <v>5780489</v>
      </c>
      <c r="N1069" t="s">
        <v>33</v>
      </c>
      <c r="O1069">
        <v>2.5299999999999998</v>
      </c>
      <c r="P1069">
        <v>28</v>
      </c>
      <c r="Q1069">
        <v>4</v>
      </c>
      <c r="R1069">
        <v>5</v>
      </c>
      <c r="S1069">
        <v>1</v>
      </c>
      <c r="T1069" t="s">
        <v>33</v>
      </c>
      <c r="U1069" t="s">
        <v>34</v>
      </c>
      <c r="V1069" t="s">
        <v>51</v>
      </c>
      <c r="W1069" t="s">
        <v>33</v>
      </c>
      <c r="X1069" t="s">
        <v>36</v>
      </c>
      <c r="Z1069" t="str">
        <f>IF(Table1[[#This Row],[Age]]&lt;30,"20-29",IF(Table1[[#This Row],[Age]]&lt;40,"30-39",IF(Table1[[#This Row],[Age]]&lt;50,"40-49","50+")))</f>
        <v>40-49</v>
      </c>
      <c r="AA1069" t="str">
        <f>IF(Table1[[#This Row],[Salary]]&lt;20000000,"low",IF(Table1[[#This Row],[Salary]]&lt;40000000,"medium","high"))</f>
        <v>medium</v>
      </c>
      <c r="AB1069">
        <f>YEAR(Table1[[#This Row],[Hire Date]])</f>
        <v>2025</v>
      </c>
      <c r="AC1069" t="str">
        <f>TEXT(Table1[[#This Row],[Hire Date]],"mmmm")</f>
        <v>آوريل</v>
      </c>
      <c r="AD1069" t="str">
        <f>IF(Table1[[#This Row],[Resigned]]="yes","former","active")</f>
        <v>active</v>
      </c>
    </row>
    <row r="1070" spans="1:30" x14ac:dyDescent="0.3">
      <c r="A1070" t="s">
        <v>2205</v>
      </c>
      <c r="B1070" t="s">
        <v>2206</v>
      </c>
      <c r="C1070" t="s">
        <v>27</v>
      </c>
      <c r="D1070">
        <v>57</v>
      </c>
      <c r="E1070" t="s">
        <v>73</v>
      </c>
      <c r="F1070" t="s">
        <v>127</v>
      </c>
      <c r="G1070" t="s">
        <v>49</v>
      </c>
      <c r="H1070" t="s">
        <v>42</v>
      </c>
      <c r="I1070" t="s">
        <v>65</v>
      </c>
      <c r="J1070" s="1">
        <v>44063</v>
      </c>
      <c r="K1070">
        <v>6</v>
      </c>
      <c r="L1070">
        <v>56336148</v>
      </c>
      <c r="M1070">
        <v>7532495</v>
      </c>
      <c r="N1070" t="s">
        <v>34</v>
      </c>
      <c r="O1070">
        <v>3.56</v>
      </c>
      <c r="P1070">
        <v>26</v>
      </c>
      <c r="Q1070">
        <v>4</v>
      </c>
      <c r="R1070">
        <v>1</v>
      </c>
      <c r="S1070">
        <v>7</v>
      </c>
      <c r="T1070" t="s">
        <v>33</v>
      </c>
      <c r="U1070" t="s">
        <v>34</v>
      </c>
      <c r="V1070" t="s">
        <v>59</v>
      </c>
      <c r="W1070" t="s">
        <v>33</v>
      </c>
      <c r="X1070" t="s">
        <v>52</v>
      </c>
      <c r="Z1070" t="str">
        <f>IF(Table1[[#This Row],[Age]]&lt;30,"20-29",IF(Table1[[#This Row],[Age]]&lt;40,"30-39",IF(Table1[[#This Row],[Age]]&lt;50,"40-49","50+")))</f>
        <v>50+</v>
      </c>
      <c r="AA1070" t="str">
        <f>IF(Table1[[#This Row],[Salary]]&lt;20000000,"low",IF(Table1[[#This Row],[Salary]]&lt;40000000,"medium","high"))</f>
        <v>high</v>
      </c>
      <c r="AB1070">
        <f>YEAR(Table1[[#This Row],[Hire Date]])</f>
        <v>2020</v>
      </c>
      <c r="AC1070" t="str">
        <f>TEXT(Table1[[#This Row],[Hire Date]],"mmmm")</f>
        <v>اوت</v>
      </c>
      <c r="AD1070" t="str">
        <f>IF(Table1[[#This Row],[Resigned]]="yes","former","active")</f>
        <v>active</v>
      </c>
    </row>
    <row r="1071" spans="1:30" x14ac:dyDescent="0.3">
      <c r="A1071" t="s">
        <v>2207</v>
      </c>
      <c r="B1071" t="s">
        <v>2208</v>
      </c>
      <c r="C1071" t="s">
        <v>27</v>
      </c>
      <c r="D1071">
        <v>46</v>
      </c>
      <c r="E1071" t="s">
        <v>63</v>
      </c>
      <c r="F1071" t="s">
        <v>93</v>
      </c>
      <c r="G1071" t="s">
        <v>30</v>
      </c>
      <c r="H1071" t="s">
        <v>31</v>
      </c>
      <c r="I1071" t="s">
        <v>32</v>
      </c>
      <c r="J1071" s="1">
        <v>43977</v>
      </c>
      <c r="K1071">
        <v>6</v>
      </c>
      <c r="L1071">
        <v>36605986</v>
      </c>
      <c r="M1071">
        <v>809133</v>
      </c>
      <c r="N1071" t="s">
        <v>34</v>
      </c>
      <c r="O1071">
        <v>2.69</v>
      </c>
      <c r="P1071">
        <v>64</v>
      </c>
      <c r="Q1071">
        <v>2</v>
      </c>
      <c r="R1071">
        <v>5</v>
      </c>
      <c r="S1071">
        <v>13</v>
      </c>
      <c r="T1071" t="s">
        <v>33</v>
      </c>
      <c r="U1071" t="s">
        <v>34</v>
      </c>
      <c r="V1071" t="s">
        <v>51</v>
      </c>
      <c r="W1071" t="s">
        <v>34</v>
      </c>
      <c r="X1071" t="s">
        <v>45</v>
      </c>
      <c r="Z1071" t="str">
        <f>IF(Table1[[#This Row],[Age]]&lt;30,"20-29",IF(Table1[[#This Row],[Age]]&lt;40,"30-39",IF(Table1[[#This Row],[Age]]&lt;50,"40-49","50+")))</f>
        <v>40-49</v>
      </c>
      <c r="AA1071" t="str">
        <f>IF(Table1[[#This Row],[Salary]]&lt;20000000,"low",IF(Table1[[#This Row],[Salary]]&lt;40000000,"medium","high"))</f>
        <v>medium</v>
      </c>
      <c r="AB1071">
        <f>YEAR(Table1[[#This Row],[Hire Date]])</f>
        <v>2020</v>
      </c>
      <c r="AC1071" t="str">
        <f>TEXT(Table1[[#This Row],[Hire Date]],"mmmm")</f>
        <v>مه</v>
      </c>
      <c r="AD1071" t="str">
        <f>IF(Table1[[#This Row],[Resigned]]="yes","former","active")</f>
        <v>active</v>
      </c>
    </row>
    <row r="1072" spans="1:30" x14ac:dyDescent="0.3">
      <c r="A1072" t="s">
        <v>2209</v>
      </c>
      <c r="B1072" t="s">
        <v>2210</v>
      </c>
      <c r="C1072" t="s">
        <v>39</v>
      </c>
      <c r="D1072">
        <v>44</v>
      </c>
      <c r="E1072" t="s">
        <v>110</v>
      </c>
      <c r="F1072" t="s">
        <v>120</v>
      </c>
      <c r="G1072" t="s">
        <v>58</v>
      </c>
      <c r="H1072" t="s">
        <v>42</v>
      </c>
      <c r="I1072" t="s">
        <v>65</v>
      </c>
      <c r="J1072" s="1">
        <v>45765</v>
      </c>
      <c r="K1072">
        <v>1</v>
      </c>
      <c r="L1072">
        <v>22819498</v>
      </c>
      <c r="M1072">
        <v>452723</v>
      </c>
      <c r="N1072" t="s">
        <v>33</v>
      </c>
      <c r="O1072">
        <v>3.65</v>
      </c>
      <c r="P1072">
        <v>19</v>
      </c>
      <c r="Q1072">
        <v>2</v>
      </c>
      <c r="R1072">
        <v>5</v>
      </c>
      <c r="S1072">
        <v>14</v>
      </c>
      <c r="T1072" t="s">
        <v>33</v>
      </c>
      <c r="U1072" t="s">
        <v>34</v>
      </c>
      <c r="V1072" t="s">
        <v>35</v>
      </c>
      <c r="W1072" t="s">
        <v>33</v>
      </c>
      <c r="X1072" t="s">
        <v>52</v>
      </c>
      <c r="Z1072" t="str">
        <f>IF(Table1[[#This Row],[Age]]&lt;30,"20-29",IF(Table1[[#This Row],[Age]]&lt;40,"30-39",IF(Table1[[#This Row],[Age]]&lt;50,"40-49","50+")))</f>
        <v>40-49</v>
      </c>
      <c r="AA1072" t="str">
        <f>IF(Table1[[#This Row],[Salary]]&lt;20000000,"low",IF(Table1[[#This Row],[Salary]]&lt;40000000,"medium","high"))</f>
        <v>medium</v>
      </c>
      <c r="AB1072">
        <f>YEAR(Table1[[#This Row],[Hire Date]])</f>
        <v>2025</v>
      </c>
      <c r="AC1072" t="str">
        <f>TEXT(Table1[[#This Row],[Hire Date]],"mmmm")</f>
        <v>آوريل</v>
      </c>
      <c r="AD1072" t="str">
        <f>IF(Table1[[#This Row],[Resigned]]="yes","former","active")</f>
        <v>active</v>
      </c>
    </row>
    <row r="1073" spans="1:30" x14ac:dyDescent="0.3">
      <c r="A1073" t="s">
        <v>2211</v>
      </c>
      <c r="B1073" t="s">
        <v>2212</v>
      </c>
      <c r="C1073" t="s">
        <v>39</v>
      </c>
      <c r="D1073">
        <v>45</v>
      </c>
      <c r="E1073" t="s">
        <v>73</v>
      </c>
      <c r="F1073" t="s">
        <v>127</v>
      </c>
      <c r="G1073" t="s">
        <v>30</v>
      </c>
      <c r="H1073" t="s">
        <v>42</v>
      </c>
      <c r="I1073" t="s">
        <v>32</v>
      </c>
      <c r="J1073" s="1">
        <v>44752</v>
      </c>
      <c r="K1073">
        <v>4</v>
      </c>
      <c r="L1073">
        <v>34064616</v>
      </c>
      <c r="M1073">
        <v>7345356</v>
      </c>
      <c r="N1073" t="s">
        <v>34</v>
      </c>
      <c r="O1073">
        <v>4.82</v>
      </c>
      <c r="P1073">
        <v>59</v>
      </c>
      <c r="Q1073">
        <v>1</v>
      </c>
      <c r="R1073">
        <v>2</v>
      </c>
      <c r="S1073">
        <v>6</v>
      </c>
      <c r="T1073" t="s">
        <v>34</v>
      </c>
      <c r="U1073" t="s">
        <v>34</v>
      </c>
      <c r="V1073" t="s">
        <v>35</v>
      </c>
      <c r="W1073" t="s">
        <v>34</v>
      </c>
      <c r="X1073" t="s">
        <v>52</v>
      </c>
      <c r="Z1073" t="str">
        <f>IF(Table1[[#This Row],[Age]]&lt;30,"20-29",IF(Table1[[#This Row],[Age]]&lt;40,"30-39",IF(Table1[[#This Row],[Age]]&lt;50,"40-49","50+")))</f>
        <v>40-49</v>
      </c>
      <c r="AA1073" t="str">
        <f>IF(Table1[[#This Row],[Salary]]&lt;20000000,"low",IF(Table1[[#This Row],[Salary]]&lt;40000000,"medium","high"))</f>
        <v>medium</v>
      </c>
      <c r="AB1073">
        <f>YEAR(Table1[[#This Row],[Hire Date]])</f>
        <v>2022</v>
      </c>
      <c r="AC1073" t="str">
        <f>TEXT(Table1[[#This Row],[Hire Date]],"mmmm")</f>
        <v>ژوئيه</v>
      </c>
      <c r="AD1073" t="str">
        <f>IF(Table1[[#This Row],[Resigned]]="yes","former","active")</f>
        <v>active</v>
      </c>
    </row>
    <row r="1074" spans="1:30" x14ac:dyDescent="0.3">
      <c r="A1074" t="s">
        <v>2213</v>
      </c>
      <c r="B1074" t="s">
        <v>2214</v>
      </c>
      <c r="C1074" t="s">
        <v>39</v>
      </c>
      <c r="D1074">
        <v>42</v>
      </c>
      <c r="E1074" t="s">
        <v>28</v>
      </c>
      <c r="F1074" t="s">
        <v>29</v>
      </c>
      <c r="G1074" t="s">
        <v>58</v>
      </c>
      <c r="H1074" t="s">
        <v>42</v>
      </c>
      <c r="I1074" t="s">
        <v>32</v>
      </c>
      <c r="J1074" s="1">
        <v>43035</v>
      </c>
      <c r="K1074">
        <v>9</v>
      </c>
      <c r="L1074">
        <v>20408372</v>
      </c>
      <c r="M1074">
        <v>6360865</v>
      </c>
      <c r="N1074" t="s">
        <v>33</v>
      </c>
      <c r="O1074">
        <v>4.49</v>
      </c>
      <c r="P1074">
        <v>44</v>
      </c>
      <c r="Q1074">
        <v>5</v>
      </c>
      <c r="R1074">
        <v>4</v>
      </c>
      <c r="S1074">
        <v>0</v>
      </c>
      <c r="T1074" t="s">
        <v>33</v>
      </c>
      <c r="U1074" t="s">
        <v>34</v>
      </c>
      <c r="V1074" t="s">
        <v>59</v>
      </c>
      <c r="W1074" t="s">
        <v>34</v>
      </c>
      <c r="X1074" t="s">
        <v>45</v>
      </c>
      <c r="Z1074" t="str">
        <f>IF(Table1[[#This Row],[Age]]&lt;30,"20-29",IF(Table1[[#This Row],[Age]]&lt;40,"30-39",IF(Table1[[#This Row],[Age]]&lt;50,"40-49","50+")))</f>
        <v>40-49</v>
      </c>
      <c r="AA1074" t="str">
        <f>IF(Table1[[#This Row],[Salary]]&lt;20000000,"low",IF(Table1[[#This Row],[Salary]]&lt;40000000,"medium","high"))</f>
        <v>medium</v>
      </c>
      <c r="AB1074">
        <f>YEAR(Table1[[#This Row],[Hire Date]])</f>
        <v>2017</v>
      </c>
      <c r="AC1074" t="str">
        <f>TEXT(Table1[[#This Row],[Hire Date]],"mmmm")</f>
        <v>اُكتبر</v>
      </c>
      <c r="AD1074" t="str">
        <f>IF(Table1[[#This Row],[Resigned]]="yes","former","active")</f>
        <v>active</v>
      </c>
    </row>
    <row r="1075" spans="1:30" x14ac:dyDescent="0.3">
      <c r="A1075" t="s">
        <v>2215</v>
      </c>
      <c r="B1075" t="s">
        <v>2216</v>
      </c>
      <c r="C1075" t="s">
        <v>39</v>
      </c>
      <c r="D1075">
        <v>27</v>
      </c>
      <c r="E1075" t="s">
        <v>28</v>
      </c>
      <c r="F1075" t="s">
        <v>80</v>
      </c>
      <c r="G1075" t="s">
        <v>49</v>
      </c>
      <c r="H1075" t="s">
        <v>42</v>
      </c>
      <c r="I1075" t="s">
        <v>50</v>
      </c>
      <c r="J1075" s="1">
        <v>43634</v>
      </c>
      <c r="K1075">
        <v>7</v>
      </c>
      <c r="L1075">
        <v>49440823</v>
      </c>
      <c r="M1075">
        <v>6325085</v>
      </c>
      <c r="N1075" t="s">
        <v>33</v>
      </c>
      <c r="O1075">
        <v>4.3899999999999997</v>
      </c>
      <c r="P1075">
        <v>72</v>
      </c>
      <c r="Q1075">
        <v>1</v>
      </c>
      <c r="R1075">
        <v>5</v>
      </c>
      <c r="S1075">
        <v>9</v>
      </c>
      <c r="T1075" t="s">
        <v>33</v>
      </c>
      <c r="U1075" t="s">
        <v>34</v>
      </c>
      <c r="V1075" t="s">
        <v>59</v>
      </c>
      <c r="W1075" t="s">
        <v>34</v>
      </c>
      <c r="X1075" t="s">
        <v>52</v>
      </c>
      <c r="Z1075" t="str">
        <f>IF(Table1[[#This Row],[Age]]&lt;30,"20-29",IF(Table1[[#This Row],[Age]]&lt;40,"30-39",IF(Table1[[#This Row],[Age]]&lt;50,"40-49","50+")))</f>
        <v>20-29</v>
      </c>
      <c r="AA1075" t="str">
        <f>IF(Table1[[#This Row],[Salary]]&lt;20000000,"low",IF(Table1[[#This Row],[Salary]]&lt;40000000,"medium","high"))</f>
        <v>high</v>
      </c>
      <c r="AB1075">
        <f>YEAR(Table1[[#This Row],[Hire Date]])</f>
        <v>2019</v>
      </c>
      <c r="AC1075" t="str">
        <f>TEXT(Table1[[#This Row],[Hire Date]],"mmmm")</f>
        <v>ژوئن</v>
      </c>
      <c r="AD1075" t="str">
        <f>IF(Table1[[#This Row],[Resigned]]="yes","former","active")</f>
        <v>active</v>
      </c>
    </row>
    <row r="1076" spans="1:30" x14ac:dyDescent="0.3">
      <c r="A1076" t="s">
        <v>2217</v>
      </c>
      <c r="B1076" t="s">
        <v>2218</v>
      </c>
      <c r="C1076" t="s">
        <v>39</v>
      </c>
      <c r="D1076">
        <v>36</v>
      </c>
      <c r="E1076" t="s">
        <v>40</v>
      </c>
      <c r="F1076" t="s">
        <v>48</v>
      </c>
      <c r="G1076" t="s">
        <v>49</v>
      </c>
      <c r="H1076" t="s">
        <v>42</v>
      </c>
      <c r="I1076" t="s">
        <v>65</v>
      </c>
      <c r="J1076" s="1">
        <v>43106</v>
      </c>
      <c r="K1076">
        <v>8</v>
      </c>
      <c r="L1076">
        <v>27149525</v>
      </c>
      <c r="M1076">
        <v>7685305</v>
      </c>
      <c r="N1076" t="s">
        <v>33</v>
      </c>
      <c r="O1076">
        <v>3.42</v>
      </c>
      <c r="P1076">
        <v>65</v>
      </c>
      <c r="Q1076">
        <v>5</v>
      </c>
      <c r="R1076">
        <v>3</v>
      </c>
      <c r="S1076">
        <v>15</v>
      </c>
      <c r="T1076" t="s">
        <v>33</v>
      </c>
      <c r="U1076" t="s">
        <v>34</v>
      </c>
      <c r="V1076" t="s">
        <v>35</v>
      </c>
      <c r="W1076" t="s">
        <v>34</v>
      </c>
      <c r="X1076" t="s">
        <v>52</v>
      </c>
      <c r="Z1076" t="str">
        <f>IF(Table1[[#This Row],[Age]]&lt;30,"20-29",IF(Table1[[#This Row],[Age]]&lt;40,"30-39",IF(Table1[[#This Row],[Age]]&lt;50,"40-49","50+")))</f>
        <v>30-39</v>
      </c>
      <c r="AA1076" t="str">
        <f>IF(Table1[[#This Row],[Salary]]&lt;20000000,"low",IF(Table1[[#This Row],[Salary]]&lt;40000000,"medium","high"))</f>
        <v>medium</v>
      </c>
      <c r="AB1076">
        <f>YEAR(Table1[[#This Row],[Hire Date]])</f>
        <v>2018</v>
      </c>
      <c r="AC1076" t="str">
        <f>TEXT(Table1[[#This Row],[Hire Date]],"mmmm")</f>
        <v>ژانويه</v>
      </c>
      <c r="AD1076" t="str">
        <f>IF(Table1[[#This Row],[Resigned]]="yes","former","active")</f>
        <v>active</v>
      </c>
    </row>
    <row r="1077" spans="1:30" x14ac:dyDescent="0.3">
      <c r="A1077" t="s">
        <v>2219</v>
      </c>
      <c r="B1077" t="s">
        <v>2220</v>
      </c>
      <c r="C1077" t="s">
        <v>27</v>
      </c>
      <c r="D1077">
        <v>27</v>
      </c>
      <c r="E1077" t="s">
        <v>110</v>
      </c>
      <c r="F1077" t="s">
        <v>111</v>
      </c>
      <c r="G1077" t="s">
        <v>49</v>
      </c>
      <c r="H1077" t="s">
        <v>42</v>
      </c>
      <c r="I1077" t="s">
        <v>43</v>
      </c>
      <c r="J1077" s="1">
        <v>42692</v>
      </c>
      <c r="K1077">
        <v>10</v>
      </c>
      <c r="L1077">
        <v>45061364</v>
      </c>
      <c r="M1077">
        <v>745739</v>
      </c>
      <c r="N1077" t="s">
        <v>34</v>
      </c>
      <c r="O1077">
        <v>4.8499999999999996</v>
      </c>
      <c r="P1077">
        <v>4</v>
      </c>
      <c r="Q1077">
        <v>3</v>
      </c>
      <c r="R1077">
        <v>3</v>
      </c>
      <c r="S1077">
        <v>7</v>
      </c>
      <c r="T1077" t="s">
        <v>34</v>
      </c>
      <c r="U1077" t="s">
        <v>34</v>
      </c>
      <c r="V1077" t="s">
        <v>70</v>
      </c>
      <c r="W1077" t="s">
        <v>34</v>
      </c>
      <c r="X1077" t="s">
        <v>36</v>
      </c>
      <c r="Z1077" t="str">
        <f>IF(Table1[[#This Row],[Age]]&lt;30,"20-29",IF(Table1[[#This Row],[Age]]&lt;40,"30-39",IF(Table1[[#This Row],[Age]]&lt;50,"40-49","50+")))</f>
        <v>20-29</v>
      </c>
      <c r="AA1077" t="str">
        <f>IF(Table1[[#This Row],[Salary]]&lt;20000000,"low",IF(Table1[[#This Row],[Salary]]&lt;40000000,"medium","high"))</f>
        <v>high</v>
      </c>
      <c r="AB1077">
        <f>YEAR(Table1[[#This Row],[Hire Date]])</f>
        <v>2016</v>
      </c>
      <c r="AC1077" t="str">
        <f>TEXT(Table1[[#This Row],[Hire Date]],"mmmm")</f>
        <v>نوامبر</v>
      </c>
      <c r="AD1077" t="str">
        <f>IF(Table1[[#This Row],[Resigned]]="yes","former","active")</f>
        <v>active</v>
      </c>
    </row>
    <row r="1078" spans="1:30" x14ac:dyDescent="0.3">
      <c r="A1078" t="s">
        <v>2221</v>
      </c>
      <c r="B1078" t="s">
        <v>2222</v>
      </c>
      <c r="C1078" t="s">
        <v>27</v>
      </c>
      <c r="D1078">
        <v>47</v>
      </c>
      <c r="E1078" t="s">
        <v>63</v>
      </c>
      <c r="F1078" t="s">
        <v>93</v>
      </c>
      <c r="G1078" t="s">
        <v>30</v>
      </c>
      <c r="H1078" t="s">
        <v>31</v>
      </c>
      <c r="I1078" t="s">
        <v>43</v>
      </c>
      <c r="J1078" s="1">
        <v>45868</v>
      </c>
      <c r="K1078">
        <v>1</v>
      </c>
      <c r="L1078">
        <v>44843863</v>
      </c>
      <c r="M1078">
        <v>4669361</v>
      </c>
      <c r="N1078" t="s">
        <v>33</v>
      </c>
      <c r="O1078">
        <v>2.8</v>
      </c>
      <c r="P1078">
        <v>37</v>
      </c>
      <c r="Q1078">
        <v>4</v>
      </c>
      <c r="R1078">
        <v>4</v>
      </c>
      <c r="S1078">
        <v>10</v>
      </c>
      <c r="T1078" t="s">
        <v>34</v>
      </c>
      <c r="U1078" t="s">
        <v>34</v>
      </c>
      <c r="V1078" t="s">
        <v>44</v>
      </c>
      <c r="W1078" t="s">
        <v>33</v>
      </c>
      <c r="X1078" t="s">
        <v>45</v>
      </c>
      <c r="Z1078" t="str">
        <f>IF(Table1[[#This Row],[Age]]&lt;30,"20-29",IF(Table1[[#This Row],[Age]]&lt;40,"30-39",IF(Table1[[#This Row],[Age]]&lt;50,"40-49","50+")))</f>
        <v>40-49</v>
      </c>
      <c r="AA1078" t="str">
        <f>IF(Table1[[#This Row],[Salary]]&lt;20000000,"low",IF(Table1[[#This Row],[Salary]]&lt;40000000,"medium","high"))</f>
        <v>high</v>
      </c>
      <c r="AB1078">
        <f>YEAR(Table1[[#This Row],[Hire Date]])</f>
        <v>2025</v>
      </c>
      <c r="AC1078" t="str">
        <f>TEXT(Table1[[#This Row],[Hire Date]],"mmmm")</f>
        <v>ژوئيه</v>
      </c>
      <c r="AD1078" t="str">
        <f>IF(Table1[[#This Row],[Resigned]]="yes","former","active")</f>
        <v>active</v>
      </c>
    </row>
    <row r="1079" spans="1:30" x14ac:dyDescent="0.3">
      <c r="A1079" t="s">
        <v>2223</v>
      </c>
      <c r="B1079" t="s">
        <v>2224</v>
      </c>
      <c r="C1079" t="s">
        <v>27</v>
      </c>
      <c r="D1079">
        <v>58</v>
      </c>
      <c r="E1079" t="s">
        <v>73</v>
      </c>
      <c r="F1079" t="s">
        <v>127</v>
      </c>
      <c r="G1079" t="s">
        <v>49</v>
      </c>
      <c r="H1079" t="s">
        <v>31</v>
      </c>
      <c r="I1079" t="s">
        <v>65</v>
      </c>
      <c r="J1079" s="1">
        <v>44600</v>
      </c>
      <c r="K1079">
        <v>4</v>
      </c>
      <c r="L1079">
        <v>49330789</v>
      </c>
      <c r="M1079">
        <v>2360853</v>
      </c>
      <c r="N1079" t="s">
        <v>33</v>
      </c>
      <c r="O1079">
        <v>3.42</v>
      </c>
      <c r="P1079">
        <v>66</v>
      </c>
      <c r="Q1079">
        <v>1</v>
      </c>
      <c r="R1079">
        <v>1</v>
      </c>
      <c r="S1079">
        <v>16</v>
      </c>
      <c r="T1079" t="s">
        <v>33</v>
      </c>
      <c r="U1079" t="s">
        <v>33</v>
      </c>
      <c r="V1079" t="s">
        <v>35</v>
      </c>
      <c r="W1079" t="s">
        <v>34</v>
      </c>
      <c r="X1079" t="s">
        <v>52</v>
      </c>
      <c r="Y1079" t="s">
        <v>60</v>
      </c>
      <c r="Z1079" t="str">
        <f>IF(Table1[[#This Row],[Age]]&lt;30,"20-29",IF(Table1[[#This Row],[Age]]&lt;40,"30-39",IF(Table1[[#This Row],[Age]]&lt;50,"40-49","50+")))</f>
        <v>50+</v>
      </c>
      <c r="AA1079" t="str">
        <f>IF(Table1[[#This Row],[Salary]]&lt;20000000,"low",IF(Table1[[#This Row],[Salary]]&lt;40000000,"medium","high"))</f>
        <v>high</v>
      </c>
      <c r="AB1079">
        <f>YEAR(Table1[[#This Row],[Hire Date]])</f>
        <v>2022</v>
      </c>
      <c r="AC1079" t="str">
        <f>TEXT(Table1[[#This Row],[Hire Date]],"mmmm")</f>
        <v>فوريه</v>
      </c>
      <c r="AD1079" t="str">
        <f>IF(Table1[[#This Row],[Resigned]]="yes","former","active")</f>
        <v>former</v>
      </c>
    </row>
    <row r="1080" spans="1:30" x14ac:dyDescent="0.3">
      <c r="A1080" t="s">
        <v>2225</v>
      </c>
      <c r="B1080" t="s">
        <v>2226</v>
      </c>
      <c r="C1080" t="s">
        <v>39</v>
      </c>
      <c r="D1080">
        <v>27</v>
      </c>
      <c r="E1080" t="s">
        <v>63</v>
      </c>
      <c r="F1080" t="s">
        <v>64</v>
      </c>
      <c r="G1080" t="s">
        <v>30</v>
      </c>
      <c r="H1080" t="s">
        <v>31</v>
      </c>
      <c r="I1080" t="s">
        <v>81</v>
      </c>
      <c r="J1080" s="1">
        <v>42810</v>
      </c>
      <c r="K1080">
        <v>9</v>
      </c>
      <c r="L1080">
        <v>52020078</v>
      </c>
      <c r="M1080">
        <v>9497424</v>
      </c>
      <c r="N1080" t="s">
        <v>33</v>
      </c>
      <c r="O1080">
        <v>3.58</v>
      </c>
      <c r="P1080">
        <v>79</v>
      </c>
      <c r="Q1080">
        <v>3</v>
      </c>
      <c r="R1080">
        <v>2</v>
      </c>
      <c r="S1080">
        <v>3</v>
      </c>
      <c r="T1080" t="s">
        <v>34</v>
      </c>
      <c r="U1080" t="s">
        <v>34</v>
      </c>
      <c r="V1080" t="s">
        <v>59</v>
      </c>
      <c r="W1080" t="s">
        <v>33</v>
      </c>
      <c r="X1080" t="s">
        <v>52</v>
      </c>
      <c r="Z1080" t="str">
        <f>IF(Table1[[#This Row],[Age]]&lt;30,"20-29",IF(Table1[[#This Row],[Age]]&lt;40,"30-39",IF(Table1[[#This Row],[Age]]&lt;50,"40-49","50+")))</f>
        <v>20-29</v>
      </c>
      <c r="AA1080" t="str">
        <f>IF(Table1[[#This Row],[Salary]]&lt;20000000,"low",IF(Table1[[#This Row],[Salary]]&lt;40000000,"medium","high"))</f>
        <v>high</v>
      </c>
      <c r="AB1080">
        <f>YEAR(Table1[[#This Row],[Hire Date]])</f>
        <v>2017</v>
      </c>
      <c r="AC1080" t="str">
        <f>TEXT(Table1[[#This Row],[Hire Date]],"mmmm")</f>
        <v>مارس</v>
      </c>
      <c r="AD1080" t="str">
        <f>IF(Table1[[#This Row],[Resigned]]="yes","former","active")</f>
        <v>active</v>
      </c>
    </row>
    <row r="1081" spans="1:30" x14ac:dyDescent="0.3">
      <c r="A1081" t="s">
        <v>2227</v>
      </c>
      <c r="B1081" t="s">
        <v>2228</v>
      </c>
      <c r="C1081" t="s">
        <v>27</v>
      </c>
      <c r="D1081">
        <v>41</v>
      </c>
      <c r="E1081" t="s">
        <v>28</v>
      </c>
      <c r="F1081" t="s">
        <v>29</v>
      </c>
      <c r="G1081" t="s">
        <v>30</v>
      </c>
      <c r="H1081" t="s">
        <v>42</v>
      </c>
      <c r="I1081" t="s">
        <v>43</v>
      </c>
      <c r="J1081" s="1">
        <v>43977</v>
      </c>
      <c r="K1081">
        <v>6</v>
      </c>
      <c r="L1081">
        <v>41495473</v>
      </c>
      <c r="M1081">
        <v>8355637</v>
      </c>
      <c r="N1081" t="s">
        <v>33</v>
      </c>
      <c r="O1081">
        <v>4.3499999999999996</v>
      </c>
      <c r="P1081">
        <v>60</v>
      </c>
      <c r="Q1081">
        <v>4</v>
      </c>
      <c r="R1081">
        <v>3</v>
      </c>
      <c r="S1081">
        <v>16</v>
      </c>
      <c r="T1081" t="s">
        <v>33</v>
      </c>
      <c r="U1081" t="s">
        <v>34</v>
      </c>
      <c r="V1081" t="s">
        <v>44</v>
      </c>
      <c r="W1081" t="s">
        <v>33</v>
      </c>
      <c r="X1081" t="s">
        <v>45</v>
      </c>
      <c r="Z1081" t="str">
        <f>IF(Table1[[#This Row],[Age]]&lt;30,"20-29",IF(Table1[[#This Row],[Age]]&lt;40,"30-39",IF(Table1[[#This Row],[Age]]&lt;50,"40-49","50+")))</f>
        <v>40-49</v>
      </c>
      <c r="AA1081" t="str">
        <f>IF(Table1[[#This Row],[Salary]]&lt;20000000,"low",IF(Table1[[#This Row],[Salary]]&lt;40000000,"medium","high"))</f>
        <v>high</v>
      </c>
      <c r="AB1081">
        <f>YEAR(Table1[[#This Row],[Hire Date]])</f>
        <v>2020</v>
      </c>
      <c r="AC1081" t="str">
        <f>TEXT(Table1[[#This Row],[Hire Date]],"mmmm")</f>
        <v>مه</v>
      </c>
      <c r="AD1081" t="str">
        <f>IF(Table1[[#This Row],[Resigned]]="yes","former","active")</f>
        <v>active</v>
      </c>
    </row>
    <row r="1082" spans="1:30" x14ac:dyDescent="0.3">
      <c r="A1082" t="s">
        <v>2229</v>
      </c>
      <c r="B1082" t="s">
        <v>2230</v>
      </c>
      <c r="C1082" t="s">
        <v>27</v>
      </c>
      <c r="D1082">
        <v>38</v>
      </c>
      <c r="E1082" t="s">
        <v>28</v>
      </c>
      <c r="F1082" t="s">
        <v>80</v>
      </c>
      <c r="G1082" t="s">
        <v>30</v>
      </c>
      <c r="H1082" t="s">
        <v>42</v>
      </c>
      <c r="I1082" t="s">
        <v>32</v>
      </c>
      <c r="J1082" s="1">
        <v>44580</v>
      </c>
      <c r="K1082">
        <v>4</v>
      </c>
      <c r="L1082">
        <v>27183691</v>
      </c>
      <c r="M1082">
        <v>5360921</v>
      </c>
      <c r="N1082" t="s">
        <v>33</v>
      </c>
      <c r="O1082">
        <v>4.1399999999999997</v>
      </c>
      <c r="P1082">
        <v>19</v>
      </c>
      <c r="Q1082">
        <v>4</v>
      </c>
      <c r="R1082">
        <v>1</v>
      </c>
      <c r="S1082">
        <v>8</v>
      </c>
      <c r="T1082" t="s">
        <v>33</v>
      </c>
      <c r="U1082" t="s">
        <v>34</v>
      </c>
      <c r="V1082" t="s">
        <v>51</v>
      </c>
      <c r="W1082" t="s">
        <v>33</v>
      </c>
      <c r="X1082" t="s">
        <v>52</v>
      </c>
      <c r="Z1082" t="str">
        <f>IF(Table1[[#This Row],[Age]]&lt;30,"20-29",IF(Table1[[#This Row],[Age]]&lt;40,"30-39",IF(Table1[[#This Row],[Age]]&lt;50,"40-49","50+")))</f>
        <v>30-39</v>
      </c>
      <c r="AA1082" t="str">
        <f>IF(Table1[[#This Row],[Salary]]&lt;20000000,"low",IF(Table1[[#This Row],[Salary]]&lt;40000000,"medium","high"))</f>
        <v>medium</v>
      </c>
      <c r="AB1082">
        <f>YEAR(Table1[[#This Row],[Hire Date]])</f>
        <v>2022</v>
      </c>
      <c r="AC1082" t="str">
        <f>TEXT(Table1[[#This Row],[Hire Date]],"mmmm")</f>
        <v>ژانويه</v>
      </c>
      <c r="AD1082" t="str">
        <f>IF(Table1[[#This Row],[Resigned]]="yes","former","active")</f>
        <v>active</v>
      </c>
    </row>
    <row r="1083" spans="1:30" x14ac:dyDescent="0.3">
      <c r="A1083" t="s">
        <v>2231</v>
      </c>
      <c r="B1083" t="s">
        <v>2232</v>
      </c>
      <c r="C1083" t="s">
        <v>27</v>
      </c>
      <c r="D1083">
        <v>30</v>
      </c>
      <c r="E1083" t="s">
        <v>56</v>
      </c>
      <c r="F1083" t="s">
        <v>84</v>
      </c>
      <c r="G1083" t="s">
        <v>49</v>
      </c>
      <c r="H1083" t="s">
        <v>31</v>
      </c>
      <c r="I1083" t="s">
        <v>65</v>
      </c>
      <c r="J1083" s="1">
        <v>43602</v>
      </c>
      <c r="K1083">
        <v>7</v>
      </c>
      <c r="L1083">
        <v>26889716</v>
      </c>
      <c r="M1083">
        <v>1877763</v>
      </c>
      <c r="N1083" t="s">
        <v>34</v>
      </c>
      <c r="O1083">
        <v>4.91</v>
      </c>
      <c r="P1083">
        <v>25</v>
      </c>
      <c r="Q1083">
        <v>5</v>
      </c>
      <c r="R1083">
        <v>1</v>
      </c>
      <c r="S1083">
        <v>4</v>
      </c>
      <c r="T1083" t="s">
        <v>33</v>
      </c>
      <c r="U1083" t="s">
        <v>34</v>
      </c>
      <c r="V1083" t="s">
        <v>70</v>
      </c>
      <c r="W1083" t="s">
        <v>33</v>
      </c>
      <c r="X1083" t="s">
        <v>36</v>
      </c>
      <c r="Z1083" t="str">
        <f>IF(Table1[[#This Row],[Age]]&lt;30,"20-29",IF(Table1[[#This Row],[Age]]&lt;40,"30-39",IF(Table1[[#This Row],[Age]]&lt;50,"40-49","50+")))</f>
        <v>30-39</v>
      </c>
      <c r="AA1083" t="str">
        <f>IF(Table1[[#This Row],[Salary]]&lt;20000000,"low",IF(Table1[[#This Row],[Salary]]&lt;40000000,"medium","high"))</f>
        <v>medium</v>
      </c>
      <c r="AB1083">
        <f>YEAR(Table1[[#This Row],[Hire Date]])</f>
        <v>2019</v>
      </c>
      <c r="AC1083" t="str">
        <f>TEXT(Table1[[#This Row],[Hire Date]],"mmmm")</f>
        <v>مه</v>
      </c>
      <c r="AD1083" t="str">
        <f>IF(Table1[[#This Row],[Resigned]]="yes","former","active")</f>
        <v>active</v>
      </c>
    </row>
    <row r="1084" spans="1:30" x14ac:dyDescent="0.3">
      <c r="A1084" t="s">
        <v>2233</v>
      </c>
      <c r="B1084" t="s">
        <v>2234</v>
      </c>
      <c r="C1084" t="s">
        <v>27</v>
      </c>
      <c r="D1084">
        <v>23</v>
      </c>
      <c r="E1084" t="s">
        <v>110</v>
      </c>
      <c r="F1084" t="s">
        <v>120</v>
      </c>
      <c r="G1084" t="s">
        <v>30</v>
      </c>
      <c r="H1084" t="s">
        <v>42</v>
      </c>
      <c r="I1084" t="s">
        <v>81</v>
      </c>
      <c r="J1084" s="1">
        <v>43061</v>
      </c>
      <c r="K1084">
        <v>9</v>
      </c>
      <c r="L1084">
        <v>52731833</v>
      </c>
      <c r="M1084">
        <v>1974767</v>
      </c>
      <c r="N1084" t="s">
        <v>34</v>
      </c>
      <c r="O1084">
        <v>4.53</v>
      </c>
      <c r="P1084">
        <v>18</v>
      </c>
      <c r="Q1084">
        <v>5</v>
      </c>
      <c r="R1084">
        <v>1</v>
      </c>
      <c r="S1084">
        <v>11</v>
      </c>
      <c r="T1084" t="s">
        <v>34</v>
      </c>
      <c r="U1084" t="s">
        <v>34</v>
      </c>
      <c r="V1084" t="s">
        <v>51</v>
      </c>
      <c r="W1084" t="s">
        <v>34</v>
      </c>
      <c r="X1084" t="s">
        <v>36</v>
      </c>
      <c r="Z1084" t="str">
        <f>IF(Table1[[#This Row],[Age]]&lt;30,"20-29",IF(Table1[[#This Row],[Age]]&lt;40,"30-39",IF(Table1[[#This Row],[Age]]&lt;50,"40-49","50+")))</f>
        <v>20-29</v>
      </c>
      <c r="AA1084" t="str">
        <f>IF(Table1[[#This Row],[Salary]]&lt;20000000,"low",IF(Table1[[#This Row],[Salary]]&lt;40000000,"medium","high"))</f>
        <v>high</v>
      </c>
      <c r="AB1084">
        <f>YEAR(Table1[[#This Row],[Hire Date]])</f>
        <v>2017</v>
      </c>
      <c r="AC1084" t="str">
        <f>TEXT(Table1[[#This Row],[Hire Date]],"mmmm")</f>
        <v>نوامبر</v>
      </c>
      <c r="AD1084" t="str">
        <f>IF(Table1[[#This Row],[Resigned]]="yes","former","active")</f>
        <v>active</v>
      </c>
    </row>
    <row r="1085" spans="1:30" x14ac:dyDescent="0.3">
      <c r="A1085" t="s">
        <v>2235</v>
      </c>
      <c r="B1085" t="s">
        <v>2236</v>
      </c>
      <c r="C1085" t="s">
        <v>27</v>
      </c>
      <c r="D1085">
        <v>53</v>
      </c>
      <c r="E1085" t="s">
        <v>56</v>
      </c>
      <c r="F1085" t="s">
        <v>57</v>
      </c>
      <c r="G1085" t="s">
        <v>30</v>
      </c>
      <c r="H1085" t="s">
        <v>42</v>
      </c>
      <c r="I1085" t="s">
        <v>81</v>
      </c>
      <c r="J1085" s="1">
        <v>44719</v>
      </c>
      <c r="K1085">
        <v>4</v>
      </c>
      <c r="L1085">
        <v>18352686</v>
      </c>
      <c r="M1085">
        <v>6390690</v>
      </c>
      <c r="N1085" t="s">
        <v>34</v>
      </c>
      <c r="O1085">
        <v>2.73</v>
      </c>
      <c r="P1085">
        <v>51</v>
      </c>
      <c r="Q1085">
        <v>2</v>
      </c>
      <c r="R1085">
        <v>2</v>
      </c>
      <c r="S1085">
        <v>4</v>
      </c>
      <c r="T1085" t="s">
        <v>33</v>
      </c>
      <c r="U1085" t="s">
        <v>34</v>
      </c>
      <c r="V1085" t="s">
        <v>51</v>
      </c>
      <c r="W1085" t="s">
        <v>33</v>
      </c>
      <c r="X1085" t="s">
        <v>36</v>
      </c>
      <c r="Z1085" t="str">
        <f>IF(Table1[[#This Row],[Age]]&lt;30,"20-29",IF(Table1[[#This Row],[Age]]&lt;40,"30-39",IF(Table1[[#This Row],[Age]]&lt;50,"40-49","50+")))</f>
        <v>50+</v>
      </c>
      <c r="AA1085" t="str">
        <f>IF(Table1[[#This Row],[Salary]]&lt;20000000,"low",IF(Table1[[#This Row],[Salary]]&lt;40000000,"medium","high"))</f>
        <v>low</v>
      </c>
      <c r="AB1085">
        <f>YEAR(Table1[[#This Row],[Hire Date]])</f>
        <v>2022</v>
      </c>
      <c r="AC1085" t="str">
        <f>TEXT(Table1[[#This Row],[Hire Date]],"mmmm")</f>
        <v>ژوئن</v>
      </c>
      <c r="AD1085" t="str">
        <f>IF(Table1[[#This Row],[Resigned]]="yes","former","active")</f>
        <v>active</v>
      </c>
    </row>
    <row r="1086" spans="1:30" x14ac:dyDescent="0.3">
      <c r="A1086" t="s">
        <v>2237</v>
      </c>
      <c r="B1086" t="s">
        <v>2238</v>
      </c>
      <c r="C1086" t="s">
        <v>27</v>
      </c>
      <c r="D1086">
        <v>34</v>
      </c>
      <c r="E1086" t="s">
        <v>28</v>
      </c>
      <c r="F1086" t="s">
        <v>29</v>
      </c>
      <c r="G1086" t="s">
        <v>49</v>
      </c>
      <c r="H1086" t="s">
        <v>31</v>
      </c>
      <c r="I1086" t="s">
        <v>43</v>
      </c>
      <c r="J1086" s="1">
        <v>44138</v>
      </c>
      <c r="K1086">
        <v>6</v>
      </c>
      <c r="L1086">
        <v>23260885</v>
      </c>
      <c r="M1086">
        <v>9235361</v>
      </c>
      <c r="N1086" t="s">
        <v>34</v>
      </c>
      <c r="O1086">
        <v>3.94</v>
      </c>
      <c r="P1086">
        <v>23</v>
      </c>
      <c r="Q1086">
        <v>1</v>
      </c>
      <c r="R1086">
        <v>2</v>
      </c>
      <c r="S1086">
        <v>7</v>
      </c>
      <c r="T1086" t="s">
        <v>33</v>
      </c>
      <c r="U1086" t="s">
        <v>34</v>
      </c>
      <c r="V1086" t="s">
        <v>59</v>
      </c>
      <c r="W1086" t="s">
        <v>34</v>
      </c>
      <c r="X1086" t="s">
        <v>45</v>
      </c>
      <c r="Z1086" t="str">
        <f>IF(Table1[[#This Row],[Age]]&lt;30,"20-29",IF(Table1[[#This Row],[Age]]&lt;40,"30-39",IF(Table1[[#This Row],[Age]]&lt;50,"40-49","50+")))</f>
        <v>30-39</v>
      </c>
      <c r="AA1086" t="str">
        <f>IF(Table1[[#This Row],[Salary]]&lt;20000000,"low",IF(Table1[[#This Row],[Salary]]&lt;40000000,"medium","high"))</f>
        <v>medium</v>
      </c>
      <c r="AB1086">
        <f>YEAR(Table1[[#This Row],[Hire Date]])</f>
        <v>2020</v>
      </c>
      <c r="AC1086" t="str">
        <f>TEXT(Table1[[#This Row],[Hire Date]],"mmmm")</f>
        <v>نوامبر</v>
      </c>
      <c r="AD1086" t="str">
        <f>IF(Table1[[#This Row],[Resigned]]="yes","former","active")</f>
        <v>active</v>
      </c>
    </row>
    <row r="1087" spans="1:30" x14ac:dyDescent="0.3">
      <c r="A1087" t="s">
        <v>2239</v>
      </c>
      <c r="B1087" t="s">
        <v>2240</v>
      </c>
      <c r="C1087" t="s">
        <v>27</v>
      </c>
      <c r="D1087">
        <v>39</v>
      </c>
      <c r="E1087" t="s">
        <v>56</v>
      </c>
      <c r="F1087" t="s">
        <v>57</v>
      </c>
      <c r="G1087" t="s">
        <v>30</v>
      </c>
      <c r="H1087" t="s">
        <v>31</v>
      </c>
      <c r="I1087" t="s">
        <v>81</v>
      </c>
      <c r="J1087" s="1">
        <v>42786</v>
      </c>
      <c r="K1087">
        <v>9</v>
      </c>
      <c r="L1087">
        <v>59224168</v>
      </c>
      <c r="M1087">
        <v>9751388</v>
      </c>
      <c r="N1087" t="s">
        <v>33</v>
      </c>
      <c r="O1087">
        <v>4.13</v>
      </c>
      <c r="P1087">
        <v>27</v>
      </c>
      <c r="Q1087">
        <v>3</v>
      </c>
      <c r="R1087">
        <v>1</v>
      </c>
      <c r="S1087">
        <v>2</v>
      </c>
      <c r="T1087" t="s">
        <v>33</v>
      </c>
      <c r="U1087" t="s">
        <v>33</v>
      </c>
      <c r="V1087" t="s">
        <v>44</v>
      </c>
      <c r="W1087" t="s">
        <v>33</v>
      </c>
      <c r="X1087" t="s">
        <v>36</v>
      </c>
      <c r="Y1087" t="s">
        <v>75</v>
      </c>
      <c r="Z1087" t="str">
        <f>IF(Table1[[#This Row],[Age]]&lt;30,"20-29",IF(Table1[[#This Row],[Age]]&lt;40,"30-39",IF(Table1[[#This Row],[Age]]&lt;50,"40-49","50+")))</f>
        <v>30-39</v>
      </c>
      <c r="AA1087" t="str">
        <f>IF(Table1[[#This Row],[Salary]]&lt;20000000,"low",IF(Table1[[#This Row],[Salary]]&lt;40000000,"medium","high"))</f>
        <v>high</v>
      </c>
      <c r="AB1087">
        <f>YEAR(Table1[[#This Row],[Hire Date]])</f>
        <v>2017</v>
      </c>
      <c r="AC1087" t="str">
        <f>TEXT(Table1[[#This Row],[Hire Date]],"mmmm")</f>
        <v>فوريه</v>
      </c>
      <c r="AD1087" t="str">
        <f>IF(Table1[[#This Row],[Resigned]]="yes","former","active")</f>
        <v>former</v>
      </c>
    </row>
    <row r="1088" spans="1:30" x14ac:dyDescent="0.3">
      <c r="A1088" t="s">
        <v>2241</v>
      </c>
      <c r="B1088" t="s">
        <v>2242</v>
      </c>
      <c r="C1088" t="s">
        <v>39</v>
      </c>
      <c r="D1088">
        <v>51</v>
      </c>
      <c r="E1088" t="s">
        <v>56</v>
      </c>
      <c r="F1088" t="s">
        <v>57</v>
      </c>
      <c r="G1088" t="s">
        <v>30</v>
      </c>
      <c r="H1088" t="s">
        <v>42</v>
      </c>
      <c r="I1088" t="s">
        <v>65</v>
      </c>
      <c r="J1088" s="1">
        <v>44262</v>
      </c>
      <c r="K1088">
        <v>5</v>
      </c>
      <c r="L1088">
        <v>41325778</v>
      </c>
      <c r="M1088">
        <v>5332057</v>
      </c>
      <c r="N1088" t="s">
        <v>33</v>
      </c>
      <c r="O1088">
        <v>2.89</v>
      </c>
      <c r="P1088">
        <v>10</v>
      </c>
      <c r="Q1088">
        <v>2</v>
      </c>
      <c r="R1088">
        <v>5</v>
      </c>
      <c r="S1088">
        <v>3</v>
      </c>
      <c r="T1088" t="s">
        <v>34</v>
      </c>
      <c r="U1088" t="s">
        <v>34</v>
      </c>
      <c r="V1088" t="s">
        <v>70</v>
      </c>
      <c r="W1088" t="s">
        <v>33</v>
      </c>
      <c r="X1088" t="s">
        <v>36</v>
      </c>
      <c r="Z1088" t="str">
        <f>IF(Table1[[#This Row],[Age]]&lt;30,"20-29",IF(Table1[[#This Row],[Age]]&lt;40,"30-39",IF(Table1[[#This Row],[Age]]&lt;50,"40-49","50+")))</f>
        <v>50+</v>
      </c>
      <c r="AA1088" t="str">
        <f>IF(Table1[[#This Row],[Salary]]&lt;20000000,"low",IF(Table1[[#This Row],[Salary]]&lt;40000000,"medium","high"))</f>
        <v>high</v>
      </c>
      <c r="AB1088">
        <f>YEAR(Table1[[#This Row],[Hire Date]])</f>
        <v>2021</v>
      </c>
      <c r="AC1088" t="str">
        <f>TEXT(Table1[[#This Row],[Hire Date]],"mmmm")</f>
        <v>مارس</v>
      </c>
      <c r="AD1088" t="str">
        <f>IF(Table1[[#This Row],[Resigned]]="yes","former","active")</f>
        <v>active</v>
      </c>
    </row>
    <row r="1089" spans="1:30" x14ac:dyDescent="0.3">
      <c r="A1089" t="s">
        <v>2243</v>
      </c>
      <c r="B1089" t="s">
        <v>2244</v>
      </c>
      <c r="C1089" t="s">
        <v>27</v>
      </c>
      <c r="D1089">
        <v>25</v>
      </c>
      <c r="E1089" t="s">
        <v>56</v>
      </c>
      <c r="F1089" t="s">
        <v>57</v>
      </c>
      <c r="G1089" t="s">
        <v>58</v>
      </c>
      <c r="H1089" t="s">
        <v>31</v>
      </c>
      <c r="I1089" t="s">
        <v>81</v>
      </c>
      <c r="J1089" s="1">
        <v>44689</v>
      </c>
      <c r="K1089">
        <v>4</v>
      </c>
      <c r="L1089">
        <v>32935926</v>
      </c>
      <c r="M1089">
        <v>9402</v>
      </c>
      <c r="N1089" t="s">
        <v>33</v>
      </c>
      <c r="O1089">
        <v>3.2</v>
      </c>
      <c r="P1089">
        <v>0</v>
      </c>
      <c r="Q1089">
        <v>5</v>
      </c>
      <c r="R1089">
        <v>3</v>
      </c>
      <c r="S1089">
        <v>8</v>
      </c>
      <c r="T1089" t="s">
        <v>33</v>
      </c>
      <c r="U1089" t="s">
        <v>34</v>
      </c>
      <c r="V1089" t="s">
        <v>51</v>
      </c>
      <c r="W1089" t="s">
        <v>33</v>
      </c>
      <c r="X1089" t="s">
        <v>52</v>
      </c>
      <c r="Z1089" t="str">
        <f>IF(Table1[[#This Row],[Age]]&lt;30,"20-29",IF(Table1[[#This Row],[Age]]&lt;40,"30-39",IF(Table1[[#This Row],[Age]]&lt;50,"40-49","50+")))</f>
        <v>20-29</v>
      </c>
      <c r="AA1089" t="str">
        <f>IF(Table1[[#This Row],[Salary]]&lt;20000000,"low",IF(Table1[[#This Row],[Salary]]&lt;40000000,"medium","high"))</f>
        <v>medium</v>
      </c>
      <c r="AB1089">
        <f>YEAR(Table1[[#This Row],[Hire Date]])</f>
        <v>2022</v>
      </c>
      <c r="AC1089" t="str">
        <f>TEXT(Table1[[#This Row],[Hire Date]],"mmmm")</f>
        <v>مه</v>
      </c>
      <c r="AD1089" t="str">
        <f>IF(Table1[[#This Row],[Resigned]]="yes","former","active")</f>
        <v>active</v>
      </c>
    </row>
    <row r="1090" spans="1:30" x14ac:dyDescent="0.3">
      <c r="A1090" t="s">
        <v>2245</v>
      </c>
      <c r="B1090" t="s">
        <v>2246</v>
      </c>
      <c r="C1090" t="s">
        <v>27</v>
      </c>
      <c r="D1090">
        <v>40</v>
      </c>
      <c r="E1090" t="s">
        <v>110</v>
      </c>
      <c r="F1090" t="s">
        <v>111</v>
      </c>
      <c r="G1090" t="s">
        <v>58</v>
      </c>
      <c r="H1090" t="s">
        <v>42</v>
      </c>
      <c r="I1090" t="s">
        <v>65</v>
      </c>
      <c r="J1090" s="1">
        <v>42769</v>
      </c>
      <c r="K1090">
        <v>9</v>
      </c>
      <c r="L1090">
        <v>50425503</v>
      </c>
      <c r="M1090">
        <v>670998</v>
      </c>
      <c r="N1090" t="s">
        <v>33</v>
      </c>
      <c r="O1090">
        <v>4.76</v>
      </c>
      <c r="P1090">
        <v>62</v>
      </c>
      <c r="Q1090">
        <v>3</v>
      </c>
      <c r="R1090">
        <v>3</v>
      </c>
      <c r="S1090">
        <v>17</v>
      </c>
      <c r="T1090" t="s">
        <v>33</v>
      </c>
      <c r="U1090" t="s">
        <v>34</v>
      </c>
      <c r="V1090" t="s">
        <v>44</v>
      </c>
      <c r="W1090" t="s">
        <v>34</v>
      </c>
      <c r="X1090" t="s">
        <v>52</v>
      </c>
      <c r="Z1090" t="str">
        <f>IF(Table1[[#This Row],[Age]]&lt;30,"20-29",IF(Table1[[#This Row],[Age]]&lt;40,"30-39",IF(Table1[[#This Row],[Age]]&lt;50,"40-49","50+")))</f>
        <v>40-49</v>
      </c>
      <c r="AA1090" t="str">
        <f>IF(Table1[[#This Row],[Salary]]&lt;20000000,"low",IF(Table1[[#This Row],[Salary]]&lt;40000000,"medium","high"))</f>
        <v>high</v>
      </c>
      <c r="AB1090">
        <f>YEAR(Table1[[#This Row],[Hire Date]])</f>
        <v>2017</v>
      </c>
      <c r="AC1090" t="str">
        <f>TEXT(Table1[[#This Row],[Hire Date]],"mmmm")</f>
        <v>فوريه</v>
      </c>
      <c r="AD1090" t="str">
        <f>IF(Table1[[#This Row],[Resigned]]="yes","former","active")</f>
        <v>active</v>
      </c>
    </row>
    <row r="1091" spans="1:30" x14ac:dyDescent="0.3">
      <c r="A1091" t="s">
        <v>2247</v>
      </c>
      <c r="B1091" t="s">
        <v>2248</v>
      </c>
      <c r="C1091" t="s">
        <v>39</v>
      </c>
      <c r="D1091">
        <v>40</v>
      </c>
      <c r="E1091" t="s">
        <v>73</v>
      </c>
      <c r="F1091" t="s">
        <v>127</v>
      </c>
      <c r="G1091" t="s">
        <v>49</v>
      </c>
      <c r="H1091" t="s">
        <v>42</v>
      </c>
      <c r="I1091" t="s">
        <v>32</v>
      </c>
      <c r="J1091" s="1">
        <v>44200</v>
      </c>
      <c r="K1091">
        <v>5</v>
      </c>
      <c r="L1091">
        <v>38305728</v>
      </c>
      <c r="M1091">
        <v>3645568</v>
      </c>
      <c r="N1091" t="s">
        <v>34</v>
      </c>
      <c r="O1091">
        <v>4.96</v>
      </c>
      <c r="P1091">
        <v>45</v>
      </c>
      <c r="Q1091">
        <v>2</v>
      </c>
      <c r="R1091">
        <v>1</v>
      </c>
      <c r="S1091">
        <v>9</v>
      </c>
      <c r="T1091" t="s">
        <v>33</v>
      </c>
      <c r="U1091" t="s">
        <v>34</v>
      </c>
      <c r="V1091" t="s">
        <v>70</v>
      </c>
      <c r="W1091" t="s">
        <v>34</v>
      </c>
      <c r="X1091" t="s">
        <v>45</v>
      </c>
      <c r="Z1091" t="str">
        <f>IF(Table1[[#This Row],[Age]]&lt;30,"20-29",IF(Table1[[#This Row],[Age]]&lt;40,"30-39",IF(Table1[[#This Row],[Age]]&lt;50,"40-49","50+")))</f>
        <v>40-49</v>
      </c>
      <c r="AA1091" t="str">
        <f>IF(Table1[[#This Row],[Salary]]&lt;20000000,"low",IF(Table1[[#This Row],[Salary]]&lt;40000000,"medium","high"))</f>
        <v>medium</v>
      </c>
      <c r="AB1091">
        <f>YEAR(Table1[[#This Row],[Hire Date]])</f>
        <v>2021</v>
      </c>
      <c r="AC1091" t="str">
        <f>TEXT(Table1[[#This Row],[Hire Date]],"mmmm")</f>
        <v>ژانويه</v>
      </c>
      <c r="AD1091" t="str">
        <f>IF(Table1[[#This Row],[Resigned]]="yes","former","active")</f>
        <v>active</v>
      </c>
    </row>
    <row r="1092" spans="1:30" x14ac:dyDescent="0.3">
      <c r="A1092" t="s">
        <v>2249</v>
      </c>
      <c r="B1092" t="s">
        <v>2250</v>
      </c>
      <c r="C1092" t="s">
        <v>39</v>
      </c>
      <c r="D1092">
        <v>57</v>
      </c>
      <c r="E1092" t="s">
        <v>73</v>
      </c>
      <c r="F1092" t="s">
        <v>74</v>
      </c>
      <c r="G1092" t="s">
        <v>58</v>
      </c>
      <c r="H1092" t="s">
        <v>31</v>
      </c>
      <c r="I1092" t="s">
        <v>65</v>
      </c>
      <c r="J1092" s="1">
        <v>45086</v>
      </c>
      <c r="K1092">
        <v>3</v>
      </c>
      <c r="L1092">
        <v>24448416</v>
      </c>
      <c r="M1092">
        <v>5036856</v>
      </c>
      <c r="N1092" t="s">
        <v>33</v>
      </c>
      <c r="O1092">
        <v>3.78</v>
      </c>
      <c r="P1092">
        <v>64</v>
      </c>
      <c r="Q1092">
        <v>2</v>
      </c>
      <c r="R1092">
        <v>1</v>
      </c>
      <c r="S1092">
        <v>20</v>
      </c>
      <c r="T1092" t="s">
        <v>33</v>
      </c>
      <c r="U1092" t="s">
        <v>34</v>
      </c>
      <c r="V1092" t="s">
        <v>59</v>
      </c>
      <c r="W1092" t="s">
        <v>34</v>
      </c>
      <c r="X1092" t="s">
        <v>36</v>
      </c>
      <c r="Z1092" t="str">
        <f>IF(Table1[[#This Row],[Age]]&lt;30,"20-29",IF(Table1[[#This Row],[Age]]&lt;40,"30-39",IF(Table1[[#This Row],[Age]]&lt;50,"40-49","50+")))</f>
        <v>50+</v>
      </c>
      <c r="AA1092" t="str">
        <f>IF(Table1[[#This Row],[Salary]]&lt;20000000,"low",IF(Table1[[#This Row],[Salary]]&lt;40000000,"medium","high"))</f>
        <v>medium</v>
      </c>
      <c r="AB1092">
        <f>YEAR(Table1[[#This Row],[Hire Date]])</f>
        <v>2023</v>
      </c>
      <c r="AC1092" t="str">
        <f>TEXT(Table1[[#This Row],[Hire Date]],"mmmm")</f>
        <v>ژوئن</v>
      </c>
      <c r="AD1092" t="str">
        <f>IF(Table1[[#This Row],[Resigned]]="yes","former","active")</f>
        <v>active</v>
      </c>
    </row>
    <row r="1093" spans="1:30" x14ac:dyDescent="0.3">
      <c r="A1093" t="s">
        <v>2251</v>
      </c>
      <c r="B1093" t="s">
        <v>2252</v>
      </c>
      <c r="C1093" t="s">
        <v>39</v>
      </c>
      <c r="D1093">
        <v>46</v>
      </c>
      <c r="E1093" t="s">
        <v>73</v>
      </c>
      <c r="F1093" t="s">
        <v>127</v>
      </c>
      <c r="G1093" t="s">
        <v>58</v>
      </c>
      <c r="H1093" t="s">
        <v>42</v>
      </c>
      <c r="I1093" t="s">
        <v>81</v>
      </c>
      <c r="J1093" s="1">
        <v>45389</v>
      </c>
      <c r="K1093">
        <v>2</v>
      </c>
      <c r="L1093">
        <v>51632791</v>
      </c>
      <c r="M1093">
        <v>7961791</v>
      </c>
      <c r="N1093" t="s">
        <v>33</v>
      </c>
      <c r="O1093">
        <v>3.24</v>
      </c>
      <c r="P1093">
        <v>7</v>
      </c>
      <c r="Q1093">
        <v>2</v>
      </c>
      <c r="R1093">
        <v>2</v>
      </c>
      <c r="S1093">
        <v>20</v>
      </c>
      <c r="T1093" t="s">
        <v>34</v>
      </c>
      <c r="U1093" t="s">
        <v>34</v>
      </c>
      <c r="V1093" t="s">
        <v>59</v>
      </c>
      <c r="W1093" t="s">
        <v>33</v>
      </c>
      <c r="X1093" t="s">
        <v>45</v>
      </c>
      <c r="Z1093" t="str">
        <f>IF(Table1[[#This Row],[Age]]&lt;30,"20-29",IF(Table1[[#This Row],[Age]]&lt;40,"30-39",IF(Table1[[#This Row],[Age]]&lt;50,"40-49","50+")))</f>
        <v>40-49</v>
      </c>
      <c r="AA1093" t="str">
        <f>IF(Table1[[#This Row],[Salary]]&lt;20000000,"low",IF(Table1[[#This Row],[Salary]]&lt;40000000,"medium","high"))</f>
        <v>high</v>
      </c>
      <c r="AB1093">
        <f>YEAR(Table1[[#This Row],[Hire Date]])</f>
        <v>2024</v>
      </c>
      <c r="AC1093" t="str">
        <f>TEXT(Table1[[#This Row],[Hire Date]],"mmmm")</f>
        <v>آوريل</v>
      </c>
      <c r="AD1093" t="str">
        <f>IF(Table1[[#This Row],[Resigned]]="yes","former","active")</f>
        <v>active</v>
      </c>
    </row>
    <row r="1094" spans="1:30" x14ac:dyDescent="0.3">
      <c r="A1094" t="s">
        <v>2253</v>
      </c>
      <c r="B1094" t="s">
        <v>2254</v>
      </c>
      <c r="C1094" t="s">
        <v>27</v>
      </c>
      <c r="D1094">
        <v>37</v>
      </c>
      <c r="E1094" t="s">
        <v>110</v>
      </c>
      <c r="F1094" t="s">
        <v>111</v>
      </c>
      <c r="G1094" t="s">
        <v>49</v>
      </c>
      <c r="H1094" t="s">
        <v>42</v>
      </c>
      <c r="I1094" t="s">
        <v>65</v>
      </c>
      <c r="J1094" s="1">
        <v>44978</v>
      </c>
      <c r="K1094">
        <v>3</v>
      </c>
      <c r="L1094">
        <v>45171205</v>
      </c>
      <c r="M1094">
        <v>2016560</v>
      </c>
      <c r="N1094" t="s">
        <v>34</v>
      </c>
      <c r="O1094">
        <v>3.64</v>
      </c>
      <c r="P1094">
        <v>40</v>
      </c>
      <c r="Q1094">
        <v>5</v>
      </c>
      <c r="R1094">
        <v>4</v>
      </c>
      <c r="S1094">
        <v>7</v>
      </c>
      <c r="T1094" t="s">
        <v>33</v>
      </c>
      <c r="U1094" t="s">
        <v>34</v>
      </c>
      <c r="V1094" t="s">
        <v>35</v>
      </c>
      <c r="W1094" t="s">
        <v>34</v>
      </c>
      <c r="X1094" t="s">
        <v>36</v>
      </c>
      <c r="Z1094" t="str">
        <f>IF(Table1[[#This Row],[Age]]&lt;30,"20-29",IF(Table1[[#This Row],[Age]]&lt;40,"30-39",IF(Table1[[#This Row],[Age]]&lt;50,"40-49","50+")))</f>
        <v>30-39</v>
      </c>
      <c r="AA1094" t="str">
        <f>IF(Table1[[#This Row],[Salary]]&lt;20000000,"low",IF(Table1[[#This Row],[Salary]]&lt;40000000,"medium","high"))</f>
        <v>high</v>
      </c>
      <c r="AB1094">
        <f>YEAR(Table1[[#This Row],[Hire Date]])</f>
        <v>2023</v>
      </c>
      <c r="AC1094" t="str">
        <f>TEXT(Table1[[#This Row],[Hire Date]],"mmmm")</f>
        <v>فوريه</v>
      </c>
      <c r="AD1094" t="str">
        <f>IF(Table1[[#This Row],[Resigned]]="yes","former","active")</f>
        <v>active</v>
      </c>
    </row>
    <row r="1095" spans="1:30" x14ac:dyDescent="0.3">
      <c r="A1095" t="s">
        <v>2255</v>
      </c>
      <c r="B1095" t="s">
        <v>2256</v>
      </c>
      <c r="C1095" t="s">
        <v>27</v>
      </c>
      <c r="D1095">
        <v>30</v>
      </c>
      <c r="E1095" t="s">
        <v>56</v>
      </c>
      <c r="F1095" t="s">
        <v>57</v>
      </c>
      <c r="G1095" t="s">
        <v>58</v>
      </c>
      <c r="H1095" t="s">
        <v>31</v>
      </c>
      <c r="I1095" t="s">
        <v>43</v>
      </c>
      <c r="J1095" s="1">
        <v>43373</v>
      </c>
      <c r="K1095">
        <v>8</v>
      </c>
      <c r="L1095">
        <v>58667461</v>
      </c>
      <c r="M1095">
        <v>7192297</v>
      </c>
      <c r="N1095" t="s">
        <v>34</v>
      </c>
      <c r="O1095">
        <v>4.3</v>
      </c>
      <c r="P1095">
        <v>11</v>
      </c>
      <c r="Q1095">
        <v>5</v>
      </c>
      <c r="R1095">
        <v>4</v>
      </c>
      <c r="S1095">
        <v>8</v>
      </c>
      <c r="T1095" t="s">
        <v>34</v>
      </c>
      <c r="U1095" t="s">
        <v>34</v>
      </c>
      <c r="V1095" t="s">
        <v>70</v>
      </c>
      <c r="W1095" t="s">
        <v>34</v>
      </c>
      <c r="X1095" t="s">
        <v>36</v>
      </c>
      <c r="Z1095" t="str">
        <f>IF(Table1[[#This Row],[Age]]&lt;30,"20-29",IF(Table1[[#This Row],[Age]]&lt;40,"30-39",IF(Table1[[#This Row],[Age]]&lt;50,"40-49","50+")))</f>
        <v>30-39</v>
      </c>
      <c r="AA1095" t="str">
        <f>IF(Table1[[#This Row],[Salary]]&lt;20000000,"low",IF(Table1[[#This Row],[Salary]]&lt;40000000,"medium","high"))</f>
        <v>high</v>
      </c>
      <c r="AB1095">
        <f>YEAR(Table1[[#This Row],[Hire Date]])</f>
        <v>2018</v>
      </c>
      <c r="AC1095" t="str">
        <f>TEXT(Table1[[#This Row],[Hire Date]],"mmmm")</f>
        <v>سپتامبر</v>
      </c>
      <c r="AD1095" t="str">
        <f>IF(Table1[[#This Row],[Resigned]]="yes","former","active")</f>
        <v>active</v>
      </c>
    </row>
    <row r="1096" spans="1:30" x14ac:dyDescent="0.3">
      <c r="A1096" t="s">
        <v>2257</v>
      </c>
      <c r="B1096" t="s">
        <v>2258</v>
      </c>
      <c r="C1096" t="s">
        <v>39</v>
      </c>
      <c r="D1096">
        <v>47</v>
      </c>
      <c r="E1096" t="s">
        <v>73</v>
      </c>
      <c r="F1096" t="s">
        <v>74</v>
      </c>
      <c r="G1096" t="s">
        <v>49</v>
      </c>
      <c r="H1096" t="s">
        <v>42</v>
      </c>
      <c r="I1096" t="s">
        <v>81</v>
      </c>
      <c r="J1096" s="1">
        <v>43326</v>
      </c>
      <c r="K1096">
        <v>8</v>
      </c>
      <c r="L1096">
        <v>53598065</v>
      </c>
      <c r="M1096">
        <v>3242284</v>
      </c>
      <c r="N1096" t="s">
        <v>33</v>
      </c>
      <c r="O1096">
        <v>3.49</v>
      </c>
      <c r="P1096">
        <v>20</v>
      </c>
      <c r="Q1096">
        <v>3</v>
      </c>
      <c r="R1096">
        <v>4</v>
      </c>
      <c r="S1096">
        <v>7</v>
      </c>
      <c r="T1096" t="s">
        <v>33</v>
      </c>
      <c r="U1096" t="s">
        <v>34</v>
      </c>
      <c r="V1096" t="s">
        <v>44</v>
      </c>
      <c r="W1096" t="s">
        <v>34</v>
      </c>
      <c r="X1096" t="s">
        <v>45</v>
      </c>
      <c r="Z1096" t="str">
        <f>IF(Table1[[#This Row],[Age]]&lt;30,"20-29",IF(Table1[[#This Row],[Age]]&lt;40,"30-39",IF(Table1[[#This Row],[Age]]&lt;50,"40-49","50+")))</f>
        <v>40-49</v>
      </c>
      <c r="AA1096" t="str">
        <f>IF(Table1[[#This Row],[Salary]]&lt;20000000,"low",IF(Table1[[#This Row],[Salary]]&lt;40000000,"medium","high"))</f>
        <v>high</v>
      </c>
      <c r="AB1096">
        <f>YEAR(Table1[[#This Row],[Hire Date]])</f>
        <v>2018</v>
      </c>
      <c r="AC1096" t="str">
        <f>TEXT(Table1[[#This Row],[Hire Date]],"mmmm")</f>
        <v>اوت</v>
      </c>
      <c r="AD1096" t="str">
        <f>IF(Table1[[#This Row],[Resigned]]="yes","former","active")</f>
        <v>active</v>
      </c>
    </row>
    <row r="1097" spans="1:30" x14ac:dyDescent="0.3">
      <c r="A1097" t="s">
        <v>2259</v>
      </c>
      <c r="B1097" t="s">
        <v>2260</v>
      </c>
      <c r="C1097" t="s">
        <v>27</v>
      </c>
      <c r="D1097">
        <v>22</v>
      </c>
      <c r="E1097" t="s">
        <v>73</v>
      </c>
      <c r="F1097" t="s">
        <v>74</v>
      </c>
      <c r="G1097" t="s">
        <v>58</v>
      </c>
      <c r="H1097" t="s">
        <v>31</v>
      </c>
      <c r="I1097" t="s">
        <v>65</v>
      </c>
      <c r="J1097" s="1">
        <v>43837</v>
      </c>
      <c r="K1097">
        <v>6</v>
      </c>
      <c r="L1097">
        <v>38872993</v>
      </c>
      <c r="M1097">
        <v>5414728</v>
      </c>
      <c r="N1097" t="s">
        <v>33</v>
      </c>
      <c r="O1097">
        <v>4.8899999999999997</v>
      </c>
      <c r="P1097">
        <v>76</v>
      </c>
      <c r="Q1097">
        <v>1</v>
      </c>
      <c r="R1097">
        <v>3</v>
      </c>
      <c r="S1097">
        <v>6</v>
      </c>
      <c r="T1097" t="s">
        <v>33</v>
      </c>
      <c r="U1097" t="s">
        <v>34</v>
      </c>
      <c r="V1097" t="s">
        <v>35</v>
      </c>
      <c r="W1097" t="s">
        <v>34</v>
      </c>
      <c r="X1097" t="s">
        <v>52</v>
      </c>
      <c r="Z1097" t="str">
        <f>IF(Table1[[#This Row],[Age]]&lt;30,"20-29",IF(Table1[[#This Row],[Age]]&lt;40,"30-39",IF(Table1[[#This Row],[Age]]&lt;50,"40-49","50+")))</f>
        <v>20-29</v>
      </c>
      <c r="AA1097" t="str">
        <f>IF(Table1[[#This Row],[Salary]]&lt;20000000,"low",IF(Table1[[#This Row],[Salary]]&lt;40000000,"medium","high"))</f>
        <v>medium</v>
      </c>
      <c r="AB1097">
        <f>YEAR(Table1[[#This Row],[Hire Date]])</f>
        <v>2020</v>
      </c>
      <c r="AC1097" t="str">
        <f>TEXT(Table1[[#This Row],[Hire Date]],"mmmm")</f>
        <v>ژانويه</v>
      </c>
      <c r="AD1097" t="str">
        <f>IF(Table1[[#This Row],[Resigned]]="yes","former","active")</f>
        <v>active</v>
      </c>
    </row>
    <row r="1098" spans="1:30" x14ac:dyDescent="0.3">
      <c r="A1098" t="s">
        <v>2261</v>
      </c>
      <c r="B1098" t="s">
        <v>2262</v>
      </c>
      <c r="C1098" t="s">
        <v>39</v>
      </c>
      <c r="D1098">
        <v>47</v>
      </c>
      <c r="E1098" t="s">
        <v>28</v>
      </c>
      <c r="F1098" t="s">
        <v>29</v>
      </c>
      <c r="G1098" t="s">
        <v>30</v>
      </c>
      <c r="H1098" t="s">
        <v>31</v>
      </c>
      <c r="I1098" t="s">
        <v>50</v>
      </c>
      <c r="J1098" s="1">
        <v>45118</v>
      </c>
      <c r="K1098">
        <v>3</v>
      </c>
      <c r="L1098">
        <v>37391353</v>
      </c>
      <c r="M1098">
        <v>6179313</v>
      </c>
      <c r="N1098" t="s">
        <v>33</v>
      </c>
      <c r="O1098">
        <v>2.65</v>
      </c>
      <c r="P1098">
        <v>37</v>
      </c>
      <c r="Q1098">
        <v>5</v>
      </c>
      <c r="R1098">
        <v>5</v>
      </c>
      <c r="S1098">
        <v>7</v>
      </c>
      <c r="T1098" t="s">
        <v>33</v>
      </c>
      <c r="U1098" t="s">
        <v>34</v>
      </c>
      <c r="V1098" t="s">
        <v>44</v>
      </c>
      <c r="W1098" t="s">
        <v>33</v>
      </c>
      <c r="X1098" t="s">
        <v>52</v>
      </c>
      <c r="Z1098" t="str">
        <f>IF(Table1[[#This Row],[Age]]&lt;30,"20-29",IF(Table1[[#This Row],[Age]]&lt;40,"30-39",IF(Table1[[#This Row],[Age]]&lt;50,"40-49","50+")))</f>
        <v>40-49</v>
      </c>
      <c r="AA1098" t="str">
        <f>IF(Table1[[#This Row],[Salary]]&lt;20000000,"low",IF(Table1[[#This Row],[Salary]]&lt;40000000,"medium","high"))</f>
        <v>medium</v>
      </c>
      <c r="AB1098">
        <f>YEAR(Table1[[#This Row],[Hire Date]])</f>
        <v>2023</v>
      </c>
      <c r="AC1098" t="str">
        <f>TEXT(Table1[[#This Row],[Hire Date]],"mmmm")</f>
        <v>ژوئيه</v>
      </c>
      <c r="AD1098" t="str">
        <f>IF(Table1[[#This Row],[Resigned]]="yes","former","active")</f>
        <v>active</v>
      </c>
    </row>
    <row r="1099" spans="1:30" x14ac:dyDescent="0.3">
      <c r="A1099" t="s">
        <v>2263</v>
      </c>
      <c r="B1099" t="s">
        <v>2264</v>
      </c>
      <c r="C1099" t="s">
        <v>27</v>
      </c>
      <c r="D1099">
        <v>58</v>
      </c>
      <c r="E1099" t="s">
        <v>110</v>
      </c>
      <c r="F1099" t="s">
        <v>111</v>
      </c>
      <c r="G1099" t="s">
        <v>58</v>
      </c>
      <c r="H1099" t="s">
        <v>31</v>
      </c>
      <c r="I1099" t="s">
        <v>50</v>
      </c>
      <c r="J1099" s="1">
        <v>44785</v>
      </c>
      <c r="K1099">
        <v>4</v>
      </c>
      <c r="L1099">
        <v>54105591</v>
      </c>
      <c r="M1099">
        <v>5127848</v>
      </c>
      <c r="N1099" t="s">
        <v>33</v>
      </c>
      <c r="O1099">
        <v>4.17</v>
      </c>
      <c r="P1099">
        <v>79</v>
      </c>
      <c r="Q1099">
        <v>2</v>
      </c>
      <c r="R1099">
        <v>2</v>
      </c>
      <c r="S1099">
        <v>3</v>
      </c>
      <c r="T1099" t="s">
        <v>33</v>
      </c>
      <c r="U1099" t="s">
        <v>34</v>
      </c>
      <c r="V1099" t="s">
        <v>70</v>
      </c>
      <c r="W1099" t="s">
        <v>33</v>
      </c>
      <c r="X1099" t="s">
        <v>52</v>
      </c>
      <c r="Z1099" t="str">
        <f>IF(Table1[[#This Row],[Age]]&lt;30,"20-29",IF(Table1[[#This Row],[Age]]&lt;40,"30-39",IF(Table1[[#This Row],[Age]]&lt;50,"40-49","50+")))</f>
        <v>50+</v>
      </c>
      <c r="AA1099" t="str">
        <f>IF(Table1[[#This Row],[Salary]]&lt;20000000,"low",IF(Table1[[#This Row],[Salary]]&lt;40000000,"medium","high"))</f>
        <v>high</v>
      </c>
      <c r="AB1099">
        <f>YEAR(Table1[[#This Row],[Hire Date]])</f>
        <v>2022</v>
      </c>
      <c r="AC1099" t="str">
        <f>TEXT(Table1[[#This Row],[Hire Date]],"mmmm")</f>
        <v>اوت</v>
      </c>
      <c r="AD1099" t="str">
        <f>IF(Table1[[#This Row],[Resigned]]="yes","former","active")</f>
        <v>active</v>
      </c>
    </row>
    <row r="1100" spans="1:30" x14ac:dyDescent="0.3">
      <c r="A1100" t="s">
        <v>2265</v>
      </c>
      <c r="B1100" t="s">
        <v>2266</v>
      </c>
      <c r="C1100" t="s">
        <v>27</v>
      </c>
      <c r="D1100">
        <v>22</v>
      </c>
      <c r="E1100" t="s">
        <v>28</v>
      </c>
      <c r="F1100" t="s">
        <v>80</v>
      </c>
      <c r="G1100" t="s">
        <v>30</v>
      </c>
      <c r="H1100" t="s">
        <v>31</v>
      </c>
      <c r="I1100" t="s">
        <v>81</v>
      </c>
      <c r="J1100" s="1">
        <v>45284</v>
      </c>
      <c r="K1100">
        <v>3</v>
      </c>
      <c r="L1100">
        <v>28040704</v>
      </c>
      <c r="M1100">
        <v>5890041</v>
      </c>
      <c r="N1100" t="s">
        <v>34</v>
      </c>
      <c r="O1100">
        <v>3.96</v>
      </c>
      <c r="P1100">
        <v>44</v>
      </c>
      <c r="Q1100">
        <v>4</v>
      </c>
      <c r="R1100">
        <v>2</v>
      </c>
      <c r="S1100">
        <v>10</v>
      </c>
      <c r="T1100" t="s">
        <v>33</v>
      </c>
      <c r="U1100" t="s">
        <v>34</v>
      </c>
      <c r="V1100" t="s">
        <v>44</v>
      </c>
      <c r="W1100" t="s">
        <v>33</v>
      </c>
      <c r="X1100" t="s">
        <v>52</v>
      </c>
      <c r="Z1100" t="str">
        <f>IF(Table1[[#This Row],[Age]]&lt;30,"20-29",IF(Table1[[#This Row],[Age]]&lt;40,"30-39",IF(Table1[[#This Row],[Age]]&lt;50,"40-49","50+")))</f>
        <v>20-29</v>
      </c>
      <c r="AA1100" t="str">
        <f>IF(Table1[[#This Row],[Salary]]&lt;20000000,"low",IF(Table1[[#This Row],[Salary]]&lt;40000000,"medium","high"))</f>
        <v>medium</v>
      </c>
      <c r="AB1100">
        <f>YEAR(Table1[[#This Row],[Hire Date]])</f>
        <v>2023</v>
      </c>
      <c r="AC1100" t="str">
        <f>TEXT(Table1[[#This Row],[Hire Date]],"mmmm")</f>
        <v>دسامبر</v>
      </c>
      <c r="AD1100" t="str">
        <f>IF(Table1[[#This Row],[Resigned]]="yes","former","active")</f>
        <v>active</v>
      </c>
    </row>
    <row r="1101" spans="1:30" x14ac:dyDescent="0.3">
      <c r="A1101" t="s">
        <v>2267</v>
      </c>
      <c r="B1101" t="s">
        <v>2268</v>
      </c>
      <c r="C1101" t="s">
        <v>39</v>
      </c>
      <c r="D1101">
        <v>45</v>
      </c>
      <c r="E1101" t="s">
        <v>28</v>
      </c>
      <c r="F1101" t="s">
        <v>29</v>
      </c>
      <c r="G1101" t="s">
        <v>49</v>
      </c>
      <c r="H1101" t="s">
        <v>42</v>
      </c>
      <c r="I1101" t="s">
        <v>81</v>
      </c>
      <c r="J1101" s="1">
        <v>42610</v>
      </c>
      <c r="K1101">
        <v>10</v>
      </c>
      <c r="L1101">
        <v>27125113</v>
      </c>
      <c r="M1101">
        <v>911122</v>
      </c>
      <c r="N1101" t="s">
        <v>34</v>
      </c>
      <c r="O1101">
        <v>4.47</v>
      </c>
      <c r="P1101">
        <v>7</v>
      </c>
      <c r="Q1101">
        <v>3</v>
      </c>
      <c r="R1101">
        <v>2</v>
      </c>
      <c r="S1101">
        <v>6</v>
      </c>
      <c r="T1101" t="s">
        <v>33</v>
      </c>
      <c r="U1101" t="s">
        <v>34</v>
      </c>
      <c r="V1101" t="s">
        <v>35</v>
      </c>
      <c r="W1101" t="s">
        <v>33</v>
      </c>
      <c r="X1101" t="s">
        <v>45</v>
      </c>
      <c r="Z1101" t="str">
        <f>IF(Table1[[#This Row],[Age]]&lt;30,"20-29",IF(Table1[[#This Row],[Age]]&lt;40,"30-39",IF(Table1[[#This Row],[Age]]&lt;50,"40-49","50+")))</f>
        <v>40-49</v>
      </c>
      <c r="AA1101" t="str">
        <f>IF(Table1[[#This Row],[Salary]]&lt;20000000,"low",IF(Table1[[#This Row],[Salary]]&lt;40000000,"medium","high"))</f>
        <v>medium</v>
      </c>
      <c r="AB1101">
        <f>YEAR(Table1[[#This Row],[Hire Date]])</f>
        <v>2016</v>
      </c>
      <c r="AC1101" t="str">
        <f>TEXT(Table1[[#This Row],[Hire Date]],"mmmm")</f>
        <v>اوت</v>
      </c>
      <c r="AD1101" t="str">
        <f>IF(Table1[[#This Row],[Resigned]]="yes","former","active")</f>
        <v>active</v>
      </c>
    </row>
    <row r="1102" spans="1:30" x14ac:dyDescent="0.3">
      <c r="A1102" t="s">
        <v>2269</v>
      </c>
      <c r="B1102" t="s">
        <v>2270</v>
      </c>
      <c r="C1102" t="s">
        <v>39</v>
      </c>
      <c r="D1102">
        <v>40</v>
      </c>
      <c r="E1102" t="s">
        <v>73</v>
      </c>
      <c r="F1102" t="s">
        <v>127</v>
      </c>
      <c r="G1102" t="s">
        <v>30</v>
      </c>
      <c r="H1102" t="s">
        <v>31</v>
      </c>
      <c r="I1102" t="s">
        <v>81</v>
      </c>
      <c r="J1102" s="1">
        <v>42962</v>
      </c>
      <c r="K1102">
        <v>9</v>
      </c>
      <c r="L1102">
        <v>50578192</v>
      </c>
      <c r="M1102">
        <v>1846856</v>
      </c>
      <c r="N1102" t="s">
        <v>34</v>
      </c>
      <c r="O1102">
        <v>4.57</v>
      </c>
      <c r="P1102">
        <v>31</v>
      </c>
      <c r="Q1102">
        <v>1</v>
      </c>
      <c r="R1102">
        <v>4</v>
      </c>
      <c r="S1102">
        <v>1</v>
      </c>
      <c r="T1102" t="s">
        <v>34</v>
      </c>
      <c r="U1102" t="s">
        <v>34</v>
      </c>
      <c r="V1102" t="s">
        <v>51</v>
      </c>
      <c r="W1102" t="s">
        <v>33</v>
      </c>
      <c r="X1102" t="s">
        <v>45</v>
      </c>
      <c r="Z1102" t="str">
        <f>IF(Table1[[#This Row],[Age]]&lt;30,"20-29",IF(Table1[[#This Row],[Age]]&lt;40,"30-39",IF(Table1[[#This Row],[Age]]&lt;50,"40-49","50+")))</f>
        <v>40-49</v>
      </c>
      <c r="AA1102" t="str">
        <f>IF(Table1[[#This Row],[Salary]]&lt;20000000,"low",IF(Table1[[#This Row],[Salary]]&lt;40000000,"medium","high"))</f>
        <v>high</v>
      </c>
      <c r="AB1102">
        <f>YEAR(Table1[[#This Row],[Hire Date]])</f>
        <v>2017</v>
      </c>
      <c r="AC1102" t="str">
        <f>TEXT(Table1[[#This Row],[Hire Date]],"mmmm")</f>
        <v>اوت</v>
      </c>
      <c r="AD1102" t="str">
        <f>IF(Table1[[#This Row],[Resigned]]="yes","former","active")</f>
        <v>active</v>
      </c>
    </row>
    <row r="1103" spans="1:30" x14ac:dyDescent="0.3">
      <c r="A1103" t="s">
        <v>2271</v>
      </c>
      <c r="B1103" t="s">
        <v>2272</v>
      </c>
      <c r="C1103" t="s">
        <v>27</v>
      </c>
      <c r="D1103">
        <v>27</v>
      </c>
      <c r="E1103" t="s">
        <v>63</v>
      </c>
      <c r="F1103" t="s">
        <v>93</v>
      </c>
      <c r="G1103" t="s">
        <v>58</v>
      </c>
      <c r="H1103" t="s">
        <v>42</v>
      </c>
      <c r="I1103" t="s">
        <v>32</v>
      </c>
      <c r="J1103" s="1">
        <v>42830</v>
      </c>
      <c r="K1103">
        <v>9</v>
      </c>
      <c r="L1103">
        <v>38169910</v>
      </c>
      <c r="M1103">
        <v>7439387</v>
      </c>
      <c r="N1103" t="s">
        <v>33</v>
      </c>
      <c r="O1103">
        <v>4.07</v>
      </c>
      <c r="P1103">
        <v>28</v>
      </c>
      <c r="Q1103">
        <v>5</v>
      </c>
      <c r="R1103">
        <v>5</v>
      </c>
      <c r="S1103">
        <v>1</v>
      </c>
      <c r="T1103" t="s">
        <v>33</v>
      </c>
      <c r="U1103" t="s">
        <v>34</v>
      </c>
      <c r="V1103" t="s">
        <v>59</v>
      </c>
      <c r="W1103" t="s">
        <v>34</v>
      </c>
      <c r="X1103" t="s">
        <v>45</v>
      </c>
      <c r="Z1103" t="str">
        <f>IF(Table1[[#This Row],[Age]]&lt;30,"20-29",IF(Table1[[#This Row],[Age]]&lt;40,"30-39",IF(Table1[[#This Row],[Age]]&lt;50,"40-49","50+")))</f>
        <v>20-29</v>
      </c>
      <c r="AA1103" t="str">
        <f>IF(Table1[[#This Row],[Salary]]&lt;20000000,"low",IF(Table1[[#This Row],[Salary]]&lt;40000000,"medium","high"))</f>
        <v>medium</v>
      </c>
      <c r="AB1103">
        <f>YEAR(Table1[[#This Row],[Hire Date]])</f>
        <v>2017</v>
      </c>
      <c r="AC1103" t="str">
        <f>TEXT(Table1[[#This Row],[Hire Date]],"mmmm")</f>
        <v>آوريل</v>
      </c>
      <c r="AD1103" t="str">
        <f>IF(Table1[[#This Row],[Resigned]]="yes","former","active")</f>
        <v>active</v>
      </c>
    </row>
    <row r="1104" spans="1:30" x14ac:dyDescent="0.3">
      <c r="A1104" t="s">
        <v>2273</v>
      </c>
      <c r="B1104" t="s">
        <v>2274</v>
      </c>
      <c r="C1104" t="s">
        <v>39</v>
      </c>
      <c r="D1104">
        <v>51</v>
      </c>
      <c r="E1104" t="s">
        <v>56</v>
      </c>
      <c r="F1104" t="s">
        <v>84</v>
      </c>
      <c r="G1104" t="s">
        <v>58</v>
      </c>
      <c r="H1104" t="s">
        <v>42</v>
      </c>
      <c r="I1104" t="s">
        <v>81</v>
      </c>
      <c r="J1104" s="1">
        <v>43611</v>
      </c>
      <c r="K1104">
        <v>7</v>
      </c>
      <c r="L1104">
        <v>29636141</v>
      </c>
      <c r="M1104">
        <v>3186632</v>
      </c>
      <c r="N1104" t="s">
        <v>34</v>
      </c>
      <c r="O1104">
        <v>3.18</v>
      </c>
      <c r="P1104">
        <v>21</v>
      </c>
      <c r="Q1104">
        <v>4</v>
      </c>
      <c r="R1104">
        <v>4</v>
      </c>
      <c r="S1104">
        <v>17</v>
      </c>
      <c r="T1104" t="s">
        <v>34</v>
      </c>
      <c r="U1104" t="s">
        <v>34</v>
      </c>
      <c r="V1104" t="s">
        <v>35</v>
      </c>
      <c r="W1104" t="s">
        <v>34</v>
      </c>
      <c r="X1104" t="s">
        <v>45</v>
      </c>
      <c r="Z1104" t="str">
        <f>IF(Table1[[#This Row],[Age]]&lt;30,"20-29",IF(Table1[[#This Row],[Age]]&lt;40,"30-39",IF(Table1[[#This Row],[Age]]&lt;50,"40-49","50+")))</f>
        <v>50+</v>
      </c>
      <c r="AA1104" t="str">
        <f>IF(Table1[[#This Row],[Salary]]&lt;20000000,"low",IF(Table1[[#This Row],[Salary]]&lt;40000000,"medium","high"))</f>
        <v>medium</v>
      </c>
      <c r="AB1104">
        <f>YEAR(Table1[[#This Row],[Hire Date]])</f>
        <v>2019</v>
      </c>
      <c r="AC1104" t="str">
        <f>TEXT(Table1[[#This Row],[Hire Date]],"mmmm")</f>
        <v>مه</v>
      </c>
      <c r="AD1104" t="str">
        <f>IF(Table1[[#This Row],[Resigned]]="yes","former","active")</f>
        <v>active</v>
      </c>
    </row>
    <row r="1105" spans="1:30" x14ac:dyDescent="0.3">
      <c r="A1105" t="s">
        <v>2275</v>
      </c>
      <c r="B1105" t="s">
        <v>2276</v>
      </c>
      <c r="C1105" t="s">
        <v>39</v>
      </c>
      <c r="D1105">
        <v>33</v>
      </c>
      <c r="E1105" t="s">
        <v>40</v>
      </c>
      <c r="F1105" t="s">
        <v>41</v>
      </c>
      <c r="G1105" t="s">
        <v>30</v>
      </c>
      <c r="H1105" t="s">
        <v>31</v>
      </c>
      <c r="I1105" t="s">
        <v>81</v>
      </c>
      <c r="J1105" s="1">
        <v>45441</v>
      </c>
      <c r="K1105">
        <v>2</v>
      </c>
      <c r="L1105">
        <v>36215250</v>
      </c>
      <c r="M1105">
        <v>2675593</v>
      </c>
      <c r="N1105" t="s">
        <v>34</v>
      </c>
      <c r="O1105">
        <v>4.76</v>
      </c>
      <c r="P1105">
        <v>71</v>
      </c>
      <c r="Q1105">
        <v>5</v>
      </c>
      <c r="R1105">
        <v>5</v>
      </c>
      <c r="S1105">
        <v>3</v>
      </c>
      <c r="T1105" t="s">
        <v>33</v>
      </c>
      <c r="U1105" t="s">
        <v>34</v>
      </c>
      <c r="V1105" t="s">
        <v>51</v>
      </c>
      <c r="W1105" t="s">
        <v>34</v>
      </c>
      <c r="X1105" t="s">
        <v>52</v>
      </c>
      <c r="Z1105" t="str">
        <f>IF(Table1[[#This Row],[Age]]&lt;30,"20-29",IF(Table1[[#This Row],[Age]]&lt;40,"30-39",IF(Table1[[#This Row],[Age]]&lt;50,"40-49","50+")))</f>
        <v>30-39</v>
      </c>
      <c r="AA1105" t="str">
        <f>IF(Table1[[#This Row],[Salary]]&lt;20000000,"low",IF(Table1[[#This Row],[Salary]]&lt;40000000,"medium","high"))</f>
        <v>medium</v>
      </c>
      <c r="AB1105">
        <f>YEAR(Table1[[#This Row],[Hire Date]])</f>
        <v>2024</v>
      </c>
      <c r="AC1105" t="str">
        <f>TEXT(Table1[[#This Row],[Hire Date]],"mmmm")</f>
        <v>مه</v>
      </c>
      <c r="AD1105" t="str">
        <f>IF(Table1[[#This Row],[Resigned]]="yes","former","active")</f>
        <v>active</v>
      </c>
    </row>
    <row r="1106" spans="1:30" x14ac:dyDescent="0.3">
      <c r="A1106" t="s">
        <v>2277</v>
      </c>
      <c r="B1106" t="s">
        <v>2278</v>
      </c>
      <c r="C1106" t="s">
        <v>39</v>
      </c>
      <c r="D1106">
        <v>33</v>
      </c>
      <c r="E1106" t="s">
        <v>28</v>
      </c>
      <c r="F1106" t="s">
        <v>80</v>
      </c>
      <c r="G1106" t="s">
        <v>30</v>
      </c>
      <c r="H1106" t="s">
        <v>42</v>
      </c>
      <c r="I1106" t="s">
        <v>65</v>
      </c>
      <c r="J1106" s="1">
        <v>42517</v>
      </c>
      <c r="K1106">
        <v>10</v>
      </c>
      <c r="L1106">
        <v>14843783</v>
      </c>
      <c r="M1106">
        <v>2157799</v>
      </c>
      <c r="N1106" t="s">
        <v>34</v>
      </c>
      <c r="O1106">
        <v>4.16</v>
      </c>
      <c r="P1106">
        <v>19</v>
      </c>
      <c r="Q1106">
        <v>2</v>
      </c>
      <c r="R1106">
        <v>2</v>
      </c>
      <c r="S1106">
        <v>13</v>
      </c>
      <c r="T1106" t="s">
        <v>33</v>
      </c>
      <c r="U1106" t="s">
        <v>33</v>
      </c>
      <c r="V1106" t="s">
        <v>59</v>
      </c>
      <c r="W1106" t="s">
        <v>34</v>
      </c>
      <c r="X1106" t="s">
        <v>52</v>
      </c>
      <c r="Y1106" t="s">
        <v>162</v>
      </c>
      <c r="Z1106" t="str">
        <f>IF(Table1[[#This Row],[Age]]&lt;30,"20-29",IF(Table1[[#This Row],[Age]]&lt;40,"30-39",IF(Table1[[#This Row],[Age]]&lt;50,"40-49","50+")))</f>
        <v>30-39</v>
      </c>
      <c r="AA1106" t="str">
        <f>IF(Table1[[#This Row],[Salary]]&lt;20000000,"low",IF(Table1[[#This Row],[Salary]]&lt;40000000,"medium","high"))</f>
        <v>low</v>
      </c>
      <c r="AB1106">
        <f>YEAR(Table1[[#This Row],[Hire Date]])</f>
        <v>2016</v>
      </c>
      <c r="AC1106" t="str">
        <f>TEXT(Table1[[#This Row],[Hire Date]],"mmmm")</f>
        <v>مه</v>
      </c>
      <c r="AD1106" t="str">
        <f>IF(Table1[[#This Row],[Resigned]]="yes","former","active")</f>
        <v>former</v>
      </c>
    </row>
    <row r="1107" spans="1:30" x14ac:dyDescent="0.3">
      <c r="A1107" t="s">
        <v>2279</v>
      </c>
      <c r="B1107" t="s">
        <v>2280</v>
      </c>
      <c r="C1107" t="s">
        <v>27</v>
      </c>
      <c r="D1107">
        <v>57</v>
      </c>
      <c r="E1107" t="s">
        <v>56</v>
      </c>
      <c r="F1107" t="s">
        <v>84</v>
      </c>
      <c r="G1107" t="s">
        <v>58</v>
      </c>
      <c r="H1107" t="s">
        <v>42</v>
      </c>
      <c r="I1107" t="s">
        <v>65</v>
      </c>
      <c r="J1107" s="1">
        <v>44544</v>
      </c>
      <c r="K1107">
        <v>5</v>
      </c>
      <c r="L1107">
        <v>53116393</v>
      </c>
      <c r="M1107">
        <v>2955070</v>
      </c>
      <c r="N1107" t="s">
        <v>33</v>
      </c>
      <c r="O1107">
        <v>3.13</v>
      </c>
      <c r="P1107">
        <v>21</v>
      </c>
      <c r="Q1107">
        <v>3</v>
      </c>
      <c r="R1107">
        <v>2</v>
      </c>
      <c r="S1107">
        <v>17</v>
      </c>
      <c r="T1107" t="s">
        <v>33</v>
      </c>
      <c r="U1107" t="s">
        <v>34</v>
      </c>
      <c r="V1107" t="s">
        <v>51</v>
      </c>
      <c r="W1107" t="s">
        <v>34</v>
      </c>
      <c r="X1107" t="s">
        <v>45</v>
      </c>
      <c r="Z1107" t="str">
        <f>IF(Table1[[#This Row],[Age]]&lt;30,"20-29",IF(Table1[[#This Row],[Age]]&lt;40,"30-39",IF(Table1[[#This Row],[Age]]&lt;50,"40-49","50+")))</f>
        <v>50+</v>
      </c>
      <c r="AA1107" t="str">
        <f>IF(Table1[[#This Row],[Salary]]&lt;20000000,"low",IF(Table1[[#This Row],[Salary]]&lt;40000000,"medium","high"))</f>
        <v>high</v>
      </c>
      <c r="AB1107">
        <f>YEAR(Table1[[#This Row],[Hire Date]])</f>
        <v>2021</v>
      </c>
      <c r="AC1107" t="str">
        <f>TEXT(Table1[[#This Row],[Hire Date]],"mmmm")</f>
        <v>دسامبر</v>
      </c>
      <c r="AD1107" t="str">
        <f>IF(Table1[[#This Row],[Resigned]]="yes","former","active")</f>
        <v>active</v>
      </c>
    </row>
    <row r="1108" spans="1:30" x14ac:dyDescent="0.3">
      <c r="A1108" t="s">
        <v>2281</v>
      </c>
      <c r="B1108" t="s">
        <v>2282</v>
      </c>
      <c r="C1108" t="s">
        <v>27</v>
      </c>
      <c r="D1108">
        <v>46</v>
      </c>
      <c r="E1108" t="s">
        <v>63</v>
      </c>
      <c r="F1108" t="s">
        <v>64</v>
      </c>
      <c r="G1108" t="s">
        <v>30</v>
      </c>
      <c r="H1108" t="s">
        <v>31</v>
      </c>
      <c r="I1108" t="s">
        <v>81</v>
      </c>
      <c r="J1108" s="1">
        <v>43981</v>
      </c>
      <c r="K1108">
        <v>6</v>
      </c>
      <c r="L1108">
        <v>27591101</v>
      </c>
      <c r="M1108">
        <v>4463989</v>
      </c>
      <c r="N1108" t="s">
        <v>33</v>
      </c>
      <c r="O1108">
        <v>2.86</v>
      </c>
      <c r="P1108">
        <v>51</v>
      </c>
      <c r="Q1108">
        <v>4</v>
      </c>
      <c r="R1108">
        <v>1</v>
      </c>
      <c r="S1108">
        <v>5</v>
      </c>
      <c r="T1108" t="s">
        <v>33</v>
      </c>
      <c r="U1108" t="s">
        <v>34</v>
      </c>
      <c r="V1108" t="s">
        <v>51</v>
      </c>
      <c r="W1108" t="s">
        <v>34</v>
      </c>
      <c r="X1108" t="s">
        <v>45</v>
      </c>
      <c r="Z1108" t="str">
        <f>IF(Table1[[#This Row],[Age]]&lt;30,"20-29",IF(Table1[[#This Row],[Age]]&lt;40,"30-39",IF(Table1[[#This Row],[Age]]&lt;50,"40-49","50+")))</f>
        <v>40-49</v>
      </c>
      <c r="AA1108" t="str">
        <f>IF(Table1[[#This Row],[Salary]]&lt;20000000,"low",IF(Table1[[#This Row],[Salary]]&lt;40000000,"medium","high"))</f>
        <v>medium</v>
      </c>
      <c r="AB1108">
        <f>YEAR(Table1[[#This Row],[Hire Date]])</f>
        <v>2020</v>
      </c>
      <c r="AC1108" t="str">
        <f>TEXT(Table1[[#This Row],[Hire Date]],"mmmm")</f>
        <v>مه</v>
      </c>
      <c r="AD1108" t="str">
        <f>IF(Table1[[#This Row],[Resigned]]="yes","former","active")</f>
        <v>active</v>
      </c>
    </row>
    <row r="1109" spans="1:30" x14ac:dyDescent="0.3">
      <c r="A1109" t="s">
        <v>2283</v>
      </c>
      <c r="B1109" t="s">
        <v>2284</v>
      </c>
      <c r="C1109" t="s">
        <v>39</v>
      </c>
      <c r="D1109">
        <v>25</v>
      </c>
      <c r="E1109" t="s">
        <v>110</v>
      </c>
      <c r="F1109" t="s">
        <v>120</v>
      </c>
      <c r="G1109" t="s">
        <v>30</v>
      </c>
      <c r="H1109" t="s">
        <v>31</v>
      </c>
      <c r="I1109" t="s">
        <v>65</v>
      </c>
      <c r="J1109" s="1">
        <v>43875</v>
      </c>
      <c r="K1109">
        <v>6</v>
      </c>
      <c r="L1109">
        <v>17349012</v>
      </c>
      <c r="M1109">
        <v>8908936</v>
      </c>
      <c r="N1109" t="s">
        <v>33</v>
      </c>
      <c r="O1109">
        <v>4.45</v>
      </c>
      <c r="P1109">
        <v>32</v>
      </c>
      <c r="Q1109">
        <v>4</v>
      </c>
      <c r="R1109">
        <v>3</v>
      </c>
      <c r="S1109">
        <v>9</v>
      </c>
      <c r="T1109" t="s">
        <v>34</v>
      </c>
      <c r="U1109" t="s">
        <v>34</v>
      </c>
      <c r="V1109" t="s">
        <v>59</v>
      </c>
      <c r="W1109" t="s">
        <v>33</v>
      </c>
      <c r="X1109" t="s">
        <v>45</v>
      </c>
      <c r="Z1109" t="str">
        <f>IF(Table1[[#This Row],[Age]]&lt;30,"20-29",IF(Table1[[#This Row],[Age]]&lt;40,"30-39",IF(Table1[[#This Row],[Age]]&lt;50,"40-49","50+")))</f>
        <v>20-29</v>
      </c>
      <c r="AA1109" t="str">
        <f>IF(Table1[[#This Row],[Salary]]&lt;20000000,"low",IF(Table1[[#This Row],[Salary]]&lt;40000000,"medium","high"))</f>
        <v>low</v>
      </c>
      <c r="AB1109">
        <f>YEAR(Table1[[#This Row],[Hire Date]])</f>
        <v>2020</v>
      </c>
      <c r="AC1109" t="str">
        <f>TEXT(Table1[[#This Row],[Hire Date]],"mmmm")</f>
        <v>فوريه</v>
      </c>
      <c r="AD1109" t="str">
        <f>IF(Table1[[#This Row],[Resigned]]="yes","former","active")</f>
        <v>active</v>
      </c>
    </row>
    <row r="1110" spans="1:30" x14ac:dyDescent="0.3">
      <c r="A1110" t="s">
        <v>2285</v>
      </c>
      <c r="B1110" t="s">
        <v>2286</v>
      </c>
      <c r="C1110" t="s">
        <v>39</v>
      </c>
      <c r="D1110">
        <v>44</v>
      </c>
      <c r="E1110" t="s">
        <v>73</v>
      </c>
      <c r="F1110" t="s">
        <v>127</v>
      </c>
      <c r="G1110" t="s">
        <v>58</v>
      </c>
      <c r="H1110" t="s">
        <v>31</v>
      </c>
      <c r="I1110" t="s">
        <v>81</v>
      </c>
      <c r="J1110" s="1">
        <v>45499</v>
      </c>
      <c r="K1110">
        <v>2</v>
      </c>
      <c r="L1110">
        <v>35379531</v>
      </c>
      <c r="M1110">
        <v>6253324</v>
      </c>
      <c r="N1110" t="s">
        <v>33</v>
      </c>
      <c r="O1110">
        <v>4.07</v>
      </c>
      <c r="P1110">
        <v>13</v>
      </c>
      <c r="Q1110">
        <v>4</v>
      </c>
      <c r="R1110">
        <v>1</v>
      </c>
      <c r="S1110">
        <v>13</v>
      </c>
      <c r="T1110" t="s">
        <v>34</v>
      </c>
      <c r="U1110" t="s">
        <v>33</v>
      </c>
      <c r="V1110" t="s">
        <v>35</v>
      </c>
      <c r="W1110" t="s">
        <v>34</v>
      </c>
      <c r="X1110" t="s">
        <v>36</v>
      </c>
      <c r="Y1110" t="s">
        <v>162</v>
      </c>
      <c r="Z1110" t="str">
        <f>IF(Table1[[#This Row],[Age]]&lt;30,"20-29",IF(Table1[[#This Row],[Age]]&lt;40,"30-39",IF(Table1[[#This Row],[Age]]&lt;50,"40-49","50+")))</f>
        <v>40-49</v>
      </c>
      <c r="AA1110" t="str">
        <f>IF(Table1[[#This Row],[Salary]]&lt;20000000,"low",IF(Table1[[#This Row],[Salary]]&lt;40000000,"medium","high"))</f>
        <v>medium</v>
      </c>
      <c r="AB1110">
        <f>YEAR(Table1[[#This Row],[Hire Date]])</f>
        <v>2024</v>
      </c>
      <c r="AC1110" t="str">
        <f>TEXT(Table1[[#This Row],[Hire Date]],"mmmm")</f>
        <v>ژوئيه</v>
      </c>
      <c r="AD1110" t="str">
        <f>IF(Table1[[#This Row],[Resigned]]="yes","former","active")</f>
        <v>former</v>
      </c>
    </row>
    <row r="1111" spans="1:30" x14ac:dyDescent="0.3">
      <c r="A1111" t="s">
        <v>2287</v>
      </c>
      <c r="B1111" t="s">
        <v>2288</v>
      </c>
      <c r="C1111" t="s">
        <v>39</v>
      </c>
      <c r="D1111">
        <v>58</v>
      </c>
      <c r="E1111" t="s">
        <v>40</v>
      </c>
      <c r="F1111" t="s">
        <v>48</v>
      </c>
      <c r="G1111" t="s">
        <v>49</v>
      </c>
      <c r="H1111" t="s">
        <v>31</v>
      </c>
      <c r="I1111" t="s">
        <v>81</v>
      </c>
      <c r="J1111" s="1">
        <v>43166</v>
      </c>
      <c r="K1111">
        <v>8</v>
      </c>
      <c r="L1111">
        <v>26155081</v>
      </c>
      <c r="M1111">
        <v>4230442</v>
      </c>
      <c r="N1111" t="s">
        <v>34</v>
      </c>
      <c r="O1111">
        <v>4.4400000000000004</v>
      </c>
      <c r="P1111">
        <v>21</v>
      </c>
      <c r="Q1111">
        <v>5</v>
      </c>
      <c r="R1111">
        <v>2</v>
      </c>
      <c r="S1111">
        <v>6</v>
      </c>
      <c r="T1111" t="s">
        <v>34</v>
      </c>
      <c r="U1111" t="s">
        <v>33</v>
      </c>
      <c r="V1111" t="s">
        <v>59</v>
      </c>
      <c r="W1111" t="s">
        <v>34</v>
      </c>
      <c r="X1111" t="s">
        <v>52</v>
      </c>
      <c r="Y1111" t="s">
        <v>53</v>
      </c>
      <c r="Z1111" t="str">
        <f>IF(Table1[[#This Row],[Age]]&lt;30,"20-29",IF(Table1[[#This Row],[Age]]&lt;40,"30-39",IF(Table1[[#This Row],[Age]]&lt;50,"40-49","50+")))</f>
        <v>50+</v>
      </c>
      <c r="AA1111" t="str">
        <f>IF(Table1[[#This Row],[Salary]]&lt;20000000,"low",IF(Table1[[#This Row],[Salary]]&lt;40000000,"medium","high"))</f>
        <v>medium</v>
      </c>
      <c r="AB1111">
        <f>YEAR(Table1[[#This Row],[Hire Date]])</f>
        <v>2018</v>
      </c>
      <c r="AC1111" t="str">
        <f>TEXT(Table1[[#This Row],[Hire Date]],"mmmm")</f>
        <v>مارس</v>
      </c>
      <c r="AD1111" t="str">
        <f>IF(Table1[[#This Row],[Resigned]]="yes","former","active")</f>
        <v>former</v>
      </c>
    </row>
    <row r="1112" spans="1:30" x14ac:dyDescent="0.3">
      <c r="A1112" t="s">
        <v>2289</v>
      </c>
      <c r="B1112" t="s">
        <v>2290</v>
      </c>
      <c r="C1112" t="s">
        <v>27</v>
      </c>
      <c r="D1112">
        <v>26</v>
      </c>
      <c r="E1112" t="s">
        <v>28</v>
      </c>
      <c r="F1112" t="s">
        <v>29</v>
      </c>
      <c r="G1112" t="s">
        <v>58</v>
      </c>
      <c r="H1112" t="s">
        <v>42</v>
      </c>
      <c r="I1112" t="s">
        <v>43</v>
      </c>
      <c r="J1112" s="1">
        <v>44723</v>
      </c>
      <c r="K1112">
        <v>4</v>
      </c>
      <c r="L1112">
        <v>41835576</v>
      </c>
      <c r="M1112">
        <v>7046336</v>
      </c>
      <c r="N1112" t="s">
        <v>34</v>
      </c>
      <c r="O1112">
        <v>4.49</v>
      </c>
      <c r="P1112">
        <v>34</v>
      </c>
      <c r="Q1112">
        <v>5</v>
      </c>
      <c r="R1112">
        <v>5</v>
      </c>
      <c r="S1112">
        <v>0</v>
      </c>
      <c r="T1112" t="s">
        <v>33</v>
      </c>
      <c r="U1112" t="s">
        <v>34</v>
      </c>
      <c r="V1112" t="s">
        <v>35</v>
      </c>
      <c r="W1112" t="s">
        <v>33</v>
      </c>
      <c r="X1112" t="s">
        <v>36</v>
      </c>
      <c r="Z1112" t="str">
        <f>IF(Table1[[#This Row],[Age]]&lt;30,"20-29",IF(Table1[[#This Row],[Age]]&lt;40,"30-39",IF(Table1[[#This Row],[Age]]&lt;50,"40-49","50+")))</f>
        <v>20-29</v>
      </c>
      <c r="AA1112" t="str">
        <f>IF(Table1[[#This Row],[Salary]]&lt;20000000,"low",IF(Table1[[#This Row],[Salary]]&lt;40000000,"medium","high"))</f>
        <v>high</v>
      </c>
      <c r="AB1112">
        <f>YEAR(Table1[[#This Row],[Hire Date]])</f>
        <v>2022</v>
      </c>
      <c r="AC1112" t="str">
        <f>TEXT(Table1[[#This Row],[Hire Date]],"mmmm")</f>
        <v>ژوئن</v>
      </c>
      <c r="AD1112" t="str">
        <f>IF(Table1[[#This Row],[Resigned]]="yes","former","active")</f>
        <v>active</v>
      </c>
    </row>
    <row r="1113" spans="1:30" x14ac:dyDescent="0.3">
      <c r="A1113" t="s">
        <v>2291</v>
      </c>
      <c r="B1113" t="s">
        <v>2292</v>
      </c>
      <c r="C1113" t="s">
        <v>39</v>
      </c>
      <c r="D1113">
        <v>26</v>
      </c>
      <c r="E1113" t="s">
        <v>110</v>
      </c>
      <c r="F1113" t="s">
        <v>111</v>
      </c>
      <c r="G1113" t="s">
        <v>58</v>
      </c>
      <c r="H1113" t="s">
        <v>42</v>
      </c>
      <c r="I1113" t="s">
        <v>32</v>
      </c>
      <c r="J1113" s="1">
        <v>42434</v>
      </c>
      <c r="K1113">
        <v>10</v>
      </c>
      <c r="L1113">
        <v>40357754</v>
      </c>
      <c r="M1113">
        <v>7953859</v>
      </c>
      <c r="N1113" t="s">
        <v>33</v>
      </c>
      <c r="O1113">
        <v>2.58</v>
      </c>
      <c r="P1113">
        <v>80</v>
      </c>
      <c r="Q1113">
        <v>5</v>
      </c>
      <c r="R1113">
        <v>1</v>
      </c>
      <c r="S1113">
        <v>9</v>
      </c>
      <c r="T1113" t="s">
        <v>34</v>
      </c>
      <c r="U1113" t="s">
        <v>34</v>
      </c>
      <c r="V1113" t="s">
        <v>35</v>
      </c>
      <c r="W1113" t="s">
        <v>34</v>
      </c>
      <c r="X1113" t="s">
        <v>45</v>
      </c>
      <c r="Z1113" t="str">
        <f>IF(Table1[[#This Row],[Age]]&lt;30,"20-29",IF(Table1[[#This Row],[Age]]&lt;40,"30-39",IF(Table1[[#This Row],[Age]]&lt;50,"40-49","50+")))</f>
        <v>20-29</v>
      </c>
      <c r="AA1113" t="str">
        <f>IF(Table1[[#This Row],[Salary]]&lt;20000000,"low",IF(Table1[[#This Row],[Salary]]&lt;40000000,"medium","high"))</f>
        <v>high</v>
      </c>
      <c r="AB1113">
        <f>YEAR(Table1[[#This Row],[Hire Date]])</f>
        <v>2016</v>
      </c>
      <c r="AC1113" t="str">
        <f>TEXT(Table1[[#This Row],[Hire Date]],"mmmm")</f>
        <v>مارس</v>
      </c>
      <c r="AD1113" t="str">
        <f>IF(Table1[[#This Row],[Resigned]]="yes","former","active")</f>
        <v>active</v>
      </c>
    </row>
    <row r="1114" spans="1:30" x14ac:dyDescent="0.3">
      <c r="A1114" t="s">
        <v>2293</v>
      </c>
      <c r="B1114" t="s">
        <v>2294</v>
      </c>
      <c r="C1114" t="s">
        <v>39</v>
      </c>
      <c r="D1114">
        <v>31</v>
      </c>
      <c r="E1114" t="s">
        <v>110</v>
      </c>
      <c r="F1114" t="s">
        <v>111</v>
      </c>
      <c r="G1114" t="s">
        <v>58</v>
      </c>
      <c r="H1114" t="s">
        <v>42</v>
      </c>
      <c r="I1114" t="s">
        <v>32</v>
      </c>
      <c r="J1114" s="1">
        <v>45802</v>
      </c>
      <c r="K1114">
        <v>1</v>
      </c>
      <c r="L1114">
        <v>16815687</v>
      </c>
      <c r="M1114">
        <v>1667854</v>
      </c>
      <c r="N1114" t="s">
        <v>34</v>
      </c>
      <c r="O1114">
        <v>3.63</v>
      </c>
      <c r="P1114">
        <v>1</v>
      </c>
      <c r="Q1114">
        <v>5</v>
      </c>
      <c r="R1114">
        <v>3</v>
      </c>
      <c r="S1114">
        <v>1</v>
      </c>
      <c r="T1114" t="s">
        <v>34</v>
      </c>
      <c r="U1114" t="s">
        <v>33</v>
      </c>
      <c r="V1114" t="s">
        <v>44</v>
      </c>
      <c r="W1114" t="s">
        <v>34</v>
      </c>
      <c r="X1114" t="s">
        <v>45</v>
      </c>
      <c r="Y1114" t="s">
        <v>53</v>
      </c>
      <c r="Z1114" t="str">
        <f>IF(Table1[[#This Row],[Age]]&lt;30,"20-29",IF(Table1[[#This Row],[Age]]&lt;40,"30-39",IF(Table1[[#This Row],[Age]]&lt;50,"40-49","50+")))</f>
        <v>30-39</v>
      </c>
      <c r="AA1114" t="str">
        <f>IF(Table1[[#This Row],[Salary]]&lt;20000000,"low",IF(Table1[[#This Row],[Salary]]&lt;40000000,"medium","high"))</f>
        <v>low</v>
      </c>
      <c r="AB1114">
        <f>YEAR(Table1[[#This Row],[Hire Date]])</f>
        <v>2025</v>
      </c>
      <c r="AC1114" t="str">
        <f>TEXT(Table1[[#This Row],[Hire Date]],"mmmm")</f>
        <v>مه</v>
      </c>
      <c r="AD1114" t="str">
        <f>IF(Table1[[#This Row],[Resigned]]="yes","former","active")</f>
        <v>former</v>
      </c>
    </row>
    <row r="1115" spans="1:30" x14ac:dyDescent="0.3">
      <c r="A1115" t="s">
        <v>2295</v>
      </c>
      <c r="B1115" t="s">
        <v>2296</v>
      </c>
      <c r="C1115" t="s">
        <v>27</v>
      </c>
      <c r="D1115">
        <v>36</v>
      </c>
      <c r="E1115" t="s">
        <v>28</v>
      </c>
      <c r="F1115" t="s">
        <v>80</v>
      </c>
      <c r="G1115" t="s">
        <v>58</v>
      </c>
      <c r="H1115" t="s">
        <v>31</v>
      </c>
      <c r="I1115" t="s">
        <v>43</v>
      </c>
      <c r="J1115" s="1">
        <v>45318</v>
      </c>
      <c r="K1115">
        <v>2</v>
      </c>
      <c r="L1115">
        <v>38195026</v>
      </c>
      <c r="M1115">
        <v>5836096</v>
      </c>
      <c r="N1115" t="s">
        <v>33</v>
      </c>
      <c r="O1115">
        <v>2.68</v>
      </c>
      <c r="P1115">
        <v>57</v>
      </c>
      <c r="Q1115">
        <v>4</v>
      </c>
      <c r="R1115">
        <v>4</v>
      </c>
      <c r="S1115">
        <v>18</v>
      </c>
      <c r="T1115" t="s">
        <v>33</v>
      </c>
      <c r="U1115" t="s">
        <v>34</v>
      </c>
      <c r="V1115" t="s">
        <v>51</v>
      </c>
      <c r="W1115" t="s">
        <v>33</v>
      </c>
      <c r="X1115" t="s">
        <v>45</v>
      </c>
      <c r="Z1115" t="str">
        <f>IF(Table1[[#This Row],[Age]]&lt;30,"20-29",IF(Table1[[#This Row],[Age]]&lt;40,"30-39",IF(Table1[[#This Row],[Age]]&lt;50,"40-49","50+")))</f>
        <v>30-39</v>
      </c>
      <c r="AA1115" t="str">
        <f>IF(Table1[[#This Row],[Salary]]&lt;20000000,"low",IF(Table1[[#This Row],[Salary]]&lt;40000000,"medium","high"))</f>
        <v>medium</v>
      </c>
      <c r="AB1115">
        <f>YEAR(Table1[[#This Row],[Hire Date]])</f>
        <v>2024</v>
      </c>
      <c r="AC1115" t="str">
        <f>TEXT(Table1[[#This Row],[Hire Date]],"mmmm")</f>
        <v>ژانويه</v>
      </c>
      <c r="AD1115" t="str">
        <f>IF(Table1[[#This Row],[Resigned]]="yes","former","active")</f>
        <v>active</v>
      </c>
    </row>
    <row r="1116" spans="1:30" x14ac:dyDescent="0.3">
      <c r="A1116" t="s">
        <v>2297</v>
      </c>
      <c r="B1116" t="s">
        <v>2298</v>
      </c>
      <c r="C1116" t="s">
        <v>39</v>
      </c>
      <c r="D1116">
        <v>57</v>
      </c>
      <c r="E1116" t="s">
        <v>40</v>
      </c>
      <c r="F1116" t="s">
        <v>41</v>
      </c>
      <c r="G1116" t="s">
        <v>49</v>
      </c>
      <c r="H1116" t="s">
        <v>31</v>
      </c>
      <c r="I1116" t="s">
        <v>81</v>
      </c>
      <c r="J1116" s="1">
        <v>45857</v>
      </c>
      <c r="K1116">
        <v>1</v>
      </c>
      <c r="L1116">
        <v>56960533</v>
      </c>
      <c r="M1116">
        <v>6302562</v>
      </c>
      <c r="N1116" t="s">
        <v>33</v>
      </c>
      <c r="O1116">
        <v>4.13</v>
      </c>
      <c r="P1116">
        <v>38</v>
      </c>
      <c r="Q1116">
        <v>2</v>
      </c>
      <c r="R1116">
        <v>1</v>
      </c>
      <c r="S1116">
        <v>12</v>
      </c>
      <c r="T1116" t="s">
        <v>33</v>
      </c>
      <c r="U1116" t="s">
        <v>33</v>
      </c>
      <c r="V1116" t="s">
        <v>44</v>
      </c>
      <c r="W1116" t="s">
        <v>34</v>
      </c>
      <c r="X1116" t="s">
        <v>52</v>
      </c>
      <c r="Y1116" t="s">
        <v>162</v>
      </c>
      <c r="Z1116" t="str">
        <f>IF(Table1[[#This Row],[Age]]&lt;30,"20-29",IF(Table1[[#This Row],[Age]]&lt;40,"30-39",IF(Table1[[#This Row],[Age]]&lt;50,"40-49","50+")))</f>
        <v>50+</v>
      </c>
      <c r="AA1116" t="str">
        <f>IF(Table1[[#This Row],[Salary]]&lt;20000000,"low",IF(Table1[[#This Row],[Salary]]&lt;40000000,"medium","high"))</f>
        <v>high</v>
      </c>
      <c r="AB1116">
        <f>YEAR(Table1[[#This Row],[Hire Date]])</f>
        <v>2025</v>
      </c>
      <c r="AC1116" t="str">
        <f>TEXT(Table1[[#This Row],[Hire Date]],"mmmm")</f>
        <v>ژوئيه</v>
      </c>
      <c r="AD1116" t="str">
        <f>IF(Table1[[#This Row],[Resigned]]="yes","former","active")</f>
        <v>former</v>
      </c>
    </row>
    <row r="1117" spans="1:30" x14ac:dyDescent="0.3">
      <c r="A1117" t="s">
        <v>2299</v>
      </c>
      <c r="B1117" t="s">
        <v>2300</v>
      </c>
      <c r="C1117" t="s">
        <v>27</v>
      </c>
      <c r="D1117">
        <v>43</v>
      </c>
      <c r="E1117" t="s">
        <v>63</v>
      </c>
      <c r="F1117" t="s">
        <v>64</v>
      </c>
      <c r="G1117" t="s">
        <v>49</v>
      </c>
      <c r="H1117" t="s">
        <v>42</v>
      </c>
      <c r="I1117" t="s">
        <v>65</v>
      </c>
      <c r="J1117" s="1">
        <v>44806</v>
      </c>
      <c r="K1117">
        <v>4</v>
      </c>
      <c r="L1117">
        <v>36493370</v>
      </c>
      <c r="M1117">
        <v>8335376</v>
      </c>
      <c r="N1117" t="s">
        <v>33</v>
      </c>
      <c r="O1117">
        <v>3.19</v>
      </c>
      <c r="P1117">
        <v>26</v>
      </c>
      <c r="Q1117">
        <v>2</v>
      </c>
      <c r="R1117">
        <v>1</v>
      </c>
      <c r="S1117">
        <v>4</v>
      </c>
      <c r="T1117" t="s">
        <v>33</v>
      </c>
      <c r="U1117" t="s">
        <v>34</v>
      </c>
      <c r="V1117" t="s">
        <v>35</v>
      </c>
      <c r="W1117" t="s">
        <v>33</v>
      </c>
      <c r="X1117" t="s">
        <v>36</v>
      </c>
      <c r="Z1117" t="str">
        <f>IF(Table1[[#This Row],[Age]]&lt;30,"20-29",IF(Table1[[#This Row],[Age]]&lt;40,"30-39",IF(Table1[[#This Row],[Age]]&lt;50,"40-49","50+")))</f>
        <v>40-49</v>
      </c>
      <c r="AA1117" t="str">
        <f>IF(Table1[[#This Row],[Salary]]&lt;20000000,"low",IF(Table1[[#This Row],[Salary]]&lt;40000000,"medium","high"))</f>
        <v>medium</v>
      </c>
      <c r="AB1117">
        <f>YEAR(Table1[[#This Row],[Hire Date]])</f>
        <v>2022</v>
      </c>
      <c r="AC1117" t="str">
        <f>TEXT(Table1[[#This Row],[Hire Date]],"mmmm")</f>
        <v>سپتامبر</v>
      </c>
      <c r="AD1117" t="str">
        <f>IF(Table1[[#This Row],[Resigned]]="yes","former","active")</f>
        <v>active</v>
      </c>
    </row>
    <row r="1118" spans="1:30" x14ac:dyDescent="0.3">
      <c r="A1118" t="s">
        <v>2301</v>
      </c>
      <c r="B1118" t="s">
        <v>2302</v>
      </c>
      <c r="C1118" t="s">
        <v>27</v>
      </c>
      <c r="D1118">
        <v>33</v>
      </c>
      <c r="E1118" t="s">
        <v>73</v>
      </c>
      <c r="F1118" t="s">
        <v>127</v>
      </c>
      <c r="G1118" t="s">
        <v>30</v>
      </c>
      <c r="H1118" t="s">
        <v>31</v>
      </c>
      <c r="I1118" t="s">
        <v>81</v>
      </c>
      <c r="J1118" s="1">
        <v>42632</v>
      </c>
      <c r="K1118">
        <v>10</v>
      </c>
      <c r="L1118">
        <v>18227417</v>
      </c>
      <c r="M1118">
        <v>9661249</v>
      </c>
      <c r="N1118" t="s">
        <v>34</v>
      </c>
      <c r="O1118">
        <v>4.95</v>
      </c>
      <c r="P1118">
        <v>73</v>
      </c>
      <c r="Q1118">
        <v>2</v>
      </c>
      <c r="R1118">
        <v>5</v>
      </c>
      <c r="S1118">
        <v>9</v>
      </c>
      <c r="T1118" t="s">
        <v>33</v>
      </c>
      <c r="U1118" t="s">
        <v>34</v>
      </c>
      <c r="V1118" t="s">
        <v>51</v>
      </c>
      <c r="W1118" t="s">
        <v>34</v>
      </c>
      <c r="X1118" t="s">
        <v>52</v>
      </c>
      <c r="Z1118" t="str">
        <f>IF(Table1[[#This Row],[Age]]&lt;30,"20-29",IF(Table1[[#This Row],[Age]]&lt;40,"30-39",IF(Table1[[#This Row],[Age]]&lt;50,"40-49","50+")))</f>
        <v>30-39</v>
      </c>
      <c r="AA1118" t="str">
        <f>IF(Table1[[#This Row],[Salary]]&lt;20000000,"low",IF(Table1[[#This Row],[Salary]]&lt;40000000,"medium","high"))</f>
        <v>low</v>
      </c>
      <c r="AB1118">
        <f>YEAR(Table1[[#This Row],[Hire Date]])</f>
        <v>2016</v>
      </c>
      <c r="AC1118" t="str">
        <f>TEXT(Table1[[#This Row],[Hire Date]],"mmmm")</f>
        <v>سپتامبر</v>
      </c>
      <c r="AD1118" t="str">
        <f>IF(Table1[[#This Row],[Resigned]]="yes","former","active")</f>
        <v>active</v>
      </c>
    </row>
    <row r="1119" spans="1:30" x14ac:dyDescent="0.3">
      <c r="A1119" t="s">
        <v>2303</v>
      </c>
      <c r="B1119" t="s">
        <v>2304</v>
      </c>
      <c r="C1119" t="s">
        <v>27</v>
      </c>
      <c r="D1119">
        <v>50</v>
      </c>
      <c r="E1119" t="s">
        <v>56</v>
      </c>
      <c r="F1119" t="s">
        <v>84</v>
      </c>
      <c r="G1119" t="s">
        <v>49</v>
      </c>
      <c r="H1119" t="s">
        <v>31</v>
      </c>
      <c r="I1119" t="s">
        <v>32</v>
      </c>
      <c r="J1119" s="1">
        <v>44779</v>
      </c>
      <c r="K1119">
        <v>4</v>
      </c>
      <c r="L1119">
        <v>19007655</v>
      </c>
      <c r="M1119">
        <v>2092918</v>
      </c>
      <c r="N1119" t="s">
        <v>34</v>
      </c>
      <c r="O1119">
        <v>3.39</v>
      </c>
      <c r="P1119">
        <v>68</v>
      </c>
      <c r="Q1119">
        <v>5</v>
      </c>
      <c r="R1119">
        <v>4</v>
      </c>
      <c r="S1119">
        <v>1</v>
      </c>
      <c r="T1119" t="s">
        <v>33</v>
      </c>
      <c r="U1119" t="s">
        <v>34</v>
      </c>
      <c r="V1119" t="s">
        <v>70</v>
      </c>
      <c r="W1119" t="s">
        <v>34</v>
      </c>
      <c r="X1119" t="s">
        <v>36</v>
      </c>
      <c r="Z1119" t="str">
        <f>IF(Table1[[#This Row],[Age]]&lt;30,"20-29",IF(Table1[[#This Row],[Age]]&lt;40,"30-39",IF(Table1[[#This Row],[Age]]&lt;50,"40-49","50+")))</f>
        <v>50+</v>
      </c>
      <c r="AA1119" t="str">
        <f>IF(Table1[[#This Row],[Salary]]&lt;20000000,"low",IF(Table1[[#This Row],[Salary]]&lt;40000000,"medium","high"))</f>
        <v>low</v>
      </c>
      <c r="AB1119">
        <f>YEAR(Table1[[#This Row],[Hire Date]])</f>
        <v>2022</v>
      </c>
      <c r="AC1119" t="str">
        <f>TEXT(Table1[[#This Row],[Hire Date]],"mmmm")</f>
        <v>اوت</v>
      </c>
      <c r="AD1119" t="str">
        <f>IF(Table1[[#This Row],[Resigned]]="yes","former","active")</f>
        <v>active</v>
      </c>
    </row>
    <row r="1120" spans="1:30" x14ac:dyDescent="0.3">
      <c r="A1120" t="s">
        <v>2305</v>
      </c>
      <c r="B1120" t="s">
        <v>2306</v>
      </c>
      <c r="C1120" t="s">
        <v>27</v>
      </c>
      <c r="D1120">
        <v>48</v>
      </c>
      <c r="E1120" t="s">
        <v>40</v>
      </c>
      <c r="F1120" t="s">
        <v>41</v>
      </c>
      <c r="G1120" t="s">
        <v>49</v>
      </c>
      <c r="H1120" t="s">
        <v>31</v>
      </c>
      <c r="I1120" t="s">
        <v>81</v>
      </c>
      <c r="J1120" s="1">
        <v>44988</v>
      </c>
      <c r="K1120">
        <v>3</v>
      </c>
      <c r="L1120">
        <v>45395302</v>
      </c>
      <c r="M1120">
        <v>5012048</v>
      </c>
      <c r="N1120" t="s">
        <v>33</v>
      </c>
      <c r="O1120">
        <v>3.28</v>
      </c>
      <c r="P1120">
        <v>58</v>
      </c>
      <c r="Q1120">
        <v>1</v>
      </c>
      <c r="R1120">
        <v>4</v>
      </c>
      <c r="S1120">
        <v>20</v>
      </c>
      <c r="T1120" t="s">
        <v>33</v>
      </c>
      <c r="U1120" t="s">
        <v>34</v>
      </c>
      <c r="V1120" t="s">
        <v>44</v>
      </c>
      <c r="W1120" t="s">
        <v>33</v>
      </c>
      <c r="X1120" t="s">
        <v>52</v>
      </c>
      <c r="Z1120" t="str">
        <f>IF(Table1[[#This Row],[Age]]&lt;30,"20-29",IF(Table1[[#This Row],[Age]]&lt;40,"30-39",IF(Table1[[#This Row],[Age]]&lt;50,"40-49","50+")))</f>
        <v>40-49</v>
      </c>
      <c r="AA1120" t="str">
        <f>IF(Table1[[#This Row],[Salary]]&lt;20000000,"low",IF(Table1[[#This Row],[Salary]]&lt;40000000,"medium","high"))</f>
        <v>high</v>
      </c>
      <c r="AB1120">
        <f>YEAR(Table1[[#This Row],[Hire Date]])</f>
        <v>2023</v>
      </c>
      <c r="AC1120" t="str">
        <f>TEXT(Table1[[#This Row],[Hire Date]],"mmmm")</f>
        <v>مارس</v>
      </c>
      <c r="AD1120" t="str">
        <f>IF(Table1[[#This Row],[Resigned]]="yes","former","active")</f>
        <v>active</v>
      </c>
    </row>
    <row r="1121" spans="1:30" x14ac:dyDescent="0.3">
      <c r="A1121" t="s">
        <v>2307</v>
      </c>
      <c r="B1121" t="s">
        <v>2308</v>
      </c>
      <c r="C1121" t="s">
        <v>39</v>
      </c>
      <c r="D1121">
        <v>57</v>
      </c>
      <c r="E1121" t="s">
        <v>40</v>
      </c>
      <c r="F1121" t="s">
        <v>48</v>
      </c>
      <c r="G1121" t="s">
        <v>49</v>
      </c>
      <c r="H1121" t="s">
        <v>31</v>
      </c>
      <c r="I1121" t="s">
        <v>43</v>
      </c>
      <c r="J1121" s="1">
        <v>43902</v>
      </c>
      <c r="K1121">
        <v>6</v>
      </c>
      <c r="L1121">
        <v>49816828</v>
      </c>
      <c r="M1121">
        <v>3466371</v>
      </c>
      <c r="N1121" t="s">
        <v>33</v>
      </c>
      <c r="O1121">
        <v>4.8099999999999996</v>
      </c>
      <c r="P1121">
        <v>44</v>
      </c>
      <c r="Q1121">
        <v>3</v>
      </c>
      <c r="R1121">
        <v>5</v>
      </c>
      <c r="S1121">
        <v>1</v>
      </c>
      <c r="T1121" t="s">
        <v>33</v>
      </c>
      <c r="U1121" t="s">
        <v>34</v>
      </c>
      <c r="V1121" t="s">
        <v>35</v>
      </c>
      <c r="W1121" t="s">
        <v>34</v>
      </c>
      <c r="X1121" t="s">
        <v>52</v>
      </c>
      <c r="Z1121" t="str">
        <f>IF(Table1[[#This Row],[Age]]&lt;30,"20-29",IF(Table1[[#This Row],[Age]]&lt;40,"30-39",IF(Table1[[#This Row],[Age]]&lt;50,"40-49","50+")))</f>
        <v>50+</v>
      </c>
      <c r="AA1121" t="str">
        <f>IF(Table1[[#This Row],[Salary]]&lt;20000000,"low",IF(Table1[[#This Row],[Salary]]&lt;40000000,"medium","high"))</f>
        <v>high</v>
      </c>
      <c r="AB1121">
        <f>YEAR(Table1[[#This Row],[Hire Date]])</f>
        <v>2020</v>
      </c>
      <c r="AC1121" t="str">
        <f>TEXT(Table1[[#This Row],[Hire Date]],"mmmm")</f>
        <v>مارس</v>
      </c>
      <c r="AD1121" t="str">
        <f>IF(Table1[[#This Row],[Resigned]]="yes","former","active")</f>
        <v>active</v>
      </c>
    </row>
    <row r="1122" spans="1:30" x14ac:dyDescent="0.3">
      <c r="A1122" t="s">
        <v>2309</v>
      </c>
      <c r="B1122" t="s">
        <v>2310</v>
      </c>
      <c r="C1122" t="s">
        <v>39</v>
      </c>
      <c r="D1122">
        <v>56</v>
      </c>
      <c r="E1122" t="s">
        <v>63</v>
      </c>
      <c r="F1122" t="s">
        <v>93</v>
      </c>
      <c r="G1122" t="s">
        <v>58</v>
      </c>
      <c r="H1122" t="s">
        <v>31</v>
      </c>
      <c r="I1122" t="s">
        <v>65</v>
      </c>
      <c r="J1122" s="1">
        <v>43097</v>
      </c>
      <c r="K1122">
        <v>9</v>
      </c>
      <c r="L1122">
        <v>26563171</v>
      </c>
      <c r="M1122">
        <v>6316796</v>
      </c>
      <c r="N1122" t="s">
        <v>34</v>
      </c>
      <c r="O1122">
        <v>2.84</v>
      </c>
      <c r="P1122">
        <v>64</v>
      </c>
      <c r="Q1122">
        <v>1</v>
      </c>
      <c r="R1122">
        <v>2</v>
      </c>
      <c r="S1122">
        <v>1</v>
      </c>
      <c r="T1122" t="s">
        <v>33</v>
      </c>
      <c r="U1122" t="s">
        <v>34</v>
      </c>
      <c r="V1122" t="s">
        <v>35</v>
      </c>
      <c r="W1122" t="s">
        <v>34</v>
      </c>
      <c r="X1122" t="s">
        <v>52</v>
      </c>
      <c r="Z1122" t="str">
        <f>IF(Table1[[#This Row],[Age]]&lt;30,"20-29",IF(Table1[[#This Row],[Age]]&lt;40,"30-39",IF(Table1[[#This Row],[Age]]&lt;50,"40-49","50+")))</f>
        <v>50+</v>
      </c>
      <c r="AA1122" t="str">
        <f>IF(Table1[[#This Row],[Salary]]&lt;20000000,"low",IF(Table1[[#This Row],[Salary]]&lt;40000000,"medium","high"))</f>
        <v>medium</v>
      </c>
      <c r="AB1122">
        <f>YEAR(Table1[[#This Row],[Hire Date]])</f>
        <v>2017</v>
      </c>
      <c r="AC1122" t="str">
        <f>TEXT(Table1[[#This Row],[Hire Date]],"mmmm")</f>
        <v>دسامبر</v>
      </c>
      <c r="AD1122" t="str">
        <f>IF(Table1[[#This Row],[Resigned]]="yes","former","active")</f>
        <v>active</v>
      </c>
    </row>
    <row r="1123" spans="1:30" x14ac:dyDescent="0.3">
      <c r="A1123" t="s">
        <v>2311</v>
      </c>
      <c r="B1123" t="s">
        <v>2312</v>
      </c>
      <c r="C1123" t="s">
        <v>39</v>
      </c>
      <c r="D1123">
        <v>53</v>
      </c>
      <c r="E1123" t="s">
        <v>56</v>
      </c>
      <c r="F1123" t="s">
        <v>57</v>
      </c>
      <c r="G1123" t="s">
        <v>49</v>
      </c>
      <c r="H1123" t="s">
        <v>31</v>
      </c>
      <c r="I1123" t="s">
        <v>32</v>
      </c>
      <c r="J1123" s="1">
        <v>45043</v>
      </c>
      <c r="K1123">
        <v>3</v>
      </c>
      <c r="L1123">
        <v>21964447</v>
      </c>
      <c r="M1123">
        <v>8499321</v>
      </c>
      <c r="N1123" t="s">
        <v>34</v>
      </c>
      <c r="O1123">
        <v>4.96</v>
      </c>
      <c r="P1123">
        <v>54</v>
      </c>
      <c r="Q1123">
        <v>2</v>
      </c>
      <c r="R1123">
        <v>3</v>
      </c>
      <c r="S1123">
        <v>10</v>
      </c>
      <c r="T1123" t="s">
        <v>33</v>
      </c>
      <c r="U1123" t="s">
        <v>34</v>
      </c>
      <c r="V1123" t="s">
        <v>59</v>
      </c>
      <c r="W1123" t="s">
        <v>34</v>
      </c>
      <c r="X1123" t="s">
        <v>36</v>
      </c>
      <c r="Z1123" t="str">
        <f>IF(Table1[[#This Row],[Age]]&lt;30,"20-29",IF(Table1[[#This Row],[Age]]&lt;40,"30-39",IF(Table1[[#This Row],[Age]]&lt;50,"40-49","50+")))</f>
        <v>50+</v>
      </c>
      <c r="AA1123" t="str">
        <f>IF(Table1[[#This Row],[Salary]]&lt;20000000,"low",IF(Table1[[#This Row],[Salary]]&lt;40000000,"medium","high"))</f>
        <v>medium</v>
      </c>
      <c r="AB1123">
        <f>YEAR(Table1[[#This Row],[Hire Date]])</f>
        <v>2023</v>
      </c>
      <c r="AC1123" t="str">
        <f>TEXT(Table1[[#This Row],[Hire Date]],"mmmm")</f>
        <v>آوريل</v>
      </c>
      <c r="AD1123" t="str">
        <f>IF(Table1[[#This Row],[Resigned]]="yes","former","active")</f>
        <v>active</v>
      </c>
    </row>
    <row r="1124" spans="1:30" x14ac:dyDescent="0.3">
      <c r="A1124" t="s">
        <v>2313</v>
      </c>
      <c r="B1124" t="s">
        <v>2314</v>
      </c>
      <c r="C1124" t="s">
        <v>27</v>
      </c>
      <c r="D1124">
        <v>24</v>
      </c>
      <c r="E1124" t="s">
        <v>110</v>
      </c>
      <c r="F1124" t="s">
        <v>111</v>
      </c>
      <c r="G1124" t="s">
        <v>49</v>
      </c>
      <c r="H1124" t="s">
        <v>42</v>
      </c>
      <c r="I1124" t="s">
        <v>43</v>
      </c>
      <c r="J1124" s="1">
        <v>44826</v>
      </c>
      <c r="K1124">
        <v>4</v>
      </c>
      <c r="L1124">
        <v>25273160</v>
      </c>
      <c r="M1124">
        <v>8099461</v>
      </c>
      <c r="N1124" t="s">
        <v>34</v>
      </c>
      <c r="O1124">
        <v>4.97</v>
      </c>
      <c r="P1124">
        <v>68</v>
      </c>
      <c r="Q1124">
        <v>4</v>
      </c>
      <c r="R1124">
        <v>2</v>
      </c>
      <c r="S1124">
        <v>6</v>
      </c>
      <c r="T1124" t="s">
        <v>33</v>
      </c>
      <c r="U1124" t="s">
        <v>33</v>
      </c>
      <c r="V1124" t="s">
        <v>51</v>
      </c>
      <c r="W1124" t="s">
        <v>34</v>
      </c>
      <c r="X1124" t="s">
        <v>52</v>
      </c>
      <c r="Y1124" t="s">
        <v>75</v>
      </c>
      <c r="Z1124" t="str">
        <f>IF(Table1[[#This Row],[Age]]&lt;30,"20-29",IF(Table1[[#This Row],[Age]]&lt;40,"30-39",IF(Table1[[#This Row],[Age]]&lt;50,"40-49","50+")))</f>
        <v>20-29</v>
      </c>
      <c r="AA1124" t="str">
        <f>IF(Table1[[#This Row],[Salary]]&lt;20000000,"low",IF(Table1[[#This Row],[Salary]]&lt;40000000,"medium","high"))</f>
        <v>medium</v>
      </c>
      <c r="AB1124">
        <f>YEAR(Table1[[#This Row],[Hire Date]])</f>
        <v>2022</v>
      </c>
      <c r="AC1124" t="str">
        <f>TEXT(Table1[[#This Row],[Hire Date]],"mmmm")</f>
        <v>سپتامبر</v>
      </c>
      <c r="AD1124" t="str">
        <f>IF(Table1[[#This Row],[Resigned]]="yes","former","active")</f>
        <v>former</v>
      </c>
    </row>
    <row r="1125" spans="1:30" x14ac:dyDescent="0.3">
      <c r="A1125" t="s">
        <v>2315</v>
      </c>
      <c r="B1125" t="s">
        <v>2316</v>
      </c>
      <c r="C1125" t="s">
        <v>27</v>
      </c>
      <c r="D1125">
        <v>41</v>
      </c>
      <c r="E1125" t="s">
        <v>56</v>
      </c>
      <c r="F1125" t="s">
        <v>57</v>
      </c>
      <c r="G1125" t="s">
        <v>58</v>
      </c>
      <c r="H1125" t="s">
        <v>31</v>
      </c>
      <c r="I1125" t="s">
        <v>43</v>
      </c>
      <c r="J1125" s="1">
        <v>44841</v>
      </c>
      <c r="K1125">
        <v>4</v>
      </c>
      <c r="L1125">
        <v>47612977</v>
      </c>
      <c r="M1125">
        <v>6686406</v>
      </c>
      <c r="N1125" t="s">
        <v>33</v>
      </c>
      <c r="O1125">
        <v>3.93</v>
      </c>
      <c r="P1125">
        <v>32</v>
      </c>
      <c r="Q1125">
        <v>1</v>
      </c>
      <c r="R1125">
        <v>4</v>
      </c>
      <c r="S1125">
        <v>12</v>
      </c>
      <c r="T1125" t="s">
        <v>34</v>
      </c>
      <c r="U1125" t="s">
        <v>34</v>
      </c>
      <c r="V1125" t="s">
        <v>44</v>
      </c>
      <c r="W1125" t="s">
        <v>33</v>
      </c>
      <c r="X1125" t="s">
        <v>45</v>
      </c>
      <c r="Z1125" t="str">
        <f>IF(Table1[[#This Row],[Age]]&lt;30,"20-29",IF(Table1[[#This Row],[Age]]&lt;40,"30-39",IF(Table1[[#This Row],[Age]]&lt;50,"40-49","50+")))</f>
        <v>40-49</v>
      </c>
      <c r="AA1125" t="str">
        <f>IF(Table1[[#This Row],[Salary]]&lt;20000000,"low",IF(Table1[[#This Row],[Salary]]&lt;40000000,"medium","high"))</f>
        <v>high</v>
      </c>
      <c r="AB1125">
        <f>YEAR(Table1[[#This Row],[Hire Date]])</f>
        <v>2022</v>
      </c>
      <c r="AC1125" t="str">
        <f>TEXT(Table1[[#This Row],[Hire Date]],"mmmm")</f>
        <v>اُكتبر</v>
      </c>
      <c r="AD1125" t="str">
        <f>IF(Table1[[#This Row],[Resigned]]="yes","former","active")</f>
        <v>active</v>
      </c>
    </row>
    <row r="1126" spans="1:30" x14ac:dyDescent="0.3">
      <c r="A1126" t="s">
        <v>2317</v>
      </c>
      <c r="B1126" t="s">
        <v>2318</v>
      </c>
      <c r="C1126" t="s">
        <v>39</v>
      </c>
      <c r="D1126">
        <v>46</v>
      </c>
      <c r="E1126" t="s">
        <v>73</v>
      </c>
      <c r="F1126" t="s">
        <v>127</v>
      </c>
      <c r="G1126" t="s">
        <v>58</v>
      </c>
      <c r="H1126" t="s">
        <v>31</v>
      </c>
      <c r="I1126" t="s">
        <v>43</v>
      </c>
      <c r="J1126" s="1">
        <v>42755</v>
      </c>
      <c r="K1126">
        <v>9</v>
      </c>
      <c r="L1126">
        <v>58821684</v>
      </c>
      <c r="M1126">
        <v>8093164</v>
      </c>
      <c r="N1126" t="s">
        <v>34</v>
      </c>
      <c r="O1126">
        <v>4.1399999999999997</v>
      </c>
      <c r="P1126">
        <v>20</v>
      </c>
      <c r="Q1126">
        <v>1</v>
      </c>
      <c r="R1126">
        <v>4</v>
      </c>
      <c r="S1126">
        <v>2</v>
      </c>
      <c r="T1126" t="s">
        <v>33</v>
      </c>
      <c r="U1126" t="s">
        <v>34</v>
      </c>
      <c r="V1126" t="s">
        <v>44</v>
      </c>
      <c r="W1126" t="s">
        <v>34</v>
      </c>
      <c r="X1126" t="s">
        <v>45</v>
      </c>
      <c r="Z1126" t="str">
        <f>IF(Table1[[#This Row],[Age]]&lt;30,"20-29",IF(Table1[[#This Row],[Age]]&lt;40,"30-39",IF(Table1[[#This Row],[Age]]&lt;50,"40-49","50+")))</f>
        <v>40-49</v>
      </c>
      <c r="AA1126" t="str">
        <f>IF(Table1[[#This Row],[Salary]]&lt;20000000,"low",IF(Table1[[#This Row],[Salary]]&lt;40000000,"medium","high"))</f>
        <v>high</v>
      </c>
      <c r="AB1126">
        <f>YEAR(Table1[[#This Row],[Hire Date]])</f>
        <v>2017</v>
      </c>
      <c r="AC1126" t="str">
        <f>TEXT(Table1[[#This Row],[Hire Date]],"mmmm")</f>
        <v>ژانويه</v>
      </c>
      <c r="AD1126" t="str">
        <f>IF(Table1[[#This Row],[Resigned]]="yes","former","active")</f>
        <v>active</v>
      </c>
    </row>
    <row r="1127" spans="1:30" x14ac:dyDescent="0.3">
      <c r="A1127" t="s">
        <v>2319</v>
      </c>
      <c r="B1127" t="s">
        <v>2320</v>
      </c>
      <c r="C1127" t="s">
        <v>27</v>
      </c>
      <c r="D1127">
        <v>33</v>
      </c>
      <c r="E1127" t="s">
        <v>56</v>
      </c>
      <c r="F1127" t="s">
        <v>84</v>
      </c>
      <c r="G1127" t="s">
        <v>58</v>
      </c>
      <c r="H1127" t="s">
        <v>31</v>
      </c>
      <c r="I1127" t="s">
        <v>43</v>
      </c>
      <c r="J1127" s="1">
        <v>42931</v>
      </c>
      <c r="K1127">
        <v>9</v>
      </c>
      <c r="L1127">
        <v>47047959</v>
      </c>
      <c r="M1127">
        <v>8965422</v>
      </c>
      <c r="N1127" t="s">
        <v>34</v>
      </c>
      <c r="O1127">
        <v>3.97</v>
      </c>
      <c r="P1127">
        <v>57</v>
      </c>
      <c r="Q1127">
        <v>3</v>
      </c>
      <c r="R1127">
        <v>5</v>
      </c>
      <c r="S1127">
        <v>11</v>
      </c>
      <c r="T1127" t="s">
        <v>33</v>
      </c>
      <c r="U1127" t="s">
        <v>34</v>
      </c>
      <c r="V1127" t="s">
        <v>70</v>
      </c>
      <c r="W1127" t="s">
        <v>33</v>
      </c>
      <c r="X1127" t="s">
        <v>36</v>
      </c>
      <c r="Z1127" t="str">
        <f>IF(Table1[[#This Row],[Age]]&lt;30,"20-29",IF(Table1[[#This Row],[Age]]&lt;40,"30-39",IF(Table1[[#This Row],[Age]]&lt;50,"40-49","50+")))</f>
        <v>30-39</v>
      </c>
      <c r="AA1127" t="str">
        <f>IF(Table1[[#This Row],[Salary]]&lt;20000000,"low",IF(Table1[[#This Row],[Salary]]&lt;40000000,"medium","high"))</f>
        <v>high</v>
      </c>
      <c r="AB1127">
        <f>YEAR(Table1[[#This Row],[Hire Date]])</f>
        <v>2017</v>
      </c>
      <c r="AC1127" t="str">
        <f>TEXT(Table1[[#This Row],[Hire Date]],"mmmm")</f>
        <v>ژوئيه</v>
      </c>
      <c r="AD1127" t="str">
        <f>IF(Table1[[#This Row],[Resigned]]="yes","former","active")</f>
        <v>active</v>
      </c>
    </row>
    <row r="1128" spans="1:30" x14ac:dyDescent="0.3">
      <c r="A1128" t="s">
        <v>2321</v>
      </c>
      <c r="B1128" t="s">
        <v>2322</v>
      </c>
      <c r="C1128" t="s">
        <v>39</v>
      </c>
      <c r="D1128">
        <v>52</v>
      </c>
      <c r="E1128" t="s">
        <v>28</v>
      </c>
      <c r="F1128" t="s">
        <v>80</v>
      </c>
      <c r="G1128" t="s">
        <v>49</v>
      </c>
      <c r="H1128" t="s">
        <v>42</v>
      </c>
      <c r="I1128" t="s">
        <v>32</v>
      </c>
      <c r="J1128" s="1">
        <v>43230</v>
      </c>
      <c r="K1128">
        <v>8</v>
      </c>
      <c r="L1128">
        <v>52403474</v>
      </c>
      <c r="M1128">
        <v>2269090</v>
      </c>
      <c r="N1128" t="s">
        <v>34</v>
      </c>
      <c r="O1128">
        <v>2.81</v>
      </c>
      <c r="P1128">
        <v>0</v>
      </c>
      <c r="Q1128">
        <v>4</v>
      </c>
      <c r="R1128">
        <v>4</v>
      </c>
      <c r="S1128">
        <v>9</v>
      </c>
      <c r="T1128" t="s">
        <v>33</v>
      </c>
      <c r="U1128" t="s">
        <v>33</v>
      </c>
      <c r="V1128" t="s">
        <v>35</v>
      </c>
      <c r="W1128" t="s">
        <v>34</v>
      </c>
      <c r="X1128" t="s">
        <v>36</v>
      </c>
      <c r="Y1128" t="s">
        <v>75</v>
      </c>
      <c r="Z1128" t="str">
        <f>IF(Table1[[#This Row],[Age]]&lt;30,"20-29",IF(Table1[[#This Row],[Age]]&lt;40,"30-39",IF(Table1[[#This Row],[Age]]&lt;50,"40-49","50+")))</f>
        <v>50+</v>
      </c>
      <c r="AA1128" t="str">
        <f>IF(Table1[[#This Row],[Salary]]&lt;20000000,"low",IF(Table1[[#This Row],[Salary]]&lt;40000000,"medium","high"))</f>
        <v>high</v>
      </c>
      <c r="AB1128">
        <f>YEAR(Table1[[#This Row],[Hire Date]])</f>
        <v>2018</v>
      </c>
      <c r="AC1128" t="str">
        <f>TEXT(Table1[[#This Row],[Hire Date]],"mmmm")</f>
        <v>مه</v>
      </c>
      <c r="AD1128" t="str">
        <f>IF(Table1[[#This Row],[Resigned]]="yes","former","active")</f>
        <v>former</v>
      </c>
    </row>
    <row r="1129" spans="1:30" x14ac:dyDescent="0.3">
      <c r="A1129" t="s">
        <v>2323</v>
      </c>
      <c r="B1129" t="s">
        <v>2324</v>
      </c>
      <c r="C1129" t="s">
        <v>39</v>
      </c>
      <c r="D1129">
        <v>45</v>
      </c>
      <c r="E1129" t="s">
        <v>28</v>
      </c>
      <c r="F1129" t="s">
        <v>80</v>
      </c>
      <c r="G1129" t="s">
        <v>30</v>
      </c>
      <c r="H1129" t="s">
        <v>31</v>
      </c>
      <c r="I1129" t="s">
        <v>43</v>
      </c>
      <c r="J1129" s="1">
        <v>42587</v>
      </c>
      <c r="K1129">
        <v>10</v>
      </c>
      <c r="L1129">
        <v>30495065</v>
      </c>
      <c r="M1129">
        <v>6147895</v>
      </c>
      <c r="N1129" t="s">
        <v>33</v>
      </c>
      <c r="O1129">
        <v>3.49</v>
      </c>
      <c r="P1129">
        <v>34</v>
      </c>
      <c r="Q1129">
        <v>4</v>
      </c>
      <c r="R1129">
        <v>3</v>
      </c>
      <c r="S1129">
        <v>4</v>
      </c>
      <c r="T1129" t="s">
        <v>33</v>
      </c>
      <c r="U1129" t="s">
        <v>34</v>
      </c>
      <c r="V1129" t="s">
        <v>59</v>
      </c>
      <c r="W1129" t="s">
        <v>34</v>
      </c>
      <c r="X1129" t="s">
        <v>45</v>
      </c>
      <c r="Z1129" t="str">
        <f>IF(Table1[[#This Row],[Age]]&lt;30,"20-29",IF(Table1[[#This Row],[Age]]&lt;40,"30-39",IF(Table1[[#This Row],[Age]]&lt;50,"40-49","50+")))</f>
        <v>40-49</v>
      </c>
      <c r="AA1129" t="str">
        <f>IF(Table1[[#This Row],[Salary]]&lt;20000000,"low",IF(Table1[[#This Row],[Salary]]&lt;40000000,"medium","high"))</f>
        <v>medium</v>
      </c>
      <c r="AB1129">
        <f>YEAR(Table1[[#This Row],[Hire Date]])</f>
        <v>2016</v>
      </c>
      <c r="AC1129" t="str">
        <f>TEXT(Table1[[#This Row],[Hire Date]],"mmmm")</f>
        <v>اوت</v>
      </c>
      <c r="AD1129" t="str">
        <f>IF(Table1[[#This Row],[Resigned]]="yes","former","active")</f>
        <v>active</v>
      </c>
    </row>
    <row r="1130" spans="1:30" x14ac:dyDescent="0.3">
      <c r="A1130" t="s">
        <v>2325</v>
      </c>
      <c r="B1130" t="s">
        <v>2326</v>
      </c>
      <c r="C1130" t="s">
        <v>27</v>
      </c>
      <c r="D1130">
        <v>52</v>
      </c>
      <c r="E1130" t="s">
        <v>73</v>
      </c>
      <c r="F1130" t="s">
        <v>74</v>
      </c>
      <c r="G1130" t="s">
        <v>30</v>
      </c>
      <c r="H1130" t="s">
        <v>42</v>
      </c>
      <c r="I1130" t="s">
        <v>50</v>
      </c>
      <c r="J1130" s="1">
        <v>43465</v>
      </c>
      <c r="K1130">
        <v>8</v>
      </c>
      <c r="L1130">
        <v>44042368</v>
      </c>
      <c r="M1130">
        <v>6155644</v>
      </c>
      <c r="N1130" t="s">
        <v>34</v>
      </c>
      <c r="O1130">
        <v>3.21</v>
      </c>
      <c r="P1130">
        <v>0</v>
      </c>
      <c r="Q1130">
        <v>3</v>
      </c>
      <c r="R1130">
        <v>3</v>
      </c>
      <c r="S1130">
        <v>15</v>
      </c>
      <c r="T1130" t="s">
        <v>34</v>
      </c>
      <c r="U1130" t="s">
        <v>33</v>
      </c>
      <c r="V1130" t="s">
        <v>59</v>
      </c>
      <c r="W1130" t="s">
        <v>34</v>
      </c>
      <c r="X1130" t="s">
        <v>52</v>
      </c>
      <c r="Y1130" t="s">
        <v>75</v>
      </c>
      <c r="Z1130" t="str">
        <f>IF(Table1[[#This Row],[Age]]&lt;30,"20-29",IF(Table1[[#This Row],[Age]]&lt;40,"30-39",IF(Table1[[#This Row],[Age]]&lt;50,"40-49","50+")))</f>
        <v>50+</v>
      </c>
      <c r="AA1130" t="str">
        <f>IF(Table1[[#This Row],[Salary]]&lt;20000000,"low",IF(Table1[[#This Row],[Salary]]&lt;40000000,"medium","high"))</f>
        <v>high</v>
      </c>
      <c r="AB1130">
        <f>YEAR(Table1[[#This Row],[Hire Date]])</f>
        <v>2018</v>
      </c>
      <c r="AC1130" t="str">
        <f>TEXT(Table1[[#This Row],[Hire Date]],"mmmm")</f>
        <v>دسامبر</v>
      </c>
      <c r="AD1130" t="str">
        <f>IF(Table1[[#This Row],[Resigned]]="yes","former","active")</f>
        <v>former</v>
      </c>
    </row>
    <row r="1131" spans="1:30" x14ac:dyDescent="0.3">
      <c r="A1131" t="s">
        <v>2327</v>
      </c>
      <c r="B1131" t="s">
        <v>2328</v>
      </c>
      <c r="C1131" t="s">
        <v>27</v>
      </c>
      <c r="D1131">
        <v>47</v>
      </c>
      <c r="E1131" t="s">
        <v>73</v>
      </c>
      <c r="F1131" t="s">
        <v>127</v>
      </c>
      <c r="G1131" t="s">
        <v>49</v>
      </c>
      <c r="H1131" t="s">
        <v>42</v>
      </c>
      <c r="I1131" t="s">
        <v>50</v>
      </c>
      <c r="J1131" s="1">
        <v>43664</v>
      </c>
      <c r="K1131">
        <v>7</v>
      </c>
      <c r="L1131">
        <v>56603917</v>
      </c>
      <c r="M1131">
        <v>9531192</v>
      </c>
      <c r="N1131" t="s">
        <v>33</v>
      </c>
      <c r="O1131">
        <v>4.3099999999999996</v>
      </c>
      <c r="P1131">
        <v>21</v>
      </c>
      <c r="Q1131">
        <v>2</v>
      </c>
      <c r="R1131">
        <v>4</v>
      </c>
      <c r="S1131">
        <v>6</v>
      </c>
      <c r="T1131" t="s">
        <v>34</v>
      </c>
      <c r="U1131" t="s">
        <v>34</v>
      </c>
      <c r="V1131" t="s">
        <v>51</v>
      </c>
      <c r="W1131" t="s">
        <v>33</v>
      </c>
      <c r="X1131" t="s">
        <v>36</v>
      </c>
      <c r="Z1131" t="str">
        <f>IF(Table1[[#This Row],[Age]]&lt;30,"20-29",IF(Table1[[#This Row],[Age]]&lt;40,"30-39",IF(Table1[[#This Row],[Age]]&lt;50,"40-49","50+")))</f>
        <v>40-49</v>
      </c>
      <c r="AA1131" t="str">
        <f>IF(Table1[[#This Row],[Salary]]&lt;20000000,"low",IF(Table1[[#This Row],[Salary]]&lt;40000000,"medium","high"))</f>
        <v>high</v>
      </c>
      <c r="AB1131">
        <f>YEAR(Table1[[#This Row],[Hire Date]])</f>
        <v>2019</v>
      </c>
      <c r="AC1131" t="str">
        <f>TEXT(Table1[[#This Row],[Hire Date]],"mmmm")</f>
        <v>ژوئيه</v>
      </c>
      <c r="AD1131" t="str">
        <f>IF(Table1[[#This Row],[Resigned]]="yes","former","active")</f>
        <v>active</v>
      </c>
    </row>
    <row r="1132" spans="1:30" x14ac:dyDescent="0.3">
      <c r="A1132" t="s">
        <v>2329</v>
      </c>
      <c r="B1132" t="s">
        <v>2330</v>
      </c>
      <c r="C1132" t="s">
        <v>27</v>
      </c>
      <c r="D1132">
        <v>34</v>
      </c>
      <c r="E1132" t="s">
        <v>63</v>
      </c>
      <c r="F1132" t="s">
        <v>64</v>
      </c>
      <c r="G1132" t="s">
        <v>58</v>
      </c>
      <c r="H1132" t="s">
        <v>42</v>
      </c>
      <c r="I1132" t="s">
        <v>81</v>
      </c>
      <c r="J1132" s="1">
        <v>44828</v>
      </c>
      <c r="K1132">
        <v>4</v>
      </c>
      <c r="L1132">
        <v>40749129</v>
      </c>
      <c r="M1132">
        <v>4654099</v>
      </c>
      <c r="N1132" t="s">
        <v>33</v>
      </c>
      <c r="O1132">
        <v>4.4800000000000004</v>
      </c>
      <c r="P1132">
        <v>75</v>
      </c>
      <c r="Q1132">
        <v>3</v>
      </c>
      <c r="R1132">
        <v>1</v>
      </c>
      <c r="S1132">
        <v>6</v>
      </c>
      <c r="T1132" t="s">
        <v>33</v>
      </c>
      <c r="U1132" t="s">
        <v>34</v>
      </c>
      <c r="V1132" t="s">
        <v>59</v>
      </c>
      <c r="W1132" t="s">
        <v>34</v>
      </c>
      <c r="X1132" t="s">
        <v>52</v>
      </c>
      <c r="Z1132" t="str">
        <f>IF(Table1[[#This Row],[Age]]&lt;30,"20-29",IF(Table1[[#This Row],[Age]]&lt;40,"30-39",IF(Table1[[#This Row],[Age]]&lt;50,"40-49","50+")))</f>
        <v>30-39</v>
      </c>
      <c r="AA1132" t="str">
        <f>IF(Table1[[#This Row],[Salary]]&lt;20000000,"low",IF(Table1[[#This Row],[Salary]]&lt;40000000,"medium","high"))</f>
        <v>high</v>
      </c>
      <c r="AB1132">
        <f>YEAR(Table1[[#This Row],[Hire Date]])</f>
        <v>2022</v>
      </c>
      <c r="AC1132" t="str">
        <f>TEXT(Table1[[#This Row],[Hire Date]],"mmmm")</f>
        <v>سپتامبر</v>
      </c>
      <c r="AD1132" t="str">
        <f>IF(Table1[[#This Row],[Resigned]]="yes","former","active")</f>
        <v>active</v>
      </c>
    </row>
    <row r="1133" spans="1:30" x14ac:dyDescent="0.3">
      <c r="A1133" t="s">
        <v>2331</v>
      </c>
      <c r="B1133" t="s">
        <v>2332</v>
      </c>
      <c r="C1133" t="s">
        <v>27</v>
      </c>
      <c r="D1133">
        <v>45</v>
      </c>
      <c r="E1133" t="s">
        <v>56</v>
      </c>
      <c r="F1133" t="s">
        <v>57</v>
      </c>
      <c r="G1133" t="s">
        <v>30</v>
      </c>
      <c r="H1133" t="s">
        <v>31</v>
      </c>
      <c r="I1133" t="s">
        <v>43</v>
      </c>
      <c r="J1133" s="1">
        <v>42936</v>
      </c>
      <c r="K1133">
        <v>9</v>
      </c>
      <c r="L1133">
        <v>25705158</v>
      </c>
      <c r="M1133">
        <v>8453511</v>
      </c>
      <c r="N1133" t="s">
        <v>33</v>
      </c>
      <c r="O1133">
        <v>4.0199999999999996</v>
      </c>
      <c r="P1133">
        <v>15</v>
      </c>
      <c r="Q1133">
        <v>4</v>
      </c>
      <c r="R1133">
        <v>3</v>
      </c>
      <c r="S1133">
        <v>13</v>
      </c>
      <c r="T1133" t="s">
        <v>34</v>
      </c>
      <c r="U1133" t="s">
        <v>34</v>
      </c>
      <c r="V1133" t="s">
        <v>44</v>
      </c>
      <c r="W1133" t="s">
        <v>34</v>
      </c>
      <c r="X1133" t="s">
        <v>52</v>
      </c>
      <c r="Z1133" t="str">
        <f>IF(Table1[[#This Row],[Age]]&lt;30,"20-29",IF(Table1[[#This Row],[Age]]&lt;40,"30-39",IF(Table1[[#This Row],[Age]]&lt;50,"40-49","50+")))</f>
        <v>40-49</v>
      </c>
      <c r="AA1133" t="str">
        <f>IF(Table1[[#This Row],[Salary]]&lt;20000000,"low",IF(Table1[[#This Row],[Salary]]&lt;40000000,"medium","high"))</f>
        <v>medium</v>
      </c>
      <c r="AB1133">
        <f>YEAR(Table1[[#This Row],[Hire Date]])</f>
        <v>2017</v>
      </c>
      <c r="AC1133" t="str">
        <f>TEXT(Table1[[#This Row],[Hire Date]],"mmmm")</f>
        <v>ژوئيه</v>
      </c>
      <c r="AD1133" t="str">
        <f>IF(Table1[[#This Row],[Resigned]]="yes","former","active")</f>
        <v>active</v>
      </c>
    </row>
    <row r="1134" spans="1:30" x14ac:dyDescent="0.3">
      <c r="A1134" t="s">
        <v>2333</v>
      </c>
      <c r="B1134" t="s">
        <v>2334</v>
      </c>
      <c r="C1134" t="s">
        <v>39</v>
      </c>
      <c r="D1134">
        <v>42</v>
      </c>
      <c r="E1134" t="s">
        <v>40</v>
      </c>
      <c r="F1134" t="s">
        <v>41</v>
      </c>
      <c r="G1134" t="s">
        <v>49</v>
      </c>
      <c r="H1134" t="s">
        <v>31</v>
      </c>
      <c r="I1134" t="s">
        <v>32</v>
      </c>
      <c r="J1134" s="1">
        <v>45803</v>
      </c>
      <c r="K1134">
        <v>1</v>
      </c>
      <c r="L1134">
        <v>56953161</v>
      </c>
      <c r="M1134">
        <v>4204088</v>
      </c>
      <c r="N1134" t="s">
        <v>34</v>
      </c>
      <c r="O1134">
        <v>4.49</v>
      </c>
      <c r="P1134">
        <v>8</v>
      </c>
      <c r="Q1134">
        <v>5</v>
      </c>
      <c r="R1134">
        <v>4</v>
      </c>
      <c r="S1134">
        <v>5</v>
      </c>
      <c r="T1134" t="s">
        <v>33</v>
      </c>
      <c r="U1134" t="s">
        <v>34</v>
      </c>
      <c r="V1134" t="s">
        <v>44</v>
      </c>
      <c r="W1134" t="s">
        <v>34</v>
      </c>
      <c r="X1134" t="s">
        <v>45</v>
      </c>
      <c r="Z1134" t="str">
        <f>IF(Table1[[#This Row],[Age]]&lt;30,"20-29",IF(Table1[[#This Row],[Age]]&lt;40,"30-39",IF(Table1[[#This Row],[Age]]&lt;50,"40-49","50+")))</f>
        <v>40-49</v>
      </c>
      <c r="AA1134" t="str">
        <f>IF(Table1[[#This Row],[Salary]]&lt;20000000,"low",IF(Table1[[#This Row],[Salary]]&lt;40000000,"medium","high"))</f>
        <v>high</v>
      </c>
      <c r="AB1134">
        <f>YEAR(Table1[[#This Row],[Hire Date]])</f>
        <v>2025</v>
      </c>
      <c r="AC1134" t="str">
        <f>TEXT(Table1[[#This Row],[Hire Date]],"mmmm")</f>
        <v>مه</v>
      </c>
      <c r="AD1134" t="str">
        <f>IF(Table1[[#This Row],[Resigned]]="yes","former","active")</f>
        <v>active</v>
      </c>
    </row>
    <row r="1135" spans="1:30" x14ac:dyDescent="0.3">
      <c r="A1135" t="s">
        <v>2335</v>
      </c>
      <c r="B1135" t="s">
        <v>2336</v>
      </c>
      <c r="C1135" t="s">
        <v>27</v>
      </c>
      <c r="D1135">
        <v>50</v>
      </c>
      <c r="E1135" t="s">
        <v>110</v>
      </c>
      <c r="F1135" t="s">
        <v>120</v>
      </c>
      <c r="G1135" t="s">
        <v>49</v>
      </c>
      <c r="H1135" t="s">
        <v>31</v>
      </c>
      <c r="I1135" t="s">
        <v>50</v>
      </c>
      <c r="J1135" s="1">
        <v>45281</v>
      </c>
      <c r="K1135">
        <v>3</v>
      </c>
      <c r="L1135">
        <v>32898366</v>
      </c>
      <c r="M1135">
        <v>900590</v>
      </c>
      <c r="N1135" t="s">
        <v>34</v>
      </c>
      <c r="O1135">
        <v>3.58</v>
      </c>
      <c r="P1135">
        <v>48</v>
      </c>
      <c r="Q1135">
        <v>2</v>
      </c>
      <c r="R1135">
        <v>2</v>
      </c>
      <c r="S1135">
        <v>15</v>
      </c>
      <c r="T1135" t="s">
        <v>33</v>
      </c>
      <c r="U1135" t="s">
        <v>34</v>
      </c>
      <c r="V1135" t="s">
        <v>70</v>
      </c>
      <c r="W1135" t="s">
        <v>33</v>
      </c>
      <c r="X1135" t="s">
        <v>52</v>
      </c>
      <c r="Z1135" t="str">
        <f>IF(Table1[[#This Row],[Age]]&lt;30,"20-29",IF(Table1[[#This Row],[Age]]&lt;40,"30-39",IF(Table1[[#This Row],[Age]]&lt;50,"40-49","50+")))</f>
        <v>50+</v>
      </c>
      <c r="AA1135" t="str">
        <f>IF(Table1[[#This Row],[Salary]]&lt;20000000,"low",IF(Table1[[#This Row],[Salary]]&lt;40000000,"medium","high"))</f>
        <v>medium</v>
      </c>
      <c r="AB1135">
        <f>YEAR(Table1[[#This Row],[Hire Date]])</f>
        <v>2023</v>
      </c>
      <c r="AC1135" t="str">
        <f>TEXT(Table1[[#This Row],[Hire Date]],"mmmm")</f>
        <v>دسامبر</v>
      </c>
      <c r="AD1135" t="str">
        <f>IF(Table1[[#This Row],[Resigned]]="yes","former","active")</f>
        <v>active</v>
      </c>
    </row>
    <row r="1136" spans="1:30" x14ac:dyDescent="0.3">
      <c r="A1136" t="s">
        <v>2337</v>
      </c>
      <c r="B1136" t="s">
        <v>2338</v>
      </c>
      <c r="C1136" t="s">
        <v>39</v>
      </c>
      <c r="D1136">
        <v>39</v>
      </c>
      <c r="E1136" t="s">
        <v>28</v>
      </c>
      <c r="F1136" t="s">
        <v>80</v>
      </c>
      <c r="G1136" t="s">
        <v>58</v>
      </c>
      <c r="H1136" t="s">
        <v>31</v>
      </c>
      <c r="I1136" t="s">
        <v>50</v>
      </c>
      <c r="J1136" s="1">
        <v>43093</v>
      </c>
      <c r="K1136">
        <v>9</v>
      </c>
      <c r="L1136">
        <v>18549868</v>
      </c>
      <c r="M1136">
        <v>7833384</v>
      </c>
      <c r="N1136" t="s">
        <v>34</v>
      </c>
      <c r="O1136">
        <v>2.78</v>
      </c>
      <c r="P1136">
        <v>24</v>
      </c>
      <c r="Q1136">
        <v>5</v>
      </c>
      <c r="R1136">
        <v>3</v>
      </c>
      <c r="S1136">
        <v>5</v>
      </c>
      <c r="T1136" t="s">
        <v>34</v>
      </c>
      <c r="U1136" t="s">
        <v>34</v>
      </c>
      <c r="V1136" t="s">
        <v>44</v>
      </c>
      <c r="W1136" t="s">
        <v>34</v>
      </c>
      <c r="X1136" t="s">
        <v>45</v>
      </c>
      <c r="Z1136" t="str">
        <f>IF(Table1[[#This Row],[Age]]&lt;30,"20-29",IF(Table1[[#This Row],[Age]]&lt;40,"30-39",IF(Table1[[#This Row],[Age]]&lt;50,"40-49","50+")))</f>
        <v>30-39</v>
      </c>
      <c r="AA1136" t="str">
        <f>IF(Table1[[#This Row],[Salary]]&lt;20000000,"low",IF(Table1[[#This Row],[Salary]]&lt;40000000,"medium","high"))</f>
        <v>low</v>
      </c>
      <c r="AB1136">
        <f>YEAR(Table1[[#This Row],[Hire Date]])</f>
        <v>2017</v>
      </c>
      <c r="AC1136" t="str">
        <f>TEXT(Table1[[#This Row],[Hire Date]],"mmmm")</f>
        <v>دسامبر</v>
      </c>
      <c r="AD1136" t="str">
        <f>IF(Table1[[#This Row],[Resigned]]="yes","former","active")</f>
        <v>active</v>
      </c>
    </row>
    <row r="1137" spans="1:30" x14ac:dyDescent="0.3">
      <c r="A1137" t="s">
        <v>2339</v>
      </c>
      <c r="B1137" t="s">
        <v>2340</v>
      </c>
      <c r="C1137" t="s">
        <v>39</v>
      </c>
      <c r="D1137">
        <v>55</v>
      </c>
      <c r="E1137" t="s">
        <v>40</v>
      </c>
      <c r="F1137" t="s">
        <v>41</v>
      </c>
      <c r="G1137" t="s">
        <v>49</v>
      </c>
      <c r="H1137" t="s">
        <v>31</v>
      </c>
      <c r="I1137" t="s">
        <v>65</v>
      </c>
      <c r="J1137" s="1">
        <v>42563</v>
      </c>
      <c r="K1137">
        <v>10</v>
      </c>
      <c r="L1137">
        <v>39281608</v>
      </c>
      <c r="M1137">
        <v>5310697</v>
      </c>
      <c r="N1137" t="s">
        <v>34</v>
      </c>
      <c r="O1137">
        <v>4</v>
      </c>
      <c r="P1137">
        <v>46</v>
      </c>
      <c r="Q1137">
        <v>3</v>
      </c>
      <c r="R1137">
        <v>2</v>
      </c>
      <c r="S1137">
        <v>15</v>
      </c>
      <c r="T1137" t="s">
        <v>33</v>
      </c>
      <c r="U1137" t="s">
        <v>34</v>
      </c>
      <c r="V1137" t="s">
        <v>70</v>
      </c>
      <c r="W1137" t="s">
        <v>34</v>
      </c>
      <c r="X1137" t="s">
        <v>52</v>
      </c>
      <c r="Z1137" t="str">
        <f>IF(Table1[[#This Row],[Age]]&lt;30,"20-29",IF(Table1[[#This Row],[Age]]&lt;40,"30-39",IF(Table1[[#This Row],[Age]]&lt;50,"40-49","50+")))</f>
        <v>50+</v>
      </c>
      <c r="AA1137" t="str">
        <f>IF(Table1[[#This Row],[Salary]]&lt;20000000,"low",IF(Table1[[#This Row],[Salary]]&lt;40000000,"medium","high"))</f>
        <v>medium</v>
      </c>
      <c r="AB1137">
        <f>YEAR(Table1[[#This Row],[Hire Date]])</f>
        <v>2016</v>
      </c>
      <c r="AC1137" t="str">
        <f>TEXT(Table1[[#This Row],[Hire Date]],"mmmm")</f>
        <v>ژوئيه</v>
      </c>
      <c r="AD1137" t="str">
        <f>IF(Table1[[#This Row],[Resigned]]="yes","former","active")</f>
        <v>active</v>
      </c>
    </row>
    <row r="1138" spans="1:30" x14ac:dyDescent="0.3">
      <c r="A1138" t="s">
        <v>2341</v>
      </c>
      <c r="B1138" t="s">
        <v>2342</v>
      </c>
      <c r="C1138" t="s">
        <v>39</v>
      </c>
      <c r="D1138">
        <v>52</v>
      </c>
      <c r="E1138" t="s">
        <v>28</v>
      </c>
      <c r="F1138" t="s">
        <v>29</v>
      </c>
      <c r="G1138" t="s">
        <v>49</v>
      </c>
      <c r="H1138" t="s">
        <v>31</v>
      </c>
      <c r="I1138" t="s">
        <v>81</v>
      </c>
      <c r="J1138" s="1">
        <v>42446</v>
      </c>
      <c r="K1138">
        <v>10</v>
      </c>
      <c r="L1138">
        <v>46645238</v>
      </c>
      <c r="M1138">
        <v>3987788</v>
      </c>
      <c r="N1138" t="s">
        <v>33</v>
      </c>
      <c r="O1138">
        <v>3.81</v>
      </c>
      <c r="P1138">
        <v>80</v>
      </c>
      <c r="Q1138">
        <v>1</v>
      </c>
      <c r="R1138">
        <v>2</v>
      </c>
      <c r="S1138">
        <v>4</v>
      </c>
      <c r="T1138" t="s">
        <v>34</v>
      </c>
      <c r="U1138" t="s">
        <v>34</v>
      </c>
      <c r="V1138" t="s">
        <v>44</v>
      </c>
      <c r="W1138" t="s">
        <v>33</v>
      </c>
      <c r="X1138" t="s">
        <v>52</v>
      </c>
      <c r="Z1138" t="str">
        <f>IF(Table1[[#This Row],[Age]]&lt;30,"20-29",IF(Table1[[#This Row],[Age]]&lt;40,"30-39",IF(Table1[[#This Row],[Age]]&lt;50,"40-49","50+")))</f>
        <v>50+</v>
      </c>
      <c r="AA1138" t="str">
        <f>IF(Table1[[#This Row],[Salary]]&lt;20000000,"low",IF(Table1[[#This Row],[Salary]]&lt;40000000,"medium","high"))</f>
        <v>high</v>
      </c>
      <c r="AB1138">
        <f>YEAR(Table1[[#This Row],[Hire Date]])</f>
        <v>2016</v>
      </c>
      <c r="AC1138" t="str">
        <f>TEXT(Table1[[#This Row],[Hire Date]],"mmmm")</f>
        <v>مارس</v>
      </c>
      <c r="AD1138" t="str">
        <f>IF(Table1[[#This Row],[Resigned]]="yes","former","active")</f>
        <v>active</v>
      </c>
    </row>
    <row r="1139" spans="1:30" x14ac:dyDescent="0.3">
      <c r="A1139" t="s">
        <v>2343</v>
      </c>
      <c r="B1139" t="s">
        <v>2344</v>
      </c>
      <c r="C1139" t="s">
        <v>39</v>
      </c>
      <c r="D1139">
        <v>25</v>
      </c>
      <c r="E1139" t="s">
        <v>110</v>
      </c>
      <c r="F1139" t="s">
        <v>120</v>
      </c>
      <c r="G1139" t="s">
        <v>49</v>
      </c>
      <c r="H1139" t="s">
        <v>31</v>
      </c>
      <c r="I1139" t="s">
        <v>81</v>
      </c>
      <c r="J1139" s="1">
        <v>45624</v>
      </c>
      <c r="K1139">
        <v>2</v>
      </c>
      <c r="L1139">
        <v>44928015</v>
      </c>
      <c r="M1139">
        <v>6224100</v>
      </c>
      <c r="N1139" t="s">
        <v>34</v>
      </c>
      <c r="O1139">
        <v>4.51</v>
      </c>
      <c r="P1139">
        <v>41</v>
      </c>
      <c r="Q1139">
        <v>4</v>
      </c>
      <c r="R1139">
        <v>1</v>
      </c>
      <c r="S1139">
        <v>6</v>
      </c>
      <c r="T1139" t="s">
        <v>34</v>
      </c>
      <c r="U1139" t="s">
        <v>34</v>
      </c>
      <c r="V1139" t="s">
        <v>44</v>
      </c>
      <c r="W1139" t="s">
        <v>33</v>
      </c>
      <c r="X1139" t="s">
        <v>45</v>
      </c>
      <c r="Z1139" t="str">
        <f>IF(Table1[[#This Row],[Age]]&lt;30,"20-29",IF(Table1[[#This Row],[Age]]&lt;40,"30-39",IF(Table1[[#This Row],[Age]]&lt;50,"40-49","50+")))</f>
        <v>20-29</v>
      </c>
      <c r="AA1139" t="str">
        <f>IF(Table1[[#This Row],[Salary]]&lt;20000000,"low",IF(Table1[[#This Row],[Salary]]&lt;40000000,"medium","high"))</f>
        <v>high</v>
      </c>
      <c r="AB1139">
        <f>YEAR(Table1[[#This Row],[Hire Date]])</f>
        <v>2024</v>
      </c>
      <c r="AC1139" t="str">
        <f>TEXT(Table1[[#This Row],[Hire Date]],"mmmm")</f>
        <v>نوامبر</v>
      </c>
      <c r="AD1139" t="str">
        <f>IF(Table1[[#This Row],[Resigned]]="yes","former","active")</f>
        <v>active</v>
      </c>
    </row>
    <row r="1140" spans="1:30" x14ac:dyDescent="0.3">
      <c r="A1140" t="s">
        <v>2345</v>
      </c>
      <c r="B1140" t="s">
        <v>2346</v>
      </c>
      <c r="C1140" t="s">
        <v>39</v>
      </c>
      <c r="D1140">
        <v>41</v>
      </c>
      <c r="E1140" t="s">
        <v>63</v>
      </c>
      <c r="F1140" t="s">
        <v>93</v>
      </c>
      <c r="G1140" t="s">
        <v>58</v>
      </c>
      <c r="H1140" t="s">
        <v>31</v>
      </c>
      <c r="I1140" t="s">
        <v>50</v>
      </c>
      <c r="J1140" s="1">
        <v>44237</v>
      </c>
      <c r="K1140">
        <v>5</v>
      </c>
      <c r="L1140">
        <v>51353591</v>
      </c>
      <c r="M1140">
        <v>9534353</v>
      </c>
      <c r="N1140" t="s">
        <v>33</v>
      </c>
      <c r="O1140">
        <v>3.82</v>
      </c>
      <c r="P1140">
        <v>69</v>
      </c>
      <c r="Q1140">
        <v>2</v>
      </c>
      <c r="R1140">
        <v>3</v>
      </c>
      <c r="S1140">
        <v>0</v>
      </c>
      <c r="T1140" t="s">
        <v>34</v>
      </c>
      <c r="U1140" t="s">
        <v>34</v>
      </c>
      <c r="V1140" t="s">
        <v>70</v>
      </c>
      <c r="W1140" t="s">
        <v>33</v>
      </c>
      <c r="X1140" t="s">
        <v>52</v>
      </c>
      <c r="Z1140" t="str">
        <f>IF(Table1[[#This Row],[Age]]&lt;30,"20-29",IF(Table1[[#This Row],[Age]]&lt;40,"30-39",IF(Table1[[#This Row],[Age]]&lt;50,"40-49","50+")))</f>
        <v>40-49</v>
      </c>
      <c r="AA1140" t="str">
        <f>IF(Table1[[#This Row],[Salary]]&lt;20000000,"low",IF(Table1[[#This Row],[Salary]]&lt;40000000,"medium","high"))</f>
        <v>high</v>
      </c>
      <c r="AB1140">
        <f>YEAR(Table1[[#This Row],[Hire Date]])</f>
        <v>2021</v>
      </c>
      <c r="AC1140" t="str">
        <f>TEXT(Table1[[#This Row],[Hire Date]],"mmmm")</f>
        <v>فوريه</v>
      </c>
      <c r="AD1140" t="str">
        <f>IF(Table1[[#This Row],[Resigned]]="yes","former","active")</f>
        <v>active</v>
      </c>
    </row>
    <row r="1141" spans="1:30" x14ac:dyDescent="0.3">
      <c r="A1141" t="s">
        <v>2347</v>
      </c>
      <c r="B1141" t="s">
        <v>2348</v>
      </c>
      <c r="C1141" t="s">
        <v>39</v>
      </c>
      <c r="D1141">
        <v>35</v>
      </c>
      <c r="E1141" t="s">
        <v>73</v>
      </c>
      <c r="F1141" t="s">
        <v>127</v>
      </c>
      <c r="G1141" t="s">
        <v>58</v>
      </c>
      <c r="H1141" t="s">
        <v>31</v>
      </c>
      <c r="I1141" t="s">
        <v>43</v>
      </c>
      <c r="J1141" s="1">
        <v>45669</v>
      </c>
      <c r="K1141">
        <v>1</v>
      </c>
      <c r="L1141">
        <v>41249568</v>
      </c>
      <c r="M1141">
        <v>5766289</v>
      </c>
      <c r="N1141" t="s">
        <v>33</v>
      </c>
      <c r="O1141">
        <v>4.53</v>
      </c>
      <c r="P1141">
        <v>38</v>
      </c>
      <c r="Q1141">
        <v>2</v>
      </c>
      <c r="R1141">
        <v>1</v>
      </c>
      <c r="S1141">
        <v>13</v>
      </c>
      <c r="T1141" t="s">
        <v>33</v>
      </c>
      <c r="U1141" t="s">
        <v>34</v>
      </c>
      <c r="V1141" t="s">
        <v>70</v>
      </c>
      <c r="W1141" t="s">
        <v>33</v>
      </c>
      <c r="X1141" t="s">
        <v>45</v>
      </c>
      <c r="Z1141" t="str">
        <f>IF(Table1[[#This Row],[Age]]&lt;30,"20-29",IF(Table1[[#This Row],[Age]]&lt;40,"30-39",IF(Table1[[#This Row],[Age]]&lt;50,"40-49","50+")))</f>
        <v>30-39</v>
      </c>
      <c r="AA1141" t="str">
        <f>IF(Table1[[#This Row],[Salary]]&lt;20000000,"low",IF(Table1[[#This Row],[Salary]]&lt;40000000,"medium","high"))</f>
        <v>high</v>
      </c>
      <c r="AB1141">
        <f>YEAR(Table1[[#This Row],[Hire Date]])</f>
        <v>2025</v>
      </c>
      <c r="AC1141" t="str">
        <f>TEXT(Table1[[#This Row],[Hire Date]],"mmmm")</f>
        <v>ژانويه</v>
      </c>
      <c r="AD1141" t="str">
        <f>IF(Table1[[#This Row],[Resigned]]="yes","former","active")</f>
        <v>active</v>
      </c>
    </row>
    <row r="1142" spans="1:30" x14ac:dyDescent="0.3">
      <c r="A1142" t="s">
        <v>2349</v>
      </c>
      <c r="B1142" t="s">
        <v>2350</v>
      </c>
      <c r="C1142" t="s">
        <v>27</v>
      </c>
      <c r="D1142">
        <v>40</v>
      </c>
      <c r="E1142" t="s">
        <v>28</v>
      </c>
      <c r="F1142" t="s">
        <v>80</v>
      </c>
      <c r="G1142" t="s">
        <v>49</v>
      </c>
      <c r="H1142" t="s">
        <v>42</v>
      </c>
      <c r="I1142" t="s">
        <v>43</v>
      </c>
      <c r="J1142" s="1">
        <v>42910</v>
      </c>
      <c r="K1142">
        <v>9</v>
      </c>
      <c r="L1142">
        <v>20158348</v>
      </c>
      <c r="M1142">
        <v>9906747</v>
      </c>
      <c r="N1142" t="s">
        <v>34</v>
      </c>
      <c r="O1142">
        <v>4.57</v>
      </c>
      <c r="P1142">
        <v>38</v>
      </c>
      <c r="Q1142">
        <v>3</v>
      </c>
      <c r="R1142">
        <v>1</v>
      </c>
      <c r="S1142">
        <v>18</v>
      </c>
      <c r="T1142" t="s">
        <v>33</v>
      </c>
      <c r="U1142" t="s">
        <v>34</v>
      </c>
      <c r="V1142" t="s">
        <v>35</v>
      </c>
      <c r="W1142" t="s">
        <v>33</v>
      </c>
      <c r="X1142" t="s">
        <v>36</v>
      </c>
      <c r="Z1142" t="str">
        <f>IF(Table1[[#This Row],[Age]]&lt;30,"20-29",IF(Table1[[#This Row],[Age]]&lt;40,"30-39",IF(Table1[[#This Row],[Age]]&lt;50,"40-49","50+")))</f>
        <v>40-49</v>
      </c>
      <c r="AA1142" t="str">
        <f>IF(Table1[[#This Row],[Salary]]&lt;20000000,"low",IF(Table1[[#This Row],[Salary]]&lt;40000000,"medium","high"))</f>
        <v>medium</v>
      </c>
      <c r="AB1142">
        <f>YEAR(Table1[[#This Row],[Hire Date]])</f>
        <v>2017</v>
      </c>
      <c r="AC1142" t="str">
        <f>TEXT(Table1[[#This Row],[Hire Date]],"mmmm")</f>
        <v>ژوئن</v>
      </c>
      <c r="AD1142" t="str">
        <f>IF(Table1[[#This Row],[Resigned]]="yes","former","active")</f>
        <v>active</v>
      </c>
    </row>
    <row r="1143" spans="1:30" x14ac:dyDescent="0.3">
      <c r="A1143" t="s">
        <v>2351</v>
      </c>
      <c r="B1143" t="s">
        <v>2352</v>
      </c>
      <c r="C1143" t="s">
        <v>27</v>
      </c>
      <c r="D1143">
        <v>52</v>
      </c>
      <c r="E1143" t="s">
        <v>73</v>
      </c>
      <c r="F1143" t="s">
        <v>74</v>
      </c>
      <c r="G1143" t="s">
        <v>30</v>
      </c>
      <c r="H1143" t="s">
        <v>31</v>
      </c>
      <c r="I1143" t="s">
        <v>50</v>
      </c>
      <c r="J1143" s="1">
        <v>44468</v>
      </c>
      <c r="K1143">
        <v>5</v>
      </c>
      <c r="L1143">
        <v>34959650</v>
      </c>
      <c r="M1143">
        <v>7461375</v>
      </c>
      <c r="N1143" t="s">
        <v>33</v>
      </c>
      <c r="O1143">
        <v>3.01</v>
      </c>
      <c r="P1143">
        <v>7</v>
      </c>
      <c r="Q1143">
        <v>5</v>
      </c>
      <c r="R1143">
        <v>5</v>
      </c>
      <c r="S1143">
        <v>10</v>
      </c>
      <c r="T1143" t="s">
        <v>33</v>
      </c>
      <c r="U1143" t="s">
        <v>34</v>
      </c>
      <c r="V1143" t="s">
        <v>70</v>
      </c>
      <c r="W1143" t="s">
        <v>34</v>
      </c>
      <c r="X1143" t="s">
        <v>52</v>
      </c>
      <c r="Z1143" t="str">
        <f>IF(Table1[[#This Row],[Age]]&lt;30,"20-29",IF(Table1[[#This Row],[Age]]&lt;40,"30-39",IF(Table1[[#This Row],[Age]]&lt;50,"40-49","50+")))</f>
        <v>50+</v>
      </c>
      <c r="AA1143" t="str">
        <f>IF(Table1[[#This Row],[Salary]]&lt;20000000,"low",IF(Table1[[#This Row],[Salary]]&lt;40000000,"medium","high"))</f>
        <v>medium</v>
      </c>
      <c r="AB1143">
        <f>YEAR(Table1[[#This Row],[Hire Date]])</f>
        <v>2021</v>
      </c>
      <c r="AC1143" t="str">
        <f>TEXT(Table1[[#This Row],[Hire Date]],"mmmm")</f>
        <v>سپتامبر</v>
      </c>
      <c r="AD1143" t="str">
        <f>IF(Table1[[#This Row],[Resigned]]="yes","former","active")</f>
        <v>active</v>
      </c>
    </row>
    <row r="1144" spans="1:30" x14ac:dyDescent="0.3">
      <c r="A1144" t="s">
        <v>2353</v>
      </c>
      <c r="B1144" t="s">
        <v>2354</v>
      </c>
      <c r="C1144" t="s">
        <v>27</v>
      </c>
      <c r="D1144">
        <v>48</v>
      </c>
      <c r="E1144" t="s">
        <v>40</v>
      </c>
      <c r="F1144" t="s">
        <v>48</v>
      </c>
      <c r="G1144" t="s">
        <v>30</v>
      </c>
      <c r="H1144" t="s">
        <v>31</v>
      </c>
      <c r="I1144" t="s">
        <v>50</v>
      </c>
      <c r="J1144" s="1">
        <v>42620</v>
      </c>
      <c r="K1144">
        <v>10</v>
      </c>
      <c r="L1144">
        <v>22693637</v>
      </c>
      <c r="M1144">
        <v>4877710</v>
      </c>
      <c r="N1144" t="s">
        <v>33</v>
      </c>
      <c r="O1144">
        <v>3.26</v>
      </c>
      <c r="P1144">
        <v>78</v>
      </c>
      <c r="Q1144">
        <v>3</v>
      </c>
      <c r="R1144">
        <v>3</v>
      </c>
      <c r="S1144">
        <v>17</v>
      </c>
      <c r="T1144" t="s">
        <v>34</v>
      </c>
      <c r="U1144" t="s">
        <v>34</v>
      </c>
      <c r="V1144" t="s">
        <v>35</v>
      </c>
      <c r="W1144" t="s">
        <v>34</v>
      </c>
      <c r="X1144" t="s">
        <v>45</v>
      </c>
      <c r="Z1144" t="str">
        <f>IF(Table1[[#This Row],[Age]]&lt;30,"20-29",IF(Table1[[#This Row],[Age]]&lt;40,"30-39",IF(Table1[[#This Row],[Age]]&lt;50,"40-49","50+")))</f>
        <v>40-49</v>
      </c>
      <c r="AA1144" t="str">
        <f>IF(Table1[[#This Row],[Salary]]&lt;20000000,"low",IF(Table1[[#This Row],[Salary]]&lt;40000000,"medium","high"))</f>
        <v>medium</v>
      </c>
      <c r="AB1144">
        <f>YEAR(Table1[[#This Row],[Hire Date]])</f>
        <v>2016</v>
      </c>
      <c r="AC1144" t="str">
        <f>TEXT(Table1[[#This Row],[Hire Date]],"mmmm")</f>
        <v>سپتامبر</v>
      </c>
      <c r="AD1144" t="str">
        <f>IF(Table1[[#This Row],[Resigned]]="yes","former","active")</f>
        <v>active</v>
      </c>
    </row>
    <row r="1145" spans="1:30" x14ac:dyDescent="0.3">
      <c r="A1145" t="s">
        <v>2355</v>
      </c>
      <c r="B1145" t="s">
        <v>2356</v>
      </c>
      <c r="C1145" t="s">
        <v>39</v>
      </c>
      <c r="D1145">
        <v>25</v>
      </c>
      <c r="E1145" t="s">
        <v>73</v>
      </c>
      <c r="F1145" t="s">
        <v>127</v>
      </c>
      <c r="G1145" t="s">
        <v>30</v>
      </c>
      <c r="H1145" t="s">
        <v>42</v>
      </c>
      <c r="I1145" t="s">
        <v>65</v>
      </c>
      <c r="J1145" s="1">
        <v>43086</v>
      </c>
      <c r="K1145">
        <v>9</v>
      </c>
      <c r="L1145">
        <v>29947181</v>
      </c>
      <c r="M1145">
        <v>2441447</v>
      </c>
      <c r="N1145" t="s">
        <v>34</v>
      </c>
      <c r="O1145">
        <v>3.08</v>
      </c>
      <c r="P1145">
        <v>35</v>
      </c>
      <c r="Q1145">
        <v>2</v>
      </c>
      <c r="R1145">
        <v>1</v>
      </c>
      <c r="S1145">
        <v>15</v>
      </c>
      <c r="T1145" t="s">
        <v>34</v>
      </c>
      <c r="U1145" t="s">
        <v>34</v>
      </c>
      <c r="V1145" t="s">
        <v>35</v>
      </c>
      <c r="W1145" t="s">
        <v>33</v>
      </c>
      <c r="X1145" t="s">
        <v>36</v>
      </c>
      <c r="Z1145" t="str">
        <f>IF(Table1[[#This Row],[Age]]&lt;30,"20-29",IF(Table1[[#This Row],[Age]]&lt;40,"30-39",IF(Table1[[#This Row],[Age]]&lt;50,"40-49","50+")))</f>
        <v>20-29</v>
      </c>
      <c r="AA1145" t="str">
        <f>IF(Table1[[#This Row],[Salary]]&lt;20000000,"low",IF(Table1[[#This Row],[Salary]]&lt;40000000,"medium","high"))</f>
        <v>medium</v>
      </c>
      <c r="AB1145">
        <f>YEAR(Table1[[#This Row],[Hire Date]])</f>
        <v>2017</v>
      </c>
      <c r="AC1145" t="str">
        <f>TEXT(Table1[[#This Row],[Hire Date]],"mmmm")</f>
        <v>دسامبر</v>
      </c>
      <c r="AD1145" t="str">
        <f>IF(Table1[[#This Row],[Resigned]]="yes","former","active")</f>
        <v>active</v>
      </c>
    </row>
    <row r="1146" spans="1:30" x14ac:dyDescent="0.3">
      <c r="A1146" t="s">
        <v>2357</v>
      </c>
      <c r="B1146" t="s">
        <v>2358</v>
      </c>
      <c r="C1146" t="s">
        <v>39</v>
      </c>
      <c r="D1146">
        <v>38</v>
      </c>
      <c r="E1146" t="s">
        <v>28</v>
      </c>
      <c r="F1146" t="s">
        <v>80</v>
      </c>
      <c r="G1146" t="s">
        <v>58</v>
      </c>
      <c r="H1146" t="s">
        <v>31</v>
      </c>
      <c r="I1146" t="s">
        <v>50</v>
      </c>
      <c r="J1146" s="1">
        <v>45071</v>
      </c>
      <c r="K1146">
        <v>3</v>
      </c>
      <c r="L1146">
        <v>22116109</v>
      </c>
      <c r="M1146">
        <v>985137</v>
      </c>
      <c r="N1146" t="s">
        <v>34</v>
      </c>
      <c r="O1146">
        <v>3.28</v>
      </c>
      <c r="P1146">
        <v>29</v>
      </c>
      <c r="Q1146">
        <v>5</v>
      </c>
      <c r="R1146">
        <v>4</v>
      </c>
      <c r="S1146">
        <v>19</v>
      </c>
      <c r="T1146" t="s">
        <v>33</v>
      </c>
      <c r="U1146" t="s">
        <v>34</v>
      </c>
      <c r="V1146" t="s">
        <v>59</v>
      </c>
      <c r="W1146" t="s">
        <v>34</v>
      </c>
      <c r="X1146" t="s">
        <v>45</v>
      </c>
      <c r="Z1146" t="str">
        <f>IF(Table1[[#This Row],[Age]]&lt;30,"20-29",IF(Table1[[#This Row],[Age]]&lt;40,"30-39",IF(Table1[[#This Row],[Age]]&lt;50,"40-49","50+")))</f>
        <v>30-39</v>
      </c>
      <c r="AA1146" t="str">
        <f>IF(Table1[[#This Row],[Salary]]&lt;20000000,"low",IF(Table1[[#This Row],[Salary]]&lt;40000000,"medium","high"))</f>
        <v>medium</v>
      </c>
      <c r="AB1146">
        <f>YEAR(Table1[[#This Row],[Hire Date]])</f>
        <v>2023</v>
      </c>
      <c r="AC1146" t="str">
        <f>TEXT(Table1[[#This Row],[Hire Date]],"mmmm")</f>
        <v>مه</v>
      </c>
      <c r="AD1146" t="str">
        <f>IF(Table1[[#This Row],[Resigned]]="yes","former","active")</f>
        <v>active</v>
      </c>
    </row>
    <row r="1147" spans="1:30" x14ac:dyDescent="0.3">
      <c r="A1147" t="s">
        <v>2359</v>
      </c>
      <c r="B1147" t="s">
        <v>2360</v>
      </c>
      <c r="C1147" t="s">
        <v>27</v>
      </c>
      <c r="D1147">
        <v>43</v>
      </c>
      <c r="E1147" t="s">
        <v>73</v>
      </c>
      <c r="F1147" t="s">
        <v>127</v>
      </c>
      <c r="G1147" t="s">
        <v>30</v>
      </c>
      <c r="H1147" t="s">
        <v>31</v>
      </c>
      <c r="I1147" t="s">
        <v>81</v>
      </c>
      <c r="J1147" s="1">
        <v>42874</v>
      </c>
      <c r="K1147">
        <v>9</v>
      </c>
      <c r="L1147">
        <v>59477452</v>
      </c>
      <c r="M1147">
        <v>1756220</v>
      </c>
      <c r="N1147" t="s">
        <v>34</v>
      </c>
      <c r="O1147">
        <v>4.5999999999999996</v>
      </c>
      <c r="P1147">
        <v>76</v>
      </c>
      <c r="Q1147">
        <v>3</v>
      </c>
      <c r="R1147">
        <v>4</v>
      </c>
      <c r="S1147">
        <v>19</v>
      </c>
      <c r="T1147" t="s">
        <v>33</v>
      </c>
      <c r="U1147" t="s">
        <v>34</v>
      </c>
      <c r="V1147" t="s">
        <v>44</v>
      </c>
      <c r="W1147" t="s">
        <v>33</v>
      </c>
      <c r="X1147" t="s">
        <v>45</v>
      </c>
      <c r="Z1147" t="str">
        <f>IF(Table1[[#This Row],[Age]]&lt;30,"20-29",IF(Table1[[#This Row],[Age]]&lt;40,"30-39",IF(Table1[[#This Row],[Age]]&lt;50,"40-49","50+")))</f>
        <v>40-49</v>
      </c>
      <c r="AA1147" t="str">
        <f>IF(Table1[[#This Row],[Salary]]&lt;20000000,"low",IF(Table1[[#This Row],[Salary]]&lt;40000000,"medium","high"))</f>
        <v>high</v>
      </c>
      <c r="AB1147">
        <f>YEAR(Table1[[#This Row],[Hire Date]])</f>
        <v>2017</v>
      </c>
      <c r="AC1147" t="str">
        <f>TEXT(Table1[[#This Row],[Hire Date]],"mmmm")</f>
        <v>مه</v>
      </c>
      <c r="AD1147" t="str">
        <f>IF(Table1[[#This Row],[Resigned]]="yes","former","active")</f>
        <v>active</v>
      </c>
    </row>
    <row r="1148" spans="1:30" x14ac:dyDescent="0.3">
      <c r="A1148" t="s">
        <v>2361</v>
      </c>
      <c r="B1148" t="s">
        <v>2362</v>
      </c>
      <c r="C1148" t="s">
        <v>39</v>
      </c>
      <c r="D1148">
        <v>56</v>
      </c>
      <c r="E1148" t="s">
        <v>110</v>
      </c>
      <c r="F1148" t="s">
        <v>120</v>
      </c>
      <c r="G1148" t="s">
        <v>58</v>
      </c>
      <c r="H1148" t="s">
        <v>42</v>
      </c>
      <c r="I1148" t="s">
        <v>43</v>
      </c>
      <c r="J1148" s="1">
        <v>45723</v>
      </c>
      <c r="K1148">
        <v>1</v>
      </c>
      <c r="L1148">
        <v>50790814</v>
      </c>
      <c r="M1148">
        <v>2202815</v>
      </c>
      <c r="N1148" t="s">
        <v>34</v>
      </c>
      <c r="O1148">
        <v>3.77</v>
      </c>
      <c r="P1148">
        <v>27</v>
      </c>
      <c r="Q1148">
        <v>5</v>
      </c>
      <c r="R1148">
        <v>1</v>
      </c>
      <c r="S1148">
        <v>11</v>
      </c>
      <c r="T1148" t="s">
        <v>33</v>
      </c>
      <c r="U1148" t="s">
        <v>33</v>
      </c>
      <c r="V1148" t="s">
        <v>44</v>
      </c>
      <c r="W1148" t="s">
        <v>33</v>
      </c>
      <c r="X1148" t="s">
        <v>36</v>
      </c>
      <c r="Y1148" t="s">
        <v>162</v>
      </c>
      <c r="Z1148" t="str">
        <f>IF(Table1[[#This Row],[Age]]&lt;30,"20-29",IF(Table1[[#This Row],[Age]]&lt;40,"30-39",IF(Table1[[#This Row],[Age]]&lt;50,"40-49","50+")))</f>
        <v>50+</v>
      </c>
      <c r="AA1148" t="str">
        <f>IF(Table1[[#This Row],[Salary]]&lt;20000000,"low",IF(Table1[[#This Row],[Salary]]&lt;40000000,"medium","high"))</f>
        <v>high</v>
      </c>
      <c r="AB1148">
        <f>YEAR(Table1[[#This Row],[Hire Date]])</f>
        <v>2025</v>
      </c>
      <c r="AC1148" t="str">
        <f>TEXT(Table1[[#This Row],[Hire Date]],"mmmm")</f>
        <v>مارس</v>
      </c>
      <c r="AD1148" t="str">
        <f>IF(Table1[[#This Row],[Resigned]]="yes","former","active")</f>
        <v>former</v>
      </c>
    </row>
    <row r="1149" spans="1:30" x14ac:dyDescent="0.3">
      <c r="A1149" t="s">
        <v>2363</v>
      </c>
      <c r="B1149" t="s">
        <v>2364</v>
      </c>
      <c r="C1149" t="s">
        <v>27</v>
      </c>
      <c r="D1149">
        <v>50</v>
      </c>
      <c r="E1149" t="s">
        <v>110</v>
      </c>
      <c r="F1149" t="s">
        <v>120</v>
      </c>
      <c r="G1149" t="s">
        <v>30</v>
      </c>
      <c r="H1149" t="s">
        <v>42</v>
      </c>
      <c r="I1149" t="s">
        <v>81</v>
      </c>
      <c r="J1149" s="1">
        <v>44466</v>
      </c>
      <c r="K1149">
        <v>5</v>
      </c>
      <c r="L1149">
        <v>17146604</v>
      </c>
      <c r="M1149">
        <v>2607048</v>
      </c>
      <c r="N1149" t="s">
        <v>34</v>
      </c>
      <c r="O1149">
        <v>4.9800000000000004</v>
      </c>
      <c r="P1149">
        <v>73</v>
      </c>
      <c r="Q1149">
        <v>3</v>
      </c>
      <c r="R1149">
        <v>2</v>
      </c>
      <c r="S1149">
        <v>12</v>
      </c>
      <c r="T1149" t="s">
        <v>34</v>
      </c>
      <c r="U1149" t="s">
        <v>34</v>
      </c>
      <c r="V1149" t="s">
        <v>51</v>
      </c>
      <c r="W1149" t="s">
        <v>34</v>
      </c>
      <c r="X1149" t="s">
        <v>45</v>
      </c>
      <c r="Z1149" t="str">
        <f>IF(Table1[[#This Row],[Age]]&lt;30,"20-29",IF(Table1[[#This Row],[Age]]&lt;40,"30-39",IF(Table1[[#This Row],[Age]]&lt;50,"40-49","50+")))</f>
        <v>50+</v>
      </c>
      <c r="AA1149" t="str">
        <f>IF(Table1[[#This Row],[Salary]]&lt;20000000,"low",IF(Table1[[#This Row],[Salary]]&lt;40000000,"medium","high"))</f>
        <v>low</v>
      </c>
      <c r="AB1149">
        <f>YEAR(Table1[[#This Row],[Hire Date]])</f>
        <v>2021</v>
      </c>
      <c r="AC1149" t="str">
        <f>TEXT(Table1[[#This Row],[Hire Date]],"mmmm")</f>
        <v>سپتامبر</v>
      </c>
      <c r="AD1149" t="str">
        <f>IF(Table1[[#This Row],[Resigned]]="yes","former","active")</f>
        <v>active</v>
      </c>
    </row>
    <row r="1150" spans="1:30" x14ac:dyDescent="0.3">
      <c r="A1150" t="s">
        <v>2365</v>
      </c>
      <c r="B1150" t="s">
        <v>2366</v>
      </c>
      <c r="C1150" t="s">
        <v>39</v>
      </c>
      <c r="D1150">
        <v>40</v>
      </c>
      <c r="E1150" t="s">
        <v>73</v>
      </c>
      <c r="F1150" t="s">
        <v>127</v>
      </c>
      <c r="G1150" t="s">
        <v>58</v>
      </c>
      <c r="H1150" t="s">
        <v>42</v>
      </c>
      <c r="I1150" t="s">
        <v>81</v>
      </c>
      <c r="J1150" s="1">
        <v>45315</v>
      </c>
      <c r="K1150">
        <v>2</v>
      </c>
      <c r="L1150">
        <v>50104231</v>
      </c>
      <c r="M1150">
        <v>6605773</v>
      </c>
      <c r="N1150" t="s">
        <v>33</v>
      </c>
      <c r="O1150">
        <v>2.67</v>
      </c>
      <c r="P1150">
        <v>62</v>
      </c>
      <c r="Q1150">
        <v>3</v>
      </c>
      <c r="R1150">
        <v>2</v>
      </c>
      <c r="S1150">
        <v>19</v>
      </c>
      <c r="T1150" t="s">
        <v>34</v>
      </c>
      <c r="U1150" t="s">
        <v>34</v>
      </c>
      <c r="V1150" t="s">
        <v>35</v>
      </c>
      <c r="W1150" t="s">
        <v>34</v>
      </c>
      <c r="X1150" t="s">
        <v>36</v>
      </c>
      <c r="Z1150" t="str">
        <f>IF(Table1[[#This Row],[Age]]&lt;30,"20-29",IF(Table1[[#This Row],[Age]]&lt;40,"30-39",IF(Table1[[#This Row],[Age]]&lt;50,"40-49","50+")))</f>
        <v>40-49</v>
      </c>
      <c r="AA1150" t="str">
        <f>IF(Table1[[#This Row],[Salary]]&lt;20000000,"low",IF(Table1[[#This Row],[Salary]]&lt;40000000,"medium","high"))</f>
        <v>high</v>
      </c>
      <c r="AB1150">
        <f>YEAR(Table1[[#This Row],[Hire Date]])</f>
        <v>2024</v>
      </c>
      <c r="AC1150" t="str">
        <f>TEXT(Table1[[#This Row],[Hire Date]],"mmmm")</f>
        <v>ژانويه</v>
      </c>
      <c r="AD1150" t="str">
        <f>IF(Table1[[#This Row],[Resigned]]="yes","former","active")</f>
        <v>active</v>
      </c>
    </row>
    <row r="1151" spans="1:30" x14ac:dyDescent="0.3">
      <c r="A1151" t="s">
        <v>2367</v>
      </c>
      <c r="B1151" t="s">
        <v>2368</v>
      </c>
      <c r="C1151" t="s">
        <v>27</v>
      </c>
      <c r="D1151">
        <v>52</v>
      </c>
      <c r="E1151" t="s">
        <v>110</v>
      </c>
      <c r="F1151" t="s">
        <v>120</v>
      </c>
      <c r="G1151" t="s">
        <v>49</v>
      </c>
      <c r="H1151" t="s">
        <v>42</v>
      </c>
      <c r="I1151" t="s">
        <v>65</v>
      </c>
      <c r="J1151" s="1">
        <v>44374</v>
      </c>
      <c r="K1151">
        <v>5</v>
      </c>
      <c r="L1151">
        <v>47725120</v>
      </c>
      <c r="M1151">
        <v>11662</v>
      </c>
      <c r="N1151" t="s">
        <v>34</v>
      </c>
      <c r="O1151">
        <v>4.3499999999999996</v>
      </c>
      <c r="P1151">
        <v>1</v>
      </c>
      <c r="Q1151">
        <v>2</v>
      </c>
      <c r="R1151">
        <v>4</v>
      </c>
      <c r="S1151">
        <v>1</v>
      </c>
      <c r="T1151" t="s">
        <v>34</v>
      </c>
      <c r="U1151" t="s">
        <v>34</v>
      </c>
      <c r="V1151" t="s">
        <v>35</v>
      </c>
      <c r="W1151" t="s">
        <v>33</v>
      </c>
      <c r="X1151" t="s">
        <v>52</v>
      </c>
      <c r="Z1151" t="str">
        <f>IF(Table1[[#This Row],[Age]]&lt;30,"20-29",IF(Table1[[#This Row],[Age]]&lt;40,"30-39",IF(Table1[[#This Row],[Age]]&lt;50,"40-49","50+")))</f>
        <v>50+</v>
      </c>
      <c r="AA1151" t="str">
        <f>IF(Table1[[#This Row],[Salary]]&lt;20000000,"low",IF(Table1[[#This Row],[Salary]]&lt;40000000,"medium","high"))</f>
        <v>high</v>
      </c>
      <c r="AB1151">
        <f>YEAR(Table1[[#This Row],[Hire Date]])</f>
        <v>2021</v>
      </c>
      <c r="AC1151" t="str">
        <f>TEXT(Table1[[#This Row],[Hire Date]],"mmmm")</f>
        <v>ژوئن</v>
      </c>
      <c r="AD1151" t="str">
        <f>IF(Table1[[#This Row],[Resigned]]="yes","former","active")</f>
        <v>active</v>
      </c>
    </row>
    <row r="1152" spans="1:30" x14ac:dyDescent="0.3">
      <c r="A1152" t="s">
        <v>2369</v>
      </c>
      <c r="B1152" t="s">
        <v>2370</v>
      </c>
      <c r="C1152" t="s">
        <v>39</v>
      </c>
      <c r="D1152">
        <v>31</v>
      </c>
      <c r="E1152" t="s">
        <v>110</v>
      </c>
      <c r="F1152" t="s">
        <v>111</v>
      </c>
      <c r="G1152" t="s">
        <v>30</v>
      </c>
      <c r="H1152" t="s">
        <v>42</v>
      </c>
      <c r="I1152" t="s">
        <v>32</v>
      </c>
      <c r="J1152" s="1">
        <v>43891</v>
      </c>
      <c r="K1152">
        <v>6</v>
      </c>
      <c r="L1152">
        <v>22611984</v>
      </c>
      <c r="M1152">
        <v>7103528</v>
      </c>
      <c r="N1152" t="s">
        <v>33</v>
      </c>
      <c r="O1152">
        <v>3.97</v>
      </c>
      <c r="P1152">
        <v>37</v>
      </c>
      <c r="Q1152">
        <v>5</v>
      </c>
      <c r="R1152">
        <v>1</v>
      </c>
      <c r="S1152">
        <v>10</v>
      </c>
      <c r="T1152" t="s">
        <v>33</v>
      </c>
      <c r="U1152" t="s">
        <v>33</v>
      </c>
      <c r="V1152" t="s">
        <v>44</v>
      </c>
      <c r="W1152" t="s">
        <v>34</v>
      </c>
      <c r="X1152" t="s">
        <v>52</v>
      </c>
      <c r="Y1152" t="s">
        <v>53</v>
      </c>
      <c r="Z1152" t="str">
        <f>IF(Table1[[#This Row],[Age]]&lt;30,"20-29",IF(Table1[[#This Row],[Age]]&lt;40,"30-39",IF(Table1[[#This Row],[Age]]&lt;50,"40-49","50+")))</f>
        <v>30-39</v>
      </c>
      <c r="AA1152" t="str">
        <f>IF(Table1[[#This Row],[Salary]]&lt;20000000,"low",IF(Table1[[#This Row],[Salary]]&lt;40000000,"medium","high"))</f>
        <v>medium</v>
      </c>
      <c r="AB1152">
        <f>YEAR(Table1[[#This Row],[Hire Date]])</f>
        <v>2020</v>
      </c>
      <c r="AC1152" t="str">
        <f>TEXT(Table1[[#This Row],[Hire Date]],"mmmm")</f>
        <v>مارس</v>
      </c>
      <c r="AD1152" t="str">
        <f>IF(Table1[[#This Row],[Resigned]]="yes","former","active")</f>
        <v>former</v>
      </c>
    </row>
    <row r="1153" spans="1:30" x14ac:dyDescent="0.3">
      <c r="A1153" t="s">
        <v>2371</v>
      </c>
      <c r="B1153" t="s">
        <v>2372</v>
      </c>
      <c r="C1153" t="s">
        <v>39</v>
      </c>
      <c r="D1153">
        <v>34</v>
      </c>
      <c r="E1153" t="s">
        <v>63</v>
      </c>
      <c r="F1153" t="s">
        <v>93</v>
      </c>
      <c r="G1153" t="s">
        <v>30</v>
      </c>
      <c r="H1153" t="s">
        <v>31</v>
      </c>
      <c r="I1153" t="s">
        <v>65</v>
      </c>
      <c r="J1153" s="1">
        <v>44649</v>
      </c>
      <c r="K1153">
        <v>4</v>
      </c>
      <c r="L1153">
        <v>12122413</v>
      </c>
      <c r="M1153">
        <v>9326972</v>
      </c>
      <c r="N1153" t="s">
        <v>33</v>
      </c>
      <c r="O1153">
        <v>3.88</v>
      </c>
      <c r="P1153">
        <v>4</v>
      </c>
      <c r="Q1153">
        <v>3</v>
      </c>
      <c r="R1153">
        <v>4</v>
      </c>
      <c r="S1153">
        <v>3</v>
      </c>
      <c r="T1153" t="s">
        <v>33</v>
      </c>
      <c r="U1153" t="s">
        <v>34</v>
      </c>
      <c r="V1153" t="s">
        <v>59</v>
      </c>
      <c r="W1153" t="s">
        <v>33</v>
      </c>
      <c r="X1153" t="s">
        <v>52</v>
      </c>
      <c r="Z1153" t="str">
        <f>IF(Table1[[#This Row],[Age]]&lt;30,"20-29",IF(Table1[[#This Row],[Age]]&lt;40,"30-39",IF(Table1[[#This Row],[Age]]&lt;50,"40-49","50+")))</f>
        <v>30-39</v>
      </c>
      <c r="AA1153" t="str">
        <f>IF(Table1[[#This Row],[Salary]]&lt;20000000,"low",IF(Table1[[#This Row],[Salary]]&lt;40000000,"medium","high"))</f>
        <v>low</v>
      </c>
      <c r="AB1153">
        <f>YEAR(Table1[[#This Row],[Hire Date]])</f>
        <v>2022</v>
      </c>
      <c r="AC1153" t="str">
        <f>TEXT(Table1[[#This Row],[Hire Date]],"mmmm")</f>
        <v>مارس</v>
      </c>
      <c r="AD1153" t="str">
        <f>IF(Table1[[#This Row],[Resigned]]="yes","former","active")</f>
        <v>active</v>
      </c>
    </row>
    <row r="1154" spans="1:30" x14ac:dyDescent="0.3">
      <c r="A1154" t="s">
        <v>2373</v>
      </c>
      <c r="B1154" t="s">
        <v>2374</v>
      </c>
      <c r="C1154" t="s">
        <v>39</v>
      </c>
      <c r="D1154">
        <v>23</v>
      </c>
      <c r="E1154" t="s">
        <v>63</v>
      </c>
      <c r="F1154" t="s">
        <v>64</v>
      </c>
      <c r="G1154" t="s">
        <v>30</v>
      </c>
      <c r="H1154" t="s">
        <v>42</v>
      </c>
      <c r="I1154" t="s">
        <v>65</v>
      </c>
      <c r="J1154" s="1">
        <v>45671</v>
      </c>
      <c r="K1154">
        <v>1</v>
      </c>
      <c r="L1154">
        <v>27514179</v>
      </c>
      <c r="M1154">
        <v>2353290</v>
      </c>
      <c r="N1154" t="s">
        <v>33</v>
      </c>
      <c r="O1154">
        <v>3.04</v>
      </c>
      <c r="P1154">
        <v>34</v>
      </c>
      <c r="Q1154">
        <v>4</v>
      </c>
      <c r="R1154">
        <v>1</v>
      </c>
      <c r="S1154">
        <v>9</v>
      </c>
      <c r="T1154" t="s">
        <v>34</v>
      </c>
      <c r="U1154" t="s">
        <v>34</v>
      </c>
      <c r="V1154" t="s">
        <v>35</v>
      </c>
      <c r="W1154" t="s">
        <v>34</v>
      </c>
      <c r="X1154" t="s">
        <v>45</v>
      </c>
      <c r="Z1154" t="str">
        <f>IF(Table1[[#This Row],[Age]]&lt;30,"20-29",IF(Table1[[#This Row],[Age]]&lt;40,"30-39",IF(Table1[[#This Row],[Age]]&lt;50,"40-49","50+")))</f>
        <v>20-29</v>
      </c>
      <c r="AA1154" t="str">
        <f>IF(Table1[[#This Row],[Salary]]&lt;20000000,"low",IF(Table1[[#This Row],[Salary]]&lt;40000000,"medium","high"))</f>
        <v>medium</v>
      </c>
      <c r="AB1154">
        <f>YEAR(Table1[[#This Row],[Hire Date]])</f>
        <v>2025</v>
      </c>
      <c r="AC1154" t="str">
        <f>TEXT(Table1[[#This Row],[Hire Date]],"mmmm")</f>
        <v>ژانويه</v>
      </c>
      <c r="AD1154" t="str">
        <f>IF(Table1[[#This Row],[Resigned]]="yes","former","active")</f>
        <v>active</v>
      </c>
    </row>
    <row r="1155" spans="1:30" x14ac:dyDescent="0.3">
      <c r="A1155" t="s">
        <v>2375</v>
      </c>
      <c r="B1155" t="s">
        <v>2376</v>
      </c>
      <c r="C1155" t="s">
        <v>39</v>
      </c>
      <c r="D1155">
        <v>33</v>
      </c>
      <c r="E1155" t="s">
        <v>28</v>
      </c>
      <c r="F1155" t="s">
        <v>29</v>
      </c>
      <c r="G1155" t="s">
        <v>49</v>
      </c>
      <c r="H1155" t="s">
        <v>31</v>
      </c>
      <c r="I1155" t="s">
        <v>50</v>
      </c>
      <c r="J1155" s="1">
        <v>45705</v>
      </c>
      <c r="K1155">
        <v>1</v>
      </c>
      <c r="L1155">
        <v>47526190</v>
      </c>
      <c r="M1155">
        <v>9434080</v>
      </c>
      <c r="N1155" t="s">
        <v>34</v>
      </c>
      <c r="O1155">
        <v>4.55</v>
      </c>
      <c r="P1155">
        <v>18</v>
      </c>
      <c r="Q1155">
        <v>4</v>
      </c>
      <c r="R1155">
        <v>4</v>
      </c>
      <c r="S1155">
        <v>6</v>
      </c>
      <c r="T1155" t="s">
        <v>34</v>
      </c>
      <c r="U1155" t="s">
        <v>34</v>
      </c>
      <c r="V1155" t="s">
        <v>51</v>
      </c>
      <c r="W1155" t="s">
        <v>34</v>
      </c>
      <c r="X1155" t="s">
        <v>52</v>
      </c>
      <c r="Z1155" t="str">
        <f>IF(Table1[[#This Row],[Age]]&lt;30,"20-29",IF(Table1[[#This Row],[Age]]&lt;40,"30-39",IF(Table1[[#This Row],[Age]]&lt;50,"40-49","50+")))</f>
        <v>30-39</v>
      </c>
      <c r="AA1155" t="str">
        <f>IF(Table1[[#This Row],[Salary]]&lt;20000000,"low",IF(Table1[[#This Row],[Salary]]&lt;40000000,"medium","high"))</f>
        <v>high</v>
      </c>
      <c r="AB1155">
        <f>YEAR(Table1[[#This Row],[Hire Date]])</f>
        <v>2025</v>
      </c>
      <c r="AC1155" t="str">
        <f>TEXT(Table1[[#This Row],[Hire Date]],"mmmm")</f>
        <v>فوريه</v>
      </c>
      <c r="AD1155" t="str">
        <f>IF(Table1[[#This Row],[Resigned]]="yes","former","active")</f>
        <v>active</v>
      </c>
    </row>
    <row r="1156" spans="1:30" x14ac:dyDescent="0.3">
      <c r="A1156" t="s">
        <v>2377</v>
      </c>
      <c r="B1156" t="s">
        <v>2378</v>
      </c>
      <c r="C1156" t="s">
        <v>27</v>
      </c>
      <c r="D1156">
        <v>28</v>
      </c>
      <c r="E1156" t="s">
        <v>110</v>
      </c>
      <c r="F1156" t="s">
        <v>111</v>
      </c>
      <c r="G1156" t="s">
        <v>49</v>
      </c>
      <c r="H1156" t="s">
        <v>31</v>
      </c>
      <c r="I1156" t="s">
        <v>81</v>
      </c>
      <c r="J1156" s="1">
        <v>44349</v>
      </c>
      <c r="K1156">
        <v>5</v>
      </c>
      <c r="L1156">
        <v>46212468</v>
      </c>
      <c r="M1156">
        <v>3535846</v>
      </c>
      <c r="N1156" t="s">
        <v>34</v>
      </c>
      <c r="O1156">
        <v>3.03</v>
      </c>
      <c r="P1156">
        <v>53</v>
      </c>
      <c r="Q1156">
        <v>5</v>
      </c>
      <c r="R1156">
        <v>5</v>
      </c>
      <c r="S1156">
        <v>3</v>
      </c>
      <c r="T1156" t="s">
        <v>33</v>
      </c>
      <c r="U1156" t="s">
        <v>34</v>
      </c>
      <c r="V1156" t="s">
        <v>44</v>
      </c>
      <c r="W1156" t="s">
        <v>34</v>
      </c>
      <c r="X1156" t="s">
        <v>36</v>
      </c>
      <c r="Z1156" t="str">
        <f>IF(Table1[[#This Row],[Age]]&lt;30,"20-29",IF(Table1[[#This Row],[Age]]&lt;40,"30-39",IF(Table1[[#This Row],[Age]]&lt;50,"40-49","50+")))</f>
        <v>20-29</v>
      </c>
      <c r="AA1156" t="str">
        <f>IF(Table1[[#This Row],[Salary]]&lt;20000000,"low",IF(Table1[[#This Row],[Salary]]&lt;40000000,"medium","high"))</f>
        <v>high</v>
      </c>
      <c r="AB1156">
        <f>YEAR(Table1[[#This Row],[Hire Date]])</f>
        <v>2021</v>
      </c>
      <c r="AC1156" t="str">
        <f>TEXT(Table1[[#This Row],[Hire Date]],"mmmm")</f>
        <v>ژوئن</v>
      </c>
      <c r="AD1156" t="str">
        <f>IF(Table1[[#This Row],[Resigned]]="yes","former","active")</f>
        <v>active</v>
      </c>
    </row>
    <row r="1157" spans="1:30" x14ac:dyDescent="0.3">
      <c r="A1157" t="s">
        <v>2379</v>
      </c>
      <c r="B1157" t="s">
        <v>2380</v>
      </c>
      <c r="C1157" t="s">
        <v>27</v>
      </c>
      <c r="D1157">
        <v>50</v>
      </c>
      <c r="E1157" t="s">
        <v>63</v>
      </c>
      <c r="F1157" t="s">
        <v>93</v>
      </c>
      <c r="G1157" t="s">
        <v>49</v>
      </c>
      <c r="H1157" t="s">
        <v>42</v>
      </c>
      <c r="I1157" t="s">
        <v>65</v>
      </c>
      <c r="J1157" s="1">
        <v>42599</v>
      </c>
      <c r="K1157">
        <v>10</v>
      </c>
      <c r="L1157">
        <v>23281548</v>
      </c>
      <c r="M1157">
        <v>4623924</v>
      </c>
      <c r="N1157" t="s">
        <v>34</v>
      </c>
      <c r="O1157">
        <v>3.43</v>
      </c>
      <c r="P1157">
        <v>64</v>
      </c>
      <c r="Q1157">
        <v>2</v>
      </c>
      <c r="R1157">
        <v>2</v>
      </c>
      <c r="S1157">
        <v>16</v>
      </c>
      <c r="T1157" t="s">
        <v>33</v>
      </c>
      <c r="U1157" t="s">
        <v>33</v>
      </c>
      <c r="V1157" t="s">
        <v>35</v>
      </c>
      <c r="W1157" t="s">
        <v>33</v>
      </c>
      <c r="X1157" t="s">
        <v>52</v>
      </c>
      <c r="Y1157" t="s">
        <v>60</v>
      </c>
      <c r="Z1157" t="str">
        <f>IF(Table1[[#This Row],[Age]]&lt;30,"20-29",IF(Table1[[#This Row],[Age]]&lt;40,"30-39",IF(Table1[[#This Row],[Age]]&lt;50,"40-49","50+")))</f>
        <v>50+</v>
      </c>
      <c r="AA1157" t="str">
        <f>IF(Table1[[#This Row],[Salary]]&lt;20000000,"low",IF(Table1[[#This Row],[Salary]]&lt;40000000,"medium","high"))</f>
        <v>medium</v>
      </c>
      <c r="AB1157">
        <f>YEAR(Table1[[#This Row],[Hire Date]])</f>
        <v>2016</v>
      </c>
      <c r="AC1157" t="str">
        <f>TEXT(Table1[[#This Row],[Hire Date]],"mmmm")</f>
        <v>اوت</v>
      </c>
      <c r="AD1157" t="str">
        <f>IF(Table1[[#This Row],[Resigned]]="yes","former","active")</f>
        <v>former</v>
      </c>
    </row>
    <row r="1158" spans="1:30" x14ac:dyDescent="0.3">
      <c r="A1158" t="s">
        <v>2381</v>
      </c>
      <c r="B1158" t="s">
        <v>2382</v>
      </c>
      <c r="C1158" t="s">
        <v>27</v>
      </c>
      <c r="D1158">
        <v>43</v>
      </c>
      <c r="E1158" t="s">
        <v>56</v>
      </c>
      <c r="F1158" t="s">
        <v>84</v>
      </c>
      <c r="G1158" t="s">
        <v>30</v>
      </c>
      <c r="H1158" t="s">
        <v>31</v>
      </c>
      <c r="I1158" t="s">
        <v>43</v>
      </c>
      <c r="J1158" s="1">
        <v>44189</v>
      </c>
      <c r="K1158">
        <v>6</v>
      </c>
      <c r="L1158">
        <v>30014782</v>
      </c>
      <c r="M1158">
        <v>3357551</v>
      </c>
      <c r="N1158" t="s">
        <v>34</v>
      </c>
      <c r="O1158">
        <v>4.01</v>
      </c>
      <c r="P1158">
        <v>25</v>
      </c>
      <c r="Q1158">
        <v>5</v>
      </c>
      <c r="R1158">
        <v>1</v>
      </c>
      <c r="S1158">
        <v>11</v>
      </c>
      <c r="T1158" t="s">
        <v>33</v>
      </c>
      <c r="U1158" t="s">
        <v>34</v>
      </c>
      <c r="V1158" t="s">
        <v>35</v>
      </c>
      <c r="W1158" t="s">
        <v>34</v>
      </c>
      <c r="X1158" t="s">
        <v>36</v>
      </c>
      <c r="Z1158" t="str">
        <f>IF(Table1[[#This Row],[Age]]&lt;30,"20-29",IF(Table1[[#This Row],[Age]]&lt;40,"30-39",IF(Table1[[#This Row],[Age]]&lt;50,"40-49","50+")))</f>
        <v>40-49</v>
      </c>
      <c r="AA1158" t="str">
        <f>IF(Table1[[#This Row],[Salary]]&lt;20000000,"low",IF(Table1[[#This Row],[Salary]]&lt;40000000,"medium","high"))</f>
        <v>medium</v>
      </c>
      <c r="AB1158">
        <f>YEAR(Table1[[#This Row],[Hire Date]])</f>
        <v>2020</v>
      </c>
      <c r="AC1158" t="str">
        <f>TEXT(Table1[[#This Row],[Hire Date]],"mmmm")</f>
        <v>دسامبر</v>
      </c>
      <c r="AD1158" t="str">
        <f>IF(Table1[[#This Row],[Resigned]]="yes","former","active")</f>
        <v>active</v>
      </c>
    </row>
    <row r="1159" spans="1:30" x14ac:dyDescent="0.3">
      <c r="A1159" t="s">
        <v>2383</v>
      </c>
      <c r="B1159" t="s">
        <v>2384</v>
      </c>
      <c r="C1159" t="s">
        <v>27</v>
      </c>
      <c r="D1159">
        <v>54</v>
      </c>
      <c r="E1159" t="s">
        <v>63</v>
      </c>
      <c r="F1159" t="s">
        <v>93</v>
      </c>
      <c r="G1159" t="s">
        <v>49</v>
      </c>
      <c r="H1159" t="s">
        <v>31</v>
      </c>
      <c r="I1159" t="s">
        <v>32</v>
      </c>
      <c r="J1159" s="1">
        <v>45061</v>
      </c>
      <c r="K1159">
        <v>3</v>
      </c>
      <c r="L1159">
        <v>29395862</v>
      </c>
      <c r="M1159">
        <v>9883033</v>
      </c>
      <c r="N1159" t="s">
        <v>33</v>
      </c>
      <c r="O1159">
        <v>4.34</v>
      </c>
      <c r="P1159">
        <v>36</v>
      </c>
      <c r="Q1159">
        <v>1</v>
      </c>
      <c r="R1159">
        <v>5</v>
      </c>
      <c r="S1159">
        <v>8</v>
      </c>
      <c r="T1159" t="s">
        <v>33</v>
      </c>
      <c r="U1159" t="s">
        <v>34</v>
      </c>
      <c r="V1159" t="s">
        <v>59</v>
      </c>
      <c r="W1159" t="s">
        <v>34</v>
      </c>
      <c r="X1159" t="s">
        <v>52</v>
      </c>
      <c r="Z1159" t="str">
        <f>IF(Table1[[#This Row],[Age]]&lt;30,"20-29",IF(Table1[[#This Row],[Age]]&lt;40,"30-39",IF(Table1[[#This Row],[Age]]&lt;50,"40-49","50+")))</f>
        <v>50+</v>
      </c>
      <c r="AA1159" t="str">
        <f>IF(Table1[[#This Row],[Salary]]&lt;20000000,"low",IF(Table1[[#This Row],[Salary]]&lt;40000000,"medium","high"))</f>
        <v>medium</v>
      </c>
      <c r="AB1159">
        <f>YEAR(Table1[[#This Row],[Hire Date]])</f>
        <v>2023</v>
      </c>
      <c r="AC1159" t="str">
        <f>TEXT(Table1[[#This Row],[Hire Date]],"mmmm")</f>
        <v>مه</v>
      </c>
      <c r="AD1159" t="str">
        <f>IF(Table1[[#This Row],[Resigned]]="yes","former","active")</f>
        <v>active</v>
      </c>
    </row>
    <row r="1160" spans="1:30" x14ac:dyDescent="0.3">
      <c r="A1160" t="s">
        <v>2385</v>
      </c>
      <c r="B1160" t="s">
        <v>2386</v>
      </c>
      <c r="C1160" t="s">
        <v>39</v>
      </c>
      <c r="D1160">
        <v>30</v>
      </c>
      <c r="E1160" t="s">
        <v>110</v>
      </c>
      <c r="F1160" t="s">
        <v>120</v>
      </c>
      <c r="G1160" t="s">
        <v>49</v>
      </c>
      <c r="H1160" t="s">
        <v>42</v>
      </c>
      <c r="I1160" t="s">
        <v>50</v>
      </c>
      <c r="J1160" s="1">
        <v>42795</v>
      </c>
      <c r="K1160">
        <v>9</v>
      </c>
      <c r="L1160">
        <v>19656228</v>
      </c>
      <c r="M1160">
        <v>1871063</v>
      </c>
      <c r="N1160" t="s">
        <v>33</v>
      </c>
      <c r="O1160">
        <v>4.18</v>
      </c>
      <c r="P1160">
        <v>41</v>
      </c>
      <c r="Q1160">
        <v>3</v>
      </c>
      <c r="R1160">
        <v>4</v>
      </c>
      <c r="S1160">
        <v>0</v>
      </c>
      <c r="T1160" t="s">
        <v>34</v>
      </c>
      <c r="U1160" t="s">
        <v>34</v>
      </c>
      <c r="V1160" t="s">
        <v>51</v>
      </c>
      <c r="W1160" t="s">
        <v>34</v>
      </c>
      <c r="X1160" t="s">
        <v>52</v>
      </c>
      <c r="Z1160" t="str">
        <f>IF(Table1[[#This Row],[Age]]&lt;30,"20-29",IF(Table1[[#This Row],[Age]]&lt;40,"30-39",IF(Table1[[#This Row],[Age]]&lt;50,"40-49","50+")))</f>
        <v>30-39</v>
      </c>
      <c r="AA1160" t="str">
        <f>IF(Table1[[#This Row],[Salary]]&lt;20000000,"low",IF(Table1[[#This Row],[Salary]]&lt;40000000,"medium","high"))</f>
        <v>low</v>
      </c>
      <c r="AB1160">
        <f>YEAR(Table1[[#This Row],[Hire Date]])</f>
        <v>2017</v>
      </c>
      <c r="AC1160" t="str">
        <f>TEXT(Table1[[#This Row],[Hire Date]],"mmmm")</f>
        <v>مارس</v>
      </c>
      <c r="AD1160" t="str">
        <f>IF(Table1[[#This Row],[Resigned]]="yes","former","active")</f>
        <v>active</v>
      </c>
    </row>
    <row r="1161" spans="1:30" x14ac:dyDescent="0.3">
      <c r="A1161" t="s">
        <v>2387</v>
      </c>
      <c r="B1161" t="s">
        <v>2388</v>
      </c>
      <c r="C1161" t="s">
        <v>39</v>
      </c>
      <c r="D1161">
        <v>51</v>
      </c>
      <c r="E1161" t="s">
        <v>73</v>
      </c>
      <c r="F1161" t="s">
        <v>74</v>
      </c>
      <c r="G1161" t="s">
        <v>30</v>
      </c>
      <c r="H1161" t="s">
        <v>31</v>
      </c>
      <c r="I1161" t="s">
        <v>81</v>
      </c>
      <c r="J1161" s="1">
        <v>43090</v>
      </c>
      <c r="K1161">
        <v>9</v>
      </c>
      <c r="L1161">
        <v>44171696</v>
      </c>
      <c r="M1161">
        <v>5814438</v>
      </c>
      <c r="N1161" t="s">
        <v>33</v>
      </c>
      <c r="O1161">
        <v>4.91</v>
      </c>
      <c r="P1161">
        <v>60</v>
      </c>
      <c r="Q1161">
        <v>3</v>
      </c>
      <c r="R1161">
        <v>4</v>
      </c>
      <c r="S1161">
        <v>11</v>
      </c>
      <c r="T1161" t="s">
        <v>34</v>
      </c>
      <c r="U1161" t="s">
        <v>34</v>
      </c>
      <c r="V1161" t="s">
        <v>51</v>
      </c>
      <c r="W1161" t="s">
        <v>33</v>
      </c>
      <c r="X1161" t="s">
        <v>52</v>
      </c>
      <c r="Z1161" t="str">
        <f>IF(Table1[[#This Row],[Age]]&lt;30,"20-29",IF(Table1[[#This Row],[Age]]&lt;40,"30-39",IF(Table1[[#This Row],[Age]]&lt;50,"40-49","50+")))</f>
        <v>50+</v>
      </c>
      <c r="AA1161" t="str">
        <f>IF(Table1[[#This Row],[Salary]]&lt;20000000,"low",IF(Table1[[#This Row],[Salary]]&lt;40000000,"medium","high"))</f>
        <v>high</v>
      </c>
      <c r="AB1161">
        <f>YEAR(Table1[[#This Row],[Hire Date]])</f>
        <v>2017</v>
      </c>
      <c r="AC1161" t="str">
        <f>TEXT(Table1[[#This Row],[Hire Date]],"mmmm")</f>
        <v>دسامبر</v>
      </c>
      <c r="AD1161" t="str">
        <f>IF(Table1[[#This Row],[Resigned]]="yes","former","active")</f>
        <v>active</v>
      </c>
    </row>
    <row r="1162" spans="1:30" x14ac:dyDescent="0.3">
      <c r="A1162" t="s">
        <v>2389</v>
      </c>
      <c r="B1162" t="s">
        <v>2390</v>
      </c>
      <c r="C1162" t="s">
        <v>27</v>
      </c>
      <c r="D1162">
        <v>31</v>
      </c>
      <c r="E1162" t="s">
        <v>28</v>
      </c>
      <c r="F1162" t="s">
        <v>29</v>
      </c>
      <c r="G1162" t="s">
        <v>58</v>
      </c>
      <c r="H1162" t="s">
        <v>31</v>
      </c>
      <c r="I1162" t="s">
        <v>43</v>
      </c>
      <c r="J1162" s="1">
        <v>42439</v>
      </c>
      <c r="K1162">
        <v>10</v>
      </c>
      <c r="L1162">
        <v>41057841</v>
      </c>
      <c r="M1162">
        <v>6000333</v>
      </c>
      <c r="N1162" t="s">
        <v>33</v>
      </c>
      <c r="O1162">
        <v>2.91</v>
      </c>
      <c r="P1162">
        <v>61</v>
      </c>
      <c r="Q1162">
        <v>4</v>
      </c>
      <c r="R1162">
        <v>4</v>
      </c>
      <c r="S1162">
        <v>17</v>
      </c>
      <c r="T1162" t="s">
        <v>34</v>
      </c>
      <c r="U1162" t="s">
        <v>34</v>
      </c>
      <c r="V1162" t="s">
        <v>59</v>
      </c>
      <c r="W1162" t="s">
        <v>33</v>
      </c>
      <c r="X1162" t="s">
        <v>52</v>
      </c>
      <c r="Z1162" t="str">
        <f>IF(Table1[[#This Row],[Age]]&lt;30,"20-29",IF(Table1[[#This Row],[Age]]&lt;40,"30-39",IF(Table1[[#This Row],[Age]]&lt;50,"40-49","50+")))</f>
        <v>30-39</v>
      </c>
      <c r="AA1162" t="str">
        <f>IF(Table1[[#This Row],[Salary]]&lt;20000000,"low",IF(Table1[[#This Row],[Salary]]&lt;40000000,"medium","high"))</f>
        <v>high</v>
      </c>
      <c r="AB1162">
        <f>YEAR(Table1[[#This Row],[Hire Date]])</f>
        <v>2016</v>
      </c>
      <c r="AC1162" t="str">
        <f>TEXT(Table1[[#This Row],[Hire Date]],"mmmm")</f>
        <v>مارس</v>
      </c>
      <c r="AD1162" t="str">
        <f>IF(Table1[[#This Row],[Resigned]]="yes","former","active")</f>
        <v>active</v>
      </c>
    </row>
    <row r="1163" spans="1:30" x14ac:dyDescent="0.3">
      <c r="A1163" t="s">
        <v>2391</v>
      </c>
      <c r="B1163" t="s">
        <v>2392</v>
      </c>
      <c r="C1163" t="s">
        <v>39</v>
      </c>
      <c r="D1163">
        <v>39</v>
      </c>
      <c r="E1163" t="s">
        <v>63</v>
      </c>
      <c r="F1163" t="s">
        <v>93</v>
      </c>
      <c r="G1163" t="s">
        <v>49</v>
      </c>
      <c r="H1163" t="s">
        <v>42</v>
      </c>
      <c r="I1163" t="s">
        <v>81</v>
      </c>
      <c r="J1163" s="1">
        <v>45211</v>
      </c>
      <c r="K1163">
        <v>3</v>
      </c>
      <c r="L1163">
        <v>52045589</v>
      </c>
      <c r="M1163">
        <v>4191959</v>
      </c>
      <c r="N1163" t="s">
        <v>34</v>
      </c>
      <c r="O1163">
        <v>4.63</v>
      </c>
      <c r="P1163">
        <v>14</v>
      </c>
      <c r="Q1163">
        <v>5</v>
      </c>
      <c r="R1163">
        <v>5</v>
      </c>
      <c r="S1163">
        <v>6</v>
      </c>
      <c r="T1163" t="s">
        <v>33</v>
      </c>
      <c r="U1163" t="s">
        <v>34</v>
      </c>
      <c r="V1163" t="s">
        <v>51</v>
      </c>
      <c r="W1163" t="s">
        <v>34</v>
      </c>
      <c r="X1163" t="s">
        <v>45</v>
      </c>
      <c r="Z1163" t="str">
        <f>IF(Table1[[#This Row],[Age]]&lt;30,"20-29",IF(Table1[[#This Row],[Age]]&lt;40,"30-39",IF(Table1[[#This Row],[Age]]&lt;50,"40-49","50+")))</f>
        <v>30-39</v>
      </c>
      <c r="AA1163" t="str">
        <f>IF(Table1[[#This Row],[Salary]]&lt;20000000,"low",IF(Table1[[#This Row],[Salary]]&lt;40000000,"medium","high"))</f>
        <v>high</v>
      </c>
      <c r="AB1163">
        <f>YEAR(Table1[[#This Row],[Hire Date]])</f>
        <v>2023</v>
      </c>
      <c r="AC1163" t="str">
        <f>TEXT(Table1[[#This Row],[Hire Date]],"mmmm")</f>
        <v>اُكتبر</v>
      </c>
      <c r="AD1163" t="str">
        <f>IF(Table1[[#This Row],[Resigned]]="yes","former","active")</f>
        <v>active</v>
      </c>
    </row>
    <row r="1164" spans="1:30" x14ac:dyDescent="0.3">
      <c r="A1164" t="s">
        <v>2393</v>
      </c>
      <c r="B1164" t="s">
        <v>2394</v>
      </c>
      <c r="C1164" t="s">
        <v>39</v>
      </c>
      <c r="D1164">
        <v>30</v>
      </c>
      <c r="E1164" t="s">
        <v>28</v>
      </c>
      <c r="F1164" t="s">
        <v>80</v>
      </c>
      <c r="G1164" t="s">
        <v>30</v>
      </c>
      <c r="H1164" t="s">
        <v>42</v>
      </c>
      <c r="I1164" t="s">
        <v>32</v>
      </c>
      <c r="J1164" s="1">
        <v>43999</v>
      </c>
      <c r="K1164">
        <v>6</v>
      </c>
      <c r="L1164">
        <v>56231482</v>
      </c>
      <c r="M1164">
        <v>4677041</v>
      </c>
      <c r="N1164" t="s">
        <v>34</v>
      </c>
      <c r="O1164">
        <v>3.49</v>
      </c>
      <c r="P1164">
        <v>13</v>
      </c>
      <c r="Q1164">
        <v>1</v>
      </c>
      <c r="R1164">
        <v>4</v>
      </c>
      <c r="S1164">
        <v>12</v>
      </c>
      <c r="T1164" t="s">
        <v>33</v>
      </c>
      <c r="U1164" t="s">
        <v>34</v>
      </c>
      <c r="V1164" t="s">
        <v>70</v>
      </c>
      <c r="W1164" t="s">
        <v>34</v>
      </c>
      <c r="X1164" t="s">
        <v>45</v>
      </c>
      <c r="Z1164" t="str">
        <f>IF(Table1[[#This Row],[Age]]&lt;30,"20-29",IF(Table1[[#This Row],[Age]]&lt;40,"30-39",IF(Table1[[#This Row],[Age]]&lt;50,"40-49","50+")))</f>
        <v>30-39</v>
      </c>
      <c r="AA1164" t="str">
        <f>IF(Table1[[#This Row],[Salary]]&lt;20000000,"low",IF(Table1[[#This Row],[Salary]]&lt;40000000,"medium","high"))</f>
        <v>high</v>
      </c>
      <c r="AB1164">
        <f>YEAR(Table1[[#This Row],[Hire Date]])</f>
        <v>2020</v>
      </c>
      <c r="AC1164" t="str">
        <f>TEXT(Table1[[#This Row],[Hire Date]],"mmmm")</f>
        <v>ژوئن</v>
      </c>
      <c r="AD1164" t="str">
        <f>IF(Table1[[#This Row],[Resigned]]="yes","former","active")</f>
        <v>active</v>
      </c>
    </row>
    <row r="1165" spans="1:30" x14ac:dyDescent="0.3">
      <c r="A1165" t="s">
        <v>2395</v>
      </c>
      <c r="B1165" t="s">
        <v>2396</v>
      </c>
      <c r="C1165" t="s">
        <v>39</v>
      </c>
      <c r="D1165">
        <v>28</v>
      </c>
      <c r="E1165" t="s">
        <v>40</v>
      </c>
      <c r="F1165" t="s">
        <v>48</v>
      </c>
      <c r="G1165" t="s">
        <v>30</v>
      </c>
      <c r="H1165" t="s">
        <v>42</v>
      </c>
      <c r="I1165" t="s">
        <v>81</v>
      </c>
      <c r="J1165" s="1">
        <v>45850</v>
      </c>
      <c r="K1165">
        <v>1</v>
      </c>
      <c r="L1165">
        <v>44261376</v>
      </c>
      <c r="M1165">
        <v>7558175</v>
      </c>
      <c r="N1165" t="s">
        <v>33</v>
      </c>
      <c r="O1165">
        <v>3.35</v>
      </c>
      <c r="P1165">
        <v>74</v>
      </c>
      <c r="Q1165">
        <v>3</v>
      </c>
      <c r="R1165">
        <v>5</v>
      </c>
      <c r="S1165">
        <v>14</v>
      </c>
      <c r="T1165" t="s">
        <v>33</v>
      </c>
      <c r="U1165" t="s">
        <v>34</v>
      </c>
      <c r="V1165" t="s">
        <v>35</v>
      </c>
      <c r="W1165" t="s">
        <v>33</v>
      </c>
      <c r="X1165" t="s">
        <v>52</v>
      </c>
      <c r="Z1165" t="str">
        <f>IF(Table1[[#This Row],[Age]]&lt;30,"20-29",IF(Table1[[#This Row],[Age]]&lt;40,"30-39",IF(Table1[[#This Row],[Age]]&lt;50,"40-49","50+")))</f>
        <v>20-29</v>
      </c>
      <c r="AA1165" t="str">
        <f>IF(Table1[[#This Row],[Salary]]&lt;20000000,"low",IF(Table1[[#This Row],[Salary]]&lt;40000000,"medium","high"))</f>
        <v>high</v>
      </c>
      <c r="AB1165">
        <f>YEAR(Table1[[#This Row],[Hire Date]])</f>
        <v>2025</v>
      </c>
      <c r="AC1165" t="str">
        <f>TEXT(Table1[[#This Row],[Hire Date]],"mmmm")</f>
        <v>ژوئيه</v>
      </c>
      <c r="AD1165" t="str">
        <f>IF(Table1[[#This Row],[Resigned]]="yes","former","active")</f>
        <v>active</v>
      </c>
    </row>
    <row r="1166" spans="1:30" x14ac:dyDescent="0.3">
      <c r="A1166" t="s">
        <v>2397</v>
      </c>
      <c r="B1166" t="s">
        <v>2398</v>
      </c>
      <c r="C1166" t="s">
        <v>39</v>
      </c>
      <c r="D1166">
        <v>32</v>
      </c>
      <c r="E1166" t="s">
        <v>40</v>
      </c>
      <c r="F1166" t="s">
        <v>41</v>
      </c>
      <c r="G1166" t="s">
        <v>49</v>
      </c>
      <c r="H1166" t="s">
        <v>31</v>
      </c>
      <c r="I1166" t="s">
        <v>50</v>
      </c>
      <c r="J1166" s="1">
        <v>43677</v>
      </c>
      <c r="K1166">
        <v>7</v>
      </c>
      <c r="L1166">
        <v>38333240</v>
      </c>
      <c r="M1166">
        <v>5943288</v>
      </c>
      <c r="N1166" t="s">
        <v>34</v>
      </c>
      <c r="O1166">
        <v>4.37</v>
      </c>
      <c r="P1166">
        <v>27</v>
      </c>
      <c r="Q1166">
        <v>4</v>
      </c>
      <c r="R1166">
        <v>5</v>
      </c>
      <c r="S1166">
        <v>4</v>
      </c>
      <c r="T1166" t="s">
        <v>34</v>
      </c>
      <c r="U1166" t="s">
        <v>34</v>
      </c>
      <c r="V1166" t="s">
        <v>59</v>
      </c>
      <c r="W1166" t="s">
        <v>33</v>
      </c>
      <c r="X1166" t="s">
        <v>52</v>
      </c>
      <c r="Z1166" t="str">
        <f>IF(Table1[[#This Row],[Age]]&lt;30,"20-29",IF(Table1[[#This Row],[Age]]&lt;40,"30-39",IF(Table1[[#This Row],[Age]]&lt;50,"40-49","50+")))</f>
        <v>30-39</v>
      </c>
      <c r="AA1166" t="str">
        <f>IF(Table1[[#This Row],[Salary]]&lt;20000000,"low",IF(Table1[[#This Row],[Salary]]&lt;40000000,"medium","high"))</f>
        <v>medium</v>
      </c>
      <c r="AB1166">
        <f>YEAR(Table1[[#This Row],[Hire Date]])</f>
        <v>2019</v>
      </c>
      <c r="AC1166" t="str">
        <f>TEXT(Table1[[#This Row],[Hire Date]],"mmmm")</f>
        <v>ژوئيه</v>
      </c>
      <c r="AD1166" t="str">
        <f>IF(Table1[[#This Row],[Resigned]]="yes","former","active")</f>
        <v>active</v>
      </c>
    </row>
    <row r="1167" spans="1:30" x14ac:dyDescent="0.3">
      <c r="A1167" t="s">
        <v>2399</v>
      </c>
      <c r="B1167" t="s">
        <v>2400</v>
      </c>
      <c r="C1167" t="s">
        <v>39</v>
      </c>
      <c r="D1167">
        <v>45</v>
      </c>
      <c r="E1167" t="s">
        <v>28</v>
      </c>
      <c r="F1167" t="s">
        <v>80</v>
      </c>
      <c r="G1167" t="s">
        <v>49</v>
      </c>
      <c r="H1167" t="s">
        <v>42</v>
      </c>
      <c r="I1167" t="s">
        <v>65</v>
      </c>
      <c r="J1167" s="1">
        <v>45610</v>
      </c>
      <c r="K1167">
        <v>2</v>
      </c>
      <c r="L1167">
        <v>38007740</v>
      </c>
      <c r="M1167">
        <v>8843416</v>
      </c>
      <c r="N1167" t="s">
        <v>34</v>
      </c>
      <c r="O1167">
        <v>4.07</v>
      </c>
      <c r="P1167">
        <v>48</v>
      </c>
      <c r="Q1167">
        <v>5</v>
      </c>
      <c r="R1167">
        <v>5</v>
      </c>
      <c r="S1167">
        <v>15</v>
      </c>
      <c r="T1167" t="s">
        <v>33</v>
      </c>
      <c r="U1167" t="s">
        <v>34</v>
      </c>
      <c r="V1167" t="s">
        <v>35</v>
      </c>
      <c r="W1167" t="s">
        <v>34</v>
      </c>
      <c r="X1167" t="s">
        <v>36</v>
      </c>
      <c r="Z1167" t="str">
        <f>IF(Table1[[#This Row],[Age]]&lt;30,"20-29",IF(Table1[[#This Row],[Age]]&lt;40,"30-39",IF(Table1[[#This Row],[Age]]&lt;50,"40-49","50+")))</f>
        <v>40-49</v>
      </c>
      <c r="AA1167" t="str">
        <f>IF(Table1[[#This Row],[Salary]]&lt;20000000,"low",IF(Table1[[#This Row],[Salary]]&lt;40000000,"medium","high"))</f>
        <v>medium</v>
      </c>
      <c r="AB1167">
        <f>YEAR(Table1[[#This Row],[Hire Date]])</f>
        <v>2024</v>
      </c>
      <c r="AC1167" t="str">
        <f>TEXT(Table1[[#This Row],[Hire Date]],"mmmm")</f>
        <v>نوامبر</v>
      </c>
      <c r="AD1167" t="str">
        <f>IF(Table1[[#This Row],[Resigned]]="yes","former","active")</f>
        <v>active</v>
      </c>
    </row>
    <row r="1168" spans="1:30" x14ac:dyDescent="0.3">
      <c r="A1168" t="s">
        <v>2401</v>
      </c>
      <c r="B1168" t="s">
        <v>2402</v>
      </c>
      <c r="C1168" t="s">
        <v>27</v>
      </c>
      <c r="D1168">
        <v>54</v>
      </c>
      <c r="E1168" t="s">
        <v>40</v>
      </c>
      <c r="F1168" t="s">
        <v>48</v>
      </c>
      <c r="G1168" t="s">
        <v>30</v>
      </c>
      <c r="H1168" t="s">
        <v>31</v>
      </c>
      <c r="I1168" t="s">
        <v>65</v>
      </c>
      <c r="J1168" s="1">
        <v>43746</v>
      </c>
      <c r="K1168">
        <v>7</v>
      </c>
      <c r="L1168">
        <v>47892706</v>
      </c>
      <c r="M1168">
        <v>5946079</v>
      </c>
      <c r="N1168" t="s">
        <v>33</v>
      </c>
      <c r="O1168">
        <v>4.6399999999999997</v>
      </c>
      <c r="P1168">
        <v>2</v>
      </c>
      <c r="Q1168">
        <v>1</v>
      </c>
      <c r="R1168">
        <v>2</v>
      </c>
      <c r="S1168">
        <v>1</v>
      </c>
      <c r="T1168" t="s">
        <v>33</v>
      </c>
      <c r="U1168" t="s">
        <v>34</v>
      </c>
      <c r="V1168" t="s">
        <v>59</v>
      </c>
      <c r="W1168" t="s">
        <v>33</v>
      </c>
      <c r="X1168" t="s">
        <v>52</v>
      </c>
      <c r="Z1168" t="str">
        <f>IF(Table1[[#This Row],[Age]]&lt;30,"20-29",IF(Table1[[#This Row],[Age]]&lt;40,"30-39",IF(Table1[[#This Row],[Age]]&lt;50,"40-49","50+")))</f>
        <v>50+</v>
      </c>
      <c r="AA1168" t="str">
        <f>IF(Table1[[#This Row],[Salary]]&lt;20000000,"low",IF(Table1[[#This Row],[Salary]]&lt;40000000,"medium","high"))</f>
        <v>high</v>
      </c>
      <c r="AB1168">
        <f>YEAR(Table1[[#This Row],[Hire Date]])</f>
        <v>2019</v>
      </c>
      <c r="AC1168" t="str">
        <f>TEXT(Table1[[#This Row],[Hire Date]],"mmmm")</f>
        <v>اُكتبر</v>
      </c>
      <c r="AD1168" t="str">
        <f>IF(Table1[[#This Row],[Resigned]]="yes","former","active")</f>
        <v>active</v>
      </c>
    </row>
    <row r="1169" spans="1:30" x14ac:dyDescent="0.3">
      <c r="A1169" t="s">
        <v>2403</v>
      </c>
      <c r="B1169" t="s">
        <v>2404</v>
      </c>
      <c r="C1169" t="s">
        <v>27</v>
      </c>
      <c r="D1169">
        <v>31</v>
      </c>
      <c r="E1169" t="s">
        <v>28</v>
      </c>
      <c r="F1169" t="s">
        <v>80</v>
      </c>
      <c r="G1169" t="s">
        <v>49</v>
      </c>
      <c r="H1169" t="s">
        <v>42</v>
      </c>
      <c r="I1169" t="s">
        <v>50</v>
      </c>
      <c r="J1169" s="1">
        <v>45849</v>
      </c>
      <c r="K1169">
        <v>1</v>
      </c>
      <c r="L1169">
        <v>12474628</v>
      </c>
      <c r="M1169">
        <v>6939297</v>
      </c>
      <c r="N1169" t="s">
        <v>34</v>
      </c>
      <c r="O1169">
        <v>2.52</v>
      </c>
      <c r="P1169">
        <v>34</v>
      </c>
      <c r="Q1169">
        <v>1</v>
      </c>
      <c r="R1169">
        <v>2</v>
      </c>
      <c r="S1169">
        <v>6</v>
      </c>
      <c r="T1169" t="s">
        <v>33</v>
      </c>
      <c r="U1169" t="s">
        <v>33</v>
      </c>
      <c r="V1169" t="s">
        <v>51</v>
      </c>
      <c r="W1169" t="s">
        <v>33</v>
      </c>
      <c r="X1169" t="s">
        <v>36</v>
      </c>
      <c r="Y1169" t="s">
        <v>53</v>
      </c>
      <c r="Z1169" t="str">
        <f>IF(Table1[[#This Row],[Age]]&lt;30,"20-29",IF(Table1[[#This Row],[Age]]&lt;40,"30-39",IF(Table1[[#This Row],[Age]]&lt;50,"40-49","50+")))</f>
        <v>30-39</v>
      </c>
      <c r="AA1169" t="str">
        <f>IF(Table1[[#This Row],[Salary]]&lt;20000000,"low",IF(Table1[[#This Row],[Salary]]&lt;40000000,"medium","high"))</f>
        <v>low</v>
      </c>
      <c r="AB1169">
        <f>YEAR(Table1[[#This Row],[Hire Date]])</f>
        <v>2025</v>
      </c>
      <c r="AC1169" t="str">
        <f>TEXT(Table1[[#This Row],[Hire Date]],"mmmm")</f>
        <v>ژوئيه</v>
      </c>
      <c r="AD1169" t="str">
        <f>IF(Table1[[#This Row],[Resigned]]="yes","former","active")</f>
        <v>former</v>
      </c>
    </row>
    <row r="1170" spans="1:30" x14ac:dyDescent="0.3">
      <c r="A1170" t="s">
        <v>2405</v>
      </c>
      <c r="B1170" t="s">
        <v>2406</v>
      </c>
      <c r="C1170" t="s">
        <v>27</v>
      </c>
      <c r="D1170">
        <v>56</v>
      </c>
      <c r="E1170" t="s">
        <v>40</v>
      </c>
      <c r="F1170" t="s">
        <v>41</v>
      </c>
      <c r="G1170" t="s">
        <v>30</v>
      </c>
      <c r="H1170" t="s">
        <v>42</v>
      </c>
      <c r="I1170" t="s">
        <v>32</v>
      </c>
      <c r="J1170" s="1">
        <v>42802</v>
      </c>
      <c r="K1170">
        <v>9</v>
      </c>
      <c r="L1170">
        <v>25107165</v>
      </c>
      <c r="M1170">
        <v>897450</v>
      </c>
      <c r="N1170" t="s">
        <v>33</v>
      </c>
      <c r="O1170">
        <v>3.51</v>
      </c>
      <c r="P1170">
        <v>53</v>
      </c>
      <c r="Q1170">
        <v>2</v>
      </c>
      <c r="R1170">
        <v>4</v>
      </c>
      <c r="S1170">
        <v>2</v>
      </c>
      <c r="T1170" t="s">
        <v>33</v>
      </c>
      <c r="U1170" t="s">
        <v>34</v>
      </c>
      <c r="V1170" t="s">
        <v>44</v>
      </c>
      <c r="W1170" t="s">
        <v>34</v>
      </c>
      <c r="X1170" t="s">
        <v>45</v>
      </c>
      <c r="Z1170" t="str">
        <f>IF(Table1[[#This Row],[Age]]&lt;30,"20-29",IF(Table1[[#This Row],[Age]]&lt;40,"30-39",IF(Table1[[#This Row],[Age]]&lt;50,"40-49","50+")))</f>
        <v>50+</v>
      </c>
      <c r="AA1170" t="str">
        <f>IF(Table1[[#This Row],[Salary]]&lt;20000000,"low",IF(Table1[[#This Row],[Salary]]&lt;40000000,"medium","high"))</f>
        <v>medium</v>
      </c>
      <c r="AB1170">
        <f>YEAR(Table1[[#This Row],[Hire Date]])</f>
        <v>2017</v>
      </c>
      <c r="AC1170" t="str">
        <f>TEXT(Table1[[#This Row],[Hire Date]],"mmmm")</f>
        <v>مارس</v>
      </c>
      <c r="AD1170" t="str">
        <f>IF(Table1[[#This Row],[Resigned]]="yes","former","active")</f>
        <v>active</v>
      </c>
    </row>
    <row r="1171" spans="1:30" x14ac:dyDescent="0.3">
      <c r="A1171" t="s">
        <v>2407</v>
      </c>
      <c r="B1171" t="s">
        <v>2408</v>
      </c>
      <c r="C1171" t="s">
        <v>27</v>
      </c>
      <c r="D1171">
        <v>26</v>
      </c>
      <c r="E1171" t="s">
        <v>56</v>
      </c>
      <c r="F1171" t="s">
        <v>57</v>
      </c>
      <c r="G1171" t="s">
        <v>49</v>
      </c>
      <c r="H1171" t="s">
        <v>31</v>
      </c>
      <c r="I1171" t="s">
        <v>81</v>
      </c>
      <c r="J1171" s="1">
        <v>45113</v>
      </c>
      <c r="K1171">
        <v>3</v>
      </c>
      <c r="L1171">
        <v>14685831</v>
      </c>
      <c r="M1171">
        <v>4231873</v>
      </c>
      <c r="N1171" t="s">
        <v>33</v>
      </c>
      <c r="O1171">
        <v>3.8</v>
      </c>
      <c r="P1171">
        <v>76</v>
      </c>
      <c r="Q1171">
        <v>5</v>
      </c>
      <c r="R1171">
        <v>2</v>
      </c>
      <c r="S1171">
        <v>4</v>
      </c>
      <c r="T1171" t="s">
        <v>33</v>
      </c>
      <c r="U1171" t="s">
        <v>34</v>
      </c>
      <c r="V1171" t="s">
        <v>59</v>
      </c>
      <c r="W1171" t="s">
        <v>33</v>
      </c>
      <c r="X1171" t="s">
        <v>52</v>
      </c>
      <c r="Z1171" t="str">
        <f>IF(Table1[[#This Row],[Age]]&lt;30,"20-29",IF(Table1[[#This Row],[Age]]&lt;40,"30-39",IF(Table1[[#This Row],[Age]]&lt;50,"40-49","50+")))</f>
        <v>20-29</v>
      </c>
      <c r="AA1171" t="str">
        <f>IF(Table1[[#This Row],[Salary]]&lt;20000000,"low",IF(Table1[[#This Row],[Salary]]&lt;40000000,"medium","high"))</f>
        <v>low</v>
      </c>
      <c r="AB1171">
        <f>YEAR(Table1[[#This Row],[Hire Date]])</f>
        <v>2023</v>
      </c>
      <c r="AC1171" t="str">
        <f>TEXT(Table1[[#This Row],[Hire Date]],"mmmm")</f>
        <v>ژوئيه</v>
      </c>
      <c r="AD1171" t="str">
        <f>IF(Table1[[#This Row],[Resigned]]="yes","former","active")</f>
        <v>active</v>
      </c>
    </row>
    <row r="1172" spans="1:30" x14ac:dyDescent="0.3">
      <c r="A1172" t="s">
        <v>2409</v>
      </c>
      <c r="B1172" t="s">
        <v>2410</v>
      </c>
      <c r="C1172" t="s">
        <v>39</v>
      </c>
      <c r="D1172">
        <v>48</v>
      </c>
      <c r="E1172" t="s">
        <v>63</v>
      </c>
      <c r="F1172" t="s">
        <v>64</v>
      </c>
      <c r="G1172" t="s">
        <v>30</v>
      </c>
      <c r="H1172" t="s">
        <v>42</v>
      </c>
      <c r="I1172" t="s">
        <v>65</v>
      </c>
      <c r="J1172" s="1">
        <v>44153</v>
      </c>
      <c r="K1172">
        <v>6</v>
      </c>
      <c r="L1172">
        <v>14171351</v>
      </c>
      <c r="M1172">
        <v>1420458</v>
      </c>
      <c r="N1172" t="s">
        <v>33</v>
      </c>
      <c r="O1172">
        <v>4.5</v>
      </c>
      <c r="P1172">
        <v>21</v>
      </c>
      <c r="Q1172">
        <v>3</v>
      </c>
      <c r="R1172">
        <v>4</v>
      </c>
      <c r="S1172">
        <v>13</v>
      </c>
      <c r="T1172" t="s">
        <v>34</v>
      </c>
      <c r="U1172" t="s">
        <v>34</v>
      </c>
      <c r="V1172" t="s">
        <v>51</v>
      </c>
      <c r="W1172" t="s">
        <v>33</v>
      </c>
      <c r="X1172" t="s">
        <v>45</v>
      </c>
      <c r="Z1172" t="str">
        <f>IF(Table1[[#This Row],[Age]]&lt;30,"20-29",IF(Table1[[#This Row],[Age]]&lt;40,"30-39",IF(Table1[[#This Row],[Age]]&lt;50,"40-49","50+")))</f>
        <v>40-49</v>
      </c>
      <c r="AA1172" t="str">
        <f>IF(Table1[[#This Row],[Salary]]&lt;20000000,"low",IF(Table1[[#This Row],[Salary]]&lt;40000000,"medium","high"))</f>
        <v>low</v>
      </c>
      <c r="AB1172">
        <f>YEAR(Table1[[#This Row],[Hire Date]])</f>
        <v>2020</v>
      </c>
      <c r="AC1172" t="str">
        <f>TEXT(Table1[[#This Row],[Hire Date]],"mmmm")</f>
        <v>نوامبر</v>
      </c>
      <c r="AD1172" t="str">
        <f>IF(Table1[[#This Row],[Resigned]]="yes","former","active")</f>
        <v>active</v>
      </c>
    </row>
    <row r="1173" spans="1:30" x14ac:dyDescent="0.3">
      <c r="A1173" t="s">
        <v>2411</v>
      </c>
      <c r="B1173" t="s">
        <v>2412</v>
      </c>
      <c r="C1173" t="s">
        <v>39</v>
      </c>
      <c r="D1173">
        <v>57</v>
      </c>
      <c r="E1173" t="s">
        <v>28</v>
      </c>
      <c r="F1173" t="s">
        <v>80</v>
      </c>
      <c r="G1173" t="s">
        <v>49</v>
      </c>
      <c r="H1173" t="s">
        <v>31</v>
      </c>
      <c r="I1173" t="s">
        <v>65</v>
      </c>
      <c r="J1173" s="1">
        <v>44577</v>
      </c>
      <c r="K1173">
        <v>4</v>
      </c>
      <c r="L1173">
        <v>43594771</v>
      </c>
      <c r="M1173">
        <v>8250372</v>
      </c>
      <c r="N1173" t="s">
        <v>34</v>
      </c>
      <c r="O1173">
        <v>4.7300000000000004</v>
      </c>
      <c r="P1173">
        <v>47</v>
      </c>
      <c r="Q1173">
        <v>1</v>
      </c>
      <c r="R1173">
        <v>4</v>
      </c>
      <c r="S1173">
        <v>6</v>
      </c>
      <c r="T1173" t="s">
        <v>34</v>
      </c>
      <c r="U1173" t="s">
        <v>34</v>
      </c>
      <c r="V1173" t="s">
        <v>51</v>
      </c>
      <c r="W1173" t="s">
        <v>34</v>
      </c>
      <c r="X1173" t="s">
        <v>36</v>
      </c>
      <c r="Z1173" t="str">
        <f>IF(Table1[[#This Row],[Age]]&lt;30,"20-29",IF(Table1[[#This Row],[Age]]&lt;40,"30-39",IF(Table1[[#This Row],[Age]]&lt;50,"40-49","50+")))</f>
        <v>50+</v>
      </c>
      <c r="AA1173" t="str">
        <f>IF(Table1[[#This Row],[Salary]]&lt;20000000,"low",IF(Table1[[#This Row],[Salary]]&lt;40000000,"medium","high"))</f>
        <v>high</v>
      </c>
      <c r="AB1173">
        <f>YEAR(Table1[[#This Row],[Hire Date]])</f>
        <v>2022</v>
      </c>
      <c r="AC1173" t="str">
        <f>TEXT(Table1[[#This Row],[Hire Date]],"mmmm")</f>
        <v>ژانويه</v>
      </c>
      <c r="AD1173" t="str">
        <f>IF(Table1[[#This Row],[Resigned]]="yes","former","active")</f>
        <v>active</v>
      </c>
    </row>
    <row r="1174" spans="1:30" x14ac:dyDescent="0.3">
      <c r="A1174" t="s">
        <v>2413</v>
      </c>
      <c r="B1174" t="s">
        <v>2414</v>
      </c>
      <c r="C1174" t="s">
        <v>39</v>
      </c>
      <c r="D1174">
        <v>37</v>
      </c>
      <c r="E1174" t="s">
        <v>73</v>
      </c>
      <c r="F1174" t="s">
        <v>74</v>
      </c>
      <c r="G1174" t="s">
        <v>30</v>
      </c>
      <c r="H1174" t="s">
        <v>31</v>
      </c>
      <c r="I1174" t="s">
        <v>50</v>
      </c>
      <c r="J1174" s="1">
        <v>45377</v>
      </c>
      <c r="K1174">
        <v>2</v>
      </c>
      <c r="L1174">
        <v>44263579</v>
      </c>
      <c r="M1174">
        <v>3688043</v>
      </c>
      <c r="N1174" t="s">
        <v>33</v>
      </c>
      <c r="O1174">
        <v>4.25</v>
      </c>
      <c r="P1174">
        <v>66</v>
      </c>
      <c r="Q1174">
        <v>5</v>
      </c>
      <c r="R1174">
        <v>2</v>
      </c>
      <c r="S1174">
        <v>1</v>
      </c>
      <c r="T1174" t="s">
        <v>33</v>
      </c>
      <c r="U1174" t="s">
        <v>34</v>
      </c>
      <c r="V1174" t="s">
        <v>59</v>
      </c>
      <c r="W1174" t="s">
        <v>33</v>
      </c>
      <c r="X1174" t="s">
        <v>36</v>
      </c>
      <c r="Z1174" t="str">
        <f>IF(Table1[[#This Row],[Age]]&lt;30,"20-29",IF(Table1[[#This Row],[Age]]&lt;40,"30-39",IF(Table1[[#This Row],[Age]]&lt;50,"40-49","50+")))</f>
        <v>30-39</v>
      </c>
      <c r="AA1174" t="str">
        <f>IF(Table1[[#This Row],[Salary]]&lt;20000000,"low",IF(Table1[[#This Row],[Salary]]&lt;40000000,"medium","high"))</f>
        <v>high</v>
      </c>
      <c r="AB1174">
        <f>YEAR(Table1[[#This Row],[Hire Date]])</f>
        <v>2024</v>
      </c>
      <c r="AC1174" t="str">
        <f>TEXT(Table1[[#This Row],[Hire Date]],"mmmm")</f>
        <v>مارس</v>
      </c>
      <c r="AD1174" t="str">
        <f>IF(Table1[[#This Row],[Resigned]]="yes","former","active")</f>
        <v>active</v>
      </c>
    </row>
    <row r="1175" spans="1:30" x14ac:dyDescent="0.3">
      <c r="A1175" t="s">
        <v>2415</v>
      </c>
      <c r="B1175" t="s">
        <v>2416</v>
      </c>
      <c r="C1175" t="s">
        <v>39</v>
      </c>
      <c r="D1175">
        <v>54</v>
      </c>
      <c r="E1175" t="s">
        <v>40</v>
      </c>
      <c r="F1175" t="s">
        <v>41</v>
      </c>
      <c r="G1175" t="s">
        <v>49</v>
      </c>
      <c r="H1175" t="s">
        <v>42</v>
      </c>
      <c r="I1175" t="s">
        <v>81</v>
      </c>
      <c r="J1175" s="1">
        <v>44406</v>
      </c>
      <c r="K1175">
        <v>5</v>
      </c>
      <c r="L1175">
        <v>23052359</v>
      </c>
      <c r="M1175">
        <v>525656</v>
      </c>
      <c r="N1175" t="s">
        <v>33</v>
      </c>
      <c r="O1175">
        <v>3.89</v>
      </c>
      <c r="P1175">
        <v>32</v>
      </c>
      <c r="Q1175">
        <v>4</v>
      </c>
      <c r="R1175">
        <v>3</v>
      </c>
      <c r="S1175">
        <v>18</v>
      </c>
      <c r="T1175" t="s">
        <v>34</v>
      </c>
      <c r="U1175" t="s">
        <v>34</v>
      </c>
      <c r="V1175" t="s">
        <v>70</v>
      </c>
      <c r="W1175" t="s">
        <v>34</v>
      </c>
      <c r="X1175" t="s">
        <v>36</v>
      </c>
      <c r="Z1175" t="str">
        <f>IF(Table1[[#This Row],[Age]]&lt;30,"20-29",IF(Table1[[#This Row],[Age]]&lt;40,"30-39",IF(Table1[[#This Row],[Age]]&lt;50,"40-49","50+")))</f>
        <v>50+</v>
      </c>
      <c r="AA1175" t="str">
        <f>IF(Table1[[#This Row],[Salary]]&lt;20000000,"low",IF(Table1[[#This Row],[Salary]]&lt;40000000,"medium","high"))</f>
        <v>medium</v>
      </c>
      <c r="AB1175">
        <f>YEAR(Table1[[#This Row],[Hire Date]])</f>
        <v>2021</v>
      </c>
      <c r="AC1175" t="str">
        <f>TEXT(Table1[[#This Row],[Hire Date]],"mmmm")</f>
        <v>ژوئيه</v>
      </c>
      <c r="AD1175" t="str">
        <f>IF(Table1[[#This Row],[Resigned]]="yes","former","active")</f>
        <v>active</v>
      </c>
    </row>
    <row r="1176" spans="1:30" x14ac:dyDescent="0.3">
      <c r="A1176" t="s">
        <v>2417</v>
      </c>
      <c r="B1176" t="s">
        <v>2418</v>
      </c>
      <c r="C1176" t="s">
        <v>27</v>
      </c>
      <c r="D1176">
        <v>37</v>
      </c>
      <c r="E1176" t="s">
        <v>40</v>
      </c>
      <c r="F1176" t="s">
        <v>48</v>
      </c>
      <c r="G1176" t="s">
        <v>49</v>
      </c>
      <c r="H1176" t="s">
        <v>42</v>
      </c>
      <c r="I1176" t="s">
        <v>50</v>
      </c>
      <c r="J1176" s="1">
        <v>42870</v>
      </c>
      <c r="K1176">
        <v>9</v>
      </c>
      <c r="L1176">
        <v>24039700</v>
      </c>
      <c r="M1176">
        <v>6821648</v>
      </c>
      <c r="N1176" t="s">
        <v>34</v>
      </c>
      <c r="O1176">
        <v>2.6</v>
      </c>
      <c r="P1176">
        <v>21</v>
      </c>
      <c r="Q1176">
        <v>2</v>
      </c>
      <c r="R1176">
        <v>1</v>
      </c>
      <c r="S1176">
        <v>6</v>
      </c>
      <c r="T1176" t="s">
        <v>33</v>
      </c>
      <c r="U1176" t="s">
        <v>34</v>
      </c>
      <c r="V1176" t="s">
        <v>70</v>
      </c>
      <c r="W1176" t="s">
        <v>34</v>
      </c>
      <c r="X1176" t="s">
        <v>52</v>
      </c>
      <c r="Z1176" t="str">
        <f>IF(Table1[[#This Row],[Age]]&lt;30,"20-29",IF(Table1[[#This Row],[Age]]&lt;40,"30-39",IF(Table1[[#This Row],[Age]]&lt;50,"40-49","50+")))</f>
        <v>30-39</v>
      </c>
      <c r="AA1176" t="str">
        <f>IF(Table1[[#This Row],[Salary]]&lt;20000000,"low",IF(Table1[[#This Row],[Salary]]&lt;40000000,"medium","high"))</f>
        <v>medium</v>
      </c>
      <c r="AB1176">
        <f>YEAR(Table1[[#This Row],[Hire Date]])</f>
        <v>2017</v>
      </c>
      <c r="AC1176" t="str">
        <f>TEXT(Table1[[#This Row],[Hire Date]],"mmmm")</f>
        <v>مه</v>
      </c>
      <c r="AD1176" t="str">
        <f>IF(Table1[[#This Row],[Resigned]]="yes","former","active")</f>
        <v>active</v>
      </c>
    </row>
    <row r="1177" spans="1:30" x14ac:dyDescent="0.3">
      <c r="A1177" t="s">
        <v>2419</v>
      </c>
      <c r="B1177" t="s">
        <v>2420</v>
      </c>
      <c r="C1177" t="s">
        <v>27</v>
      </c>
      <c r="D1177">
        <v>42</v>
      </c>
      <c r="E1177" t="s">
        <v>73</v>
      </c>
      <c r="F1177" t="s">
        <v>74</v>
      </c>
      <c r="G1177" t="s">
        <v>58</v>
      </c>
      <c r="H1177" t="s">
        <v>42</v>
      </c>
      <c r="I1177" t="s">
        <v>81</v>
      </c>
      <c r="J1177" s="1">
        <v>42858</v>
      </c>
      <c r="K1177">
        <v>9</v>
      </c>
      <c r="L1177">
        <v>27221204</v>
      </c>
      <c r="M1177">
        <v>5990342</v>
      </c>
      <c r="N1177" t="s">
        <v>33</v>
      </c>
      <c r="O1177">
        <v>3.43</v>
      </c>
      <c r="P1177">
        <v>77</v>
      </c>
      <c r="Q1177">
        <v>3</v>
      </c>
      <c r="R1177">
        <v>3</v>
      </c>
      <c r="S1177">
        <v>1</v>
      </c>
      <c r="T1177" t="s">
        <v>33</v>
      </c>
      <c r="U1177" t="s">
        <v>34</v>
      </c>
      <c r="V1177" t="s">
        <v>70</v>
      </c>
      <c r="W1177" t="s">
        <v>34</v>
      </c>
      <c r="X1177" t="s">
        <v>36</v>
      </c>
      <c r="Z1177" t="str">
        <f>IF(Table1[[#This Row],[Age]]&lt;30,"20-29",IF(Table1[[#This Row],[Age]]&lt;40,"30-39",IF(Table1[[#This Row],[Age]]&lt;50,"40-49","50+")))</f>
        <v>40-49</v>
      </c>
      <c r="AA1177" t="str">
        <f>IF(Table1[[#This Row],[Salary]]&lt;20000000,"low",IF(Table1[[#This Row],[Salary]]&lt;40000000,"medium","high"))</f>
        <v>medium</v>
      </c>
      <c r="AB1177">
        <f>YEAR(Table1[[#This Row],[Hire Date]])</f>
        <v>2017</v>
      </c>
      <c r="AC1177" t="str">
        <f>TEXT(Table1[[#This Row],[Hire Date]],"mmmm")</f>
        <v>مه</v>
      </c>
      <c r="AD1177" t="str">
        <f>IF(Table1[[#This Row],[Resigned]]="yes","former","active")</f>
        <v>active</v>
      </c>
    </row>
    <row r="1178" spans="1:30" x14ac:dyDescent="0.3">
      <c r="A1178" t="s">
        <v>2421</v>
      </c>
      <c r="B1178" t="s">
        <v>2422</v>
      </c>
      <c r="C1178" t="s">
        <v>27</v>
      </c>
      <c r="D1178">
        <v>35</v>
      </c>
      <c r="E1178" t="s">
        <v>28</v>
      </c>
      <c r="F1178" t="s">
        <v>80</v>
      </c>
      <c r="G1178" t="s">
        <v>58</v>
      </c>
      <c r="H1178" t="s">
        <v>42</v>
      </c>
      <c r="I1178" t="s">
        <v>81</v>
      </c>
      <c r="J1178" s="1">
        <v>42449</v>
      </c>
      <c r="K1178">
        <v>10</v>
      </c>
      <c r="L1178">
        <v>45973112</v>
      </c>
      <c r="M1178">
        <v>5000050</v>
      </c>
      <c r="N1178" t="s">
        <v>34</v>
      </c>
      <c r="O1178">
        <v>3.24</v>
      </c>
      <c r="P1178">
        <v>71</v>
      </c>
      <c r="Q1178">
        <v>3</v>
      </c>
      <c r="R1178">
        <v>5</v>
      </c>
      <c r="S1178">
        <v>15</v>
      </c>
      <c r="T1178" t="s">
        <v>34</v>
      </c>
      <c r="U1178" t="s">
        <v>34</v>
      </c>
      <c r="V1178" t="s">
        <v>51</v>
      </c>
      <c r="W1178" t="s">
        <v>33</v>
      </c>
      <c r="X1178" t="s">
        <v>45</v>
      </c>
      <c r="Z1178" t="str">
        <f>IF(Table1[[#This Row],[Age]]&lt;30,"20-29",IF(Table1[[#This Row],[Age]]&lt;40,"30-39",IF(Table1[[#This Row],[Age]]&lt;50,"40-49","50+")))</f>
        <v>30-39</v>
      </c>
      <c r="AA1178" t="str">
        <f>IF(Table1[[#This Row],[Salary]]&lt;20000000,"low",IF(Table1[[#This Row],[Salary]]&lt;40000000,"medium","high"))</f>
        <v>high</v>
      </c>
      <c r="AB1178">
        <f>YEAR(Table1[[#This Row],[Hire Date]])</f>
        <v>2016</v>
      </c>
      <c r="AC1178" t="str">
        <f>TEXT(Table1[[#This Row],[Hire Date]],"mmmm")</f>
        <v>مارس</v>
      </c>
      <c r="AD1178" t="str">
        <f>IF(Table1[[#This Row],[Resigned]]="yes","former","active")</f>
        <v>active</v>
      </c>
    </row>
    <row r="1179" spans="1:30" x14ac:dyDescent="0.3">
      <c r="A1179" t="s">
        <v>2423</v>
      </c>
      <c r="B1179" t="s">
        <v>2424</v>
      </c>
      <c r="C1179" t="s">
        <v>27</v>
      </c>
      <c r="D1179">
        <v>23</v>
      </c>
      <c r="E1179" t="s">
        <v>28</v>
      </c>
      <c r="F1179" t="s">
        <v>29</v>
      </c>
      <c r="G1179" t="s">
        <v>49</v>
      </c>
      <c r="H1179" t="s">
        <v>31</v>
      </c>
      <c r="I1179" t="s">
        <v>50</v>
      </c>
      <c r="J1179" s="1">
        <v>43533</v>
      </c>
      <c r="K1179">
        <v>7</v>
      </c>
      <c r="L1179">
        <v>58236789</v>
      </c>
      <c r="M1179">
        <v>9661244</v>
      </c>
      <c r="N1179" t="s">
        <v>33</v>
      </c>
      <c r="O1179">
        <v>3.67</v>
      </c>
      <c r="P1179">
        <v>45</v>
      </c>
      <c r="Q1179">
        <v>3</v>
      </c>
      <c r="R1179">
        <v>2</v>
      </c>
      <c r="S1179">
        <v>11</v>
      </c>
      <c r="T1179" t="s">
        <v>34</v>
      </c>
      <c r="U1179" t="s">
        <v>34</v>
      </c>
      <c r="V1179" t="s">
        <v>59</v>
      </c>
      <c r="W1179" t="s">
        <v>33</v>
      </c>
      <c r="X1179" t="s">
        <v>45</v>
      </c>
      <c r="Z1179" t="str">
        <f>IF(Table1[[#This Row],[Age]]&lt;30,"20-29",IF(Table1[[#This Row],[Age]]&lt;40,"30-39",IF(Table1[[#This Row],[Age]]&lt;50,"40-49","50+")))</f>
        <v>20-29</v>
      </c>
      <c r="AA1179" t="str">
        <f>IF(Table1[[#This Row],[Salary]]&lt;20000000,"low",IF(Table1[[#This Row],[Salary]]&lt;40000000,"medium","high"))</f>
        <v>high</v>
      </c>
      <c r="AB1179">
        <f>YEAR(Table1[[#This Row],[Hire Date]])</f>
        <v>2019</v>
      </c>
      <c r="AC1179" t="str">
        <f>TEXT(Table1[[#This Row],[Hire Date]],"mmmm")</f>
        <v>مارس</v>
      </c>
      <c r="AD1179" t="str">
        <f>IF(Table1[[#This Row],[Resigned]]="yes","former","active")</f>
        <v>active</v>
      </c>
    </row>
    <row r="1180" spans="1:30" x14ac:dyDescent="0.3">
      <c r="A1180" t="s">
        <v>2425</v>
      </c>
      <c r="B1180" t="s">
        <v>2426</v>
      </c>
      <c r="C1180" t="s">
        <v>39</v>
      </c>
      <c r="D1180">
        <v>48</v>
      </c>
      <c r="E1180" t="s">
        <v>56</v>
      </c>
      <c r="F1180" t="s">
        <v>84</v>
      </c>
      <c r="G1180" t="s">
        <v>30</v>
      </c>
      <c r="H1180" t="s">
        <v>31</v>
      </c>
      <c r="I1180" t="s">
        <v>50</v>
      </c>
      <c r="J1180" s="1">
        <v>45110</v>
      </c>
      <c r="K1180">
        <v>3</v>
      </c>
      <c r="L1180">
        <v>25637438</v>
      </c>
      <c r="M1180">
        <v>7068472</v>
      </c>
      <c r="N1180" t="s">
        <v>34</v>
      </c>
      <c r="O1180">
        <v>2.75</v>
      </c>
      <c r="P1180">
        <v>53</v>
      </c>
      <c r="Q1180">
        <v>4</v>
      </c>
      <c r="R1180">
        <v>2</v>
      </c>
      <c r="S1180">
        <v>12</v>
      </c>
      <c r="T1180" t="s">
        <v>34</v>
      </c>
      <c r="U1180" t="s">
        <v>33</v>
      </c>
      <c r="V1180" t="s">
        <v>59</v>
      </c>
      <c r="W1180" t="s">
        <v>34</v>
      </c>
      <c r="X1180" t="s">
        <v>36</v>
      </c>
      <c r="Y1180" t="s">
        <v>53</v>
      </c>
      <c r="Z1180" t="str">
        <f>IF(Table1[[#This Row],[Age]]&lt;30,"20-29",IF(Table1[[#This Row],[Age]]&lt;40,"30-39",IF(Table1[[#This Row],[Age]]&lt;50,"40-49","50+")))</f>
        <v>40-49</v>
      </c>
      <c r="AA1180" t="str">
        <f>IF(Table1[[#This Row],[Salary]]&lt;20000000,"low",IF(Table1[[#This Row],[Salary]]&lt;40000000,"medium","high"))</f>
        <v>medium</v>
      </c>
      <c r="AB1180">
        <f>YEAR(Table1[[#This Row],[Hire Date]])</f>
        <v>2023</v>
      </c>
      <c r="AC1180" t="str">
        <f>TEXT(Table1[[#This Row],[Hire Date]],"mmmm")</f>
        <v>ژوئيه</v>
      </c>
      <c r="AD1180" t="str">
        <f>IF(Table1[[#This Row],[Resigned]]="yes","former","active")</f>
        <v>former</v>
      </c>
    </row>
    <row r="1181" spans="1:30" x14ac:dyDescent="0.3">
      <c r="A1181" t="s">
        <v>2427</v>
      </c>
      <c r="B1181" t="s">
        <v>2428</v>
      </c>
      <c r="C1181" t="s">
        <v>39</v>
      </c>
      <c r="D1181">
        <v>50</v>
      </c>
      <c r="E1181" t="s">
        <v>63</v>
      </c>
      <c r="F1181" t="s">
        <v>93</v>
      </c>
      <c r="G1181" t="s">
        <v>49</v>
      </c>
      <c r="H1181" t="s">
        <v>31</v>
      </c>
      <c r="I1181" t="s">
        <v>50</v>
      </c>
      <c r="J1181" s="1">
        <v>44144</v>
      </c>
      <c r="K1181">
        <v>6</v>
      </c>
      <c r="L1181">
        <v>13213565</v>
      </c>
      <c r="M1181">
        <v>6974039</v>
      </c>
      <c r="N1181" t="s">
        <v>33</v>
      </c>
      <c r="O1181">
        <v>3.67</v>
      </c>
      <c r="P1181">
        <v>32</v>
      </c>
      <c r="Q1181">
        <v>1</v>
      </c>
      <c r="R1181">
        <v>5</v>
      </c>
      <c r="S1181">
        <v>19</v>
      </c>
      <c r="T1181" t="s">
        <v>34</v>
      </c>
      <c r="U1181" t="s">
        <v>34</v>
      </c>
      <c r="V1181" t="s">
        <v>70</v>
      </c>
      <c r="W1181" t="s">
        <v>34</v>
      </c>
      <c r="X1181" t="s">
        <v>36</v>
      </c>
      <c r="Z1181" t="str">
        <f>IF(Table1[[#This Row],[Age]]&lt;30,"20-29",IF(Table1[[#This Row],[Age]]&lt;40,"30-39",IF(Table1[[#This Row],[Age]]&lt;50,"40-49","50+")))</f>
        <v>50+</v>
      </c>
      <c r="AA1181" t="str">
        <f>IF(Table1[[#This Row],[Salary]]&lt;20000000,"low",IF(Table1[[#This Row],[Salary]]&lt;40000000,"medium","high"))</f>
        <v>low</v>
      </c>
      <c r="AB1181">
        <f>YEAR(Table1[[#This Row],[Hire Date]])</f>
        <v>2020</v>
      </c>
      <c r="AC1181" t="str">
        <f>TEXT(Table1[[#This Row],[Hire Date]],"mmmm")</f>
        <v>نوامبر</v>
      </c>
      <c r="AD1181" t="str">
        <f>IF(Table1[[#This Row],[Resigned]]="yes","former","active")</f>
        <v>active</v>
      </c>
    </row>
    <row r="1182" spans="1:30" x14ac:dyDescent="0.3">
      <c r="A1182" t="s">
        <v>2429</v>
      </c>
      <c r="B1182" t="s">
        <v>2430</v>
      </c>
      <c r="C1182" t="s">
        <v>39</v>
      </c>
      <c r="D1182">
        <v>32</v>
      </c>
      <c r="E1182" t="s">
        <v>56</v>
      </c>
      <c r="F1182" t="s">
        <v>84</v>
      </c>
      <c r="G1182" t="s">
        <v>30</v>
      </c>
      <c r="H1182" t="s">
        <v>42</v>
      </c>
      <c r="I1182" t="s">
        <v>65</v>
      </c>
      <c r="J1182" s="1">
        <v>45042</v>
      </c>
      <c r="K1182">
        <v>3</v>
      </c>
      <c r="L1182">
        <v>44717582</v>
      </c>
      <c r="M1182">
        <v>2311932</v>
      </c>
      <c r="N1182" t="s">
        <v>34</v>
      </c>
      <c r="O1182">
        <v>4.5599999999999996</v>
      </c>
      <c r="P1182">
        <v>79</v>
      </c>
      <c r="Q1182">
        <v>1</v>
      </c>
      <c r="R1182">
        <v>2</v>
      </c>
      <c r="S1182">
        <v>6</v>
      </c>
      <c r="T1182" t="s">
        <v>33</v>
      </c>
      <c r="U1182" t="s">
        <v>34</v>
      </c>
      <c r="V1182" t="s">
        <v>70</v>
      </c>
      <c r="W1182" t="s">
        <v>34</v>
      </c>
      <c r="X1182" t="s">
        <v>52</v>
      </c>
      <c r="Z1182" t="str">
        <f>IF(Table1[[#This Row],[Age]]&lt;30,"20-29",IF(Table1[[#This Row],[Age]]&lt;40,"30-39",IF(Table1[[#This Row],[Age]]&lt;50,"40-49","50+")))</f>
        <v>30-39</v>
      </c>
      <c r="AA1182" t="str">
        <f>IF(Table1[[#This Row],[Salary]]&lt;20000000,"low",IF(Table1[[#This Row],[Salary]]&lt;40000000,"medium","high"))</f>
        <v>high</v>
      </c>
      <c r="AB1182">
        <f>YEAR(Table1[[#This Row],[Hire Date]])</f>
        <v>2023</v>
      </c>
      <c r="AC1182" t="str">
        <f>TEXT(Table1[[#This Row],[Hire Date]],"mmmm")</f>
        <v>آوريل</v>
      </c>
      <c r="AD1182" t="str">
        <f>IF(Table1[[#This Row],[Resigned]]="yes","former","active")</f>
        <v>active</v>
      </c>
    </row>
    <row r="1183" spans="1:30" x14ac:dyDescent="0.3">
      <c r="A1183" t="s">
        <v>2431</v>
      </c>
      <c r="B1183" t="s">
        <v>2432</v>
      </c>
      <c r="C1183" t="s">
        <v>39</v>
      </c>
      <c r="D1183">
        <v>47</v>
      </c>
      <c r="E1183" t="s">
        <v>73</v>
      </c>
      <c r="F1183" t="s">
        <v>74</v>
      </c>
      <c r="G1183" t="s">
        <v>58</v>
      </c>
      <c r="H1183" t="s">
        <v>31</v>
      </c>
      <c r="I1183" t="s">
        <v>50</v>
      </c>
      <c r="J1183" s="1">
        <v>42526</v>
      </c>
      <c r="K1183">
        <v>10</v>
      </c>
      <c r="L1183">
        <v>43461244</v>
      </c>
      <c r="M1183">
        <v>1666009</v>
      </c>
      <c r="N1183" t="s">
        <v>34</v>
      </c>
      <c r="O1183">
        <v>3.59</v>
      </c>
      <c r="P1183">
        <v>1</v>
      </c>
      <c r="Q1183">
        <v>3</v>
      </c>
      <c r="R1183">
        <v>4</v>
      </c>
      <c r="S1183">
        <v>2</v>
      </c>
      <c r="T1183" t="s">
        <v>33</v>
      </c>
      <c r="U1183" t="s">
        <v>33</v>
      </c>
      <c r="V1183" t="s">
        <v>35</v>
      </c>
      <c r="W1183" t="s">
        <v>34</v>
      </c>
      <c r="X1183" t="s">
        <v>36</v>
      </c>
      <c r="Y1183" t="s">
        <v>75</v>
      </c>
      <c r="Z1183" t="str">
        <f>IF(Table1[[#This Row],[Age]]&lt;30,"20-29",IF(Table1[[#This Row],[Age]]&lt;40,"30-39",IF(Table1[[#This Row],[Age]]&lt;50,"40-49","50+")))</f>
        <v>40-49</v>
      </c>
      <c r="AA1183" t="str">
        <f>IF(Table1[[#This Row],[Salary]]&lt;20000000,"low",IF(Table1[[#This Row],[Salary]]&lt;40000000,"medium","high"))</f>
        <v>high</v>
      </c>
      <c r="AB1183">
        <f>YEAR(Table1[[#This Row],[Hire Date]])</f>
        <v>2016</v>
      </c>
      <c r="AC1183" t="str">
        <f>TEXT(Table1[[#This Row],[Hire Date]],"mmmm")</f>
        <v>ژوئن</v>
      </c>
      <c r="AD1183" t="str">
        <f>IF(Table1[[#This Row],[Resigned]]="yes","former","active")</f>
        <v>former</v>
      </c>
    </row>
    <row r="1184" spans="1:30" x14ac:dyDescent="0.3">
      <c r="A1184" t="s">
        <v>2433</v>
      </c>
      <c r="B1184" t="s">
        <v>2434</v>
      </c>
      <c r="C1184" t="s">
        <v>27</v>
      </c>
      <c r="D1184">
        <v>49</v>
      </c>
      <c r="E1184" t="s">
        <v>40</v>
      </c>
      <c r="F1184" t="s">
        <v>41</v>
      </c>
      <c r="G1184" t="s">
        <v>30</v>
      </c>
      <c r="H1184" t="s">
        <v>31</v>
      </c>
      <c r="I1184" t="s">
        <v>43</v>
      </c>
      <c r="J1184" s="1">
        <v>44711</v>
      </c>
      <c r="K1184">
        <v>4</v>
      </c>
      <c r="L1184">
        <v>46314385</v>
      </c>
      <c r="M1184">
        <v>3348053</v>
      </c>
      <c r="N1184" t="s">
        <v>34</v>
      </c>
      <c r="O1184">
        <v>3.13</v>
      </c>
      <c r="P1184">
        <v>14</v>
      </c>
      <c r="Q1184">
        <v>1</v>
      </c>
      <c r="R1184">
        <v>4</v>
      </c>
      <c r="S1184">
        <v>20</v>
      </c>
      <c r="T1184" t="s">
        <v>33</v>
      </c>
      <c r="U1184" t="s">
        <v>34</v>
      </c>
      <c r="V1184" t="s">
        <v>59</v>
      </c>
      <c r="W1184" t="s">
        <v>34</v>
      </c>
      <c r="X1184" t="s">
        <v>52</v>
      </c>
      <c r="Z1184" t="str">
        <f>IF(Table1[[#This Row],[Age]]&lt;30,"20-29",IF(Table1[[#This Row],[Age]]&lt;40,"30-39",IF(Table1[[#This Row],[Age]]&lt;50,"40-49","50+")))</f>
        <v>40-49</v>
      </c>
      <c r="AA1184" t="str">
        <f>IF(Table1[[#This Row],[Salary]]&lt;20000000,"low",IF(Table1[[#This Row],[Salary]]&lt;40000000,"medium","high"))</f>
        <v>high</v>
      </c>
      <c r="AB1184">
        <f>YEAR(Table1[[#This Row],[Hire Date]])</f>
        <v>2022</v>
      </c>
      <c r="AC1184" t="str">
        <f>TEXT(Table1[[#This Row],[Hire Date]],"mmmm")</f>
        <v>مه</v>
      </c>
      <c r="AD1184" t="str">
        <f>IF(Table1[[#This Row],[Resigned]]="yes","former","active")</f>
        <v>active</v>
      </c>
    </row>
    <row r="1185" spans="1:30" x14ac:dyDescent="0.3">
      <c r="A1185" t="s">
        <v>2435</v>
      </c>
      <c r="B1185" t="s">
        <v>2436</v>
      </c>
      <c r="C1185" t="s">
        <v>39</v>
      </c>
      <c r="D1185">
        <v>36</v>
      </c>
      <c r="E1185" t="s">
        <v>28</v>
      </c>
      <c r="F1185" t="s">
        <v>29</v>
      </c>
      <c r="G1185" t="s">
        <v>30</v>
      </c>
      <c r="H1185" t="s">
        <v>31</v>
      </c>
      <c r="I1185" t="s">
        <v>65</v>
      </c>
      <c r="J1185" s="1">
        <v>43924</v>
      </c>
      <c r="K1185">
        <v>6</v>
      </c>
      <c r="L1185">
        <v>35971330</v>
      </c>
      <c r="M1185">
        <v>690397</v>
      </c>
      <c r="N1185" t="s">
        <v>34</v>
      </c>
      <c r="O1185">
        <v>4.66</v>
      </c>
      <c r="P1185">
        <v>39</v>
      </c>
      <c r="Q1185">
        <v>1</v>
      </c>
      <c r="R1185">
        <v>1</v>
      </c>
      <c r="S1185">
        <v>9</v>
      </c>
      <c r="T1185" t="s">
        <v>34</v>
      </c>
      <c r="U1185" t="s">
        <v>34</v>
      </c>
      <c r="V1185" t="s">
        <v>44</v>
      </c>
      <c r="W1185" t="s">
        <v>33</v>
      </c>
      <c r="X1185" t="s">
        <v>52</v>
      </c>
      <c r="Z1185" t="str">
        <f>IF(Table1[[#This Row],[Age]]&lt;30,"20-29",IF(Table1[[#This Row],[Age]]&lt;40,"30-39",IF(Table1[[#This Row],[Age]]&lt;50,"40-49","50+")))</f>
        <v>30-39</v>
      </c>
      <c r="AA1185" t="str">
        <f>IF(Table1[[#This Row],[Salary]]&lt;20000000,"low",IF(Table1[[#This Row],[Salary]]&lt;40000000,"medium","high"))</f>
        <v>medium</v>
      </c>
      <c r="AB1185">
        <f>YEAR(Table1[[#This Row],[Hire Date]])</f>
        <v>2020</v>
      </c>
      <c r="AC1185" t="str">
        <f>TEXT(Table1[[#This Row],[Hire Date]],"mmmm")</f>
        <v>آوريل</v>
      </c>
      <c r="AD1185" t="str">
        <f>IF(Table1[[#This Row],[Resigned]]="yes","former","active")</f>
        <v>active</v>
      </c>
    </row>
    <row r="1186" spans="1:30" x14ac:dyDescent="0.3">
      <c r="A1186" t="s">
        <v>2437</v>
      </c>
      <c r="B1186" t="s">
        <v>2438</v>
      </c>
      <c r="C1186" t="s">
        <v>39</v>
      </c>
      <c r="D1186">
        <v>25</v>
      </c>
      <c r="E1186" t="s">
        <v>110</v>
      </c>
      <c r="F1186" t="s">
        <v>111</v>
      </c>
      <c r="G1186" t="s">
        <v>30</v>
      </c>
      <c r="H1186" t="s">
        <v>42</v>
      </c>
      <c r="I1186" t="s">
        <v>81</v>
      </c>
      <c r="J1186" s="1">
        <v>45093</v>
      </c>
      <c r="K1186">
        <v>3</v>
      </c>
      <c r="L1186">
        <v>36060764</v>
      </c>
      <c r="M1186">
        <v>6620146</v>
      </c>
      <c r="N1186" t="s">
        <v>33</v>
      </c>
      <c r="O1186">
        <v>3.22</v>
      </c>
      <c r="P1186">
        <v>67</v>
      </c>
      <c r="Q1186">
        <v>2</v>
      </c>
      <c r="R1186">
        <v>2</v>
      </c>
      <c r="S1186">
        <v>10</v>
      </c>
      <c r="T1186" t="s">
        <v>33</v>
      </c>
      <c r="U1186" t="s">
        <v>34</v>
      </c>
      <c r="V1186" t="s">
        <v>70</v>
      </c>
      <c r="W1186" t="s">
        <v>34</v>
      </c>
      <c r="X1186" t="s">
        <v>45</v>
      </c>
      <c r="Z1186" t="str">
        <f>IF(Table1[[#This Row],[Age]]&lt;30,"20-29",IF(Table1[[#This Row],[Age]]&lt;40,"30-39",IF(Table1[[#This Row],[Age]]&lt;50,"40-49","50+")))</f>
        <v>20-29</v>
      </c>
      <c r="AA1186" t="str">
        <f>IF(Table1[[#This Row],[Salary]]&lt;20000000,"low",IF(Table1[[#This Row],[Salary]]&lt;40000000,"medium","high"))</f>
        <v>medium</v>
      </c>
      <c r="AB1186">
        <f>YEAR(Table1[[#This Row],[Hire Date]])</f>
        <v>2023</v>
      </c>
      <c r="AC1186" t="str">
        <f>TEXT(Table1[[#This Row],[Hire Date]],"mmmm")</f>
        <v>ژوئن</v>
      </c>
      <c r="AD1186" t="str">
        <f>IF(Table1[[#This Row],[Resigned]]="yes","former","active")</f>
        <v>active</v>
      </c>
    </row>
    <row r="1187" spans="1:30" x14ac:dyDescent="0.3">
      <c r="A1187" t="s">
        <v>2439</v>
      </c>
      <c r="B1187" t="s">
        <v>2440</v>
      </c>
      <c r="C1187" t="s">
        <v>27</v>
      </c>
      <c r="D1187">
        <v>45</v>
      </c>
      <c r="E1187" t="s">
        <v>56</v>
      </c>
      <c r="F1187" t="s">
        <v>57</v>
      </c>
      <c r="G1187" t="s">
        <v>49</v>
      </c>
      <c r="H1187" t="s">
        <v>42</v>
      </c>
      <c r="I1187" t="s">
        <v>32</v>
      </c>
      <c r="J1187" s="1">
        <v>44070</v>
      </c>
      <c r="K1187">
        <v>6</v>
      </c>
      <c r="L1187">
        <v>44589888</v>
      </c>
      <c r="M1187">
        <v>6261860</v>
      </c>
      <c r="N1187" t="s">
        <v>33</v>
      </c>
      <c r="O1187">
        <v>4.33</v>
      </c>
      <c r="P1187">
        <v>21</v>
      </c>
      <c r="Q1187">
        <v>4</v>
      </c>
      <c r="R1187">
        <v>1</v>
      </c>
      <c r="S1187">
        <v>11</v>
      </c>
      <c r="T1187" t="s">
        <v>34</v>
      </c>
      <c r="U1187" t="s">
        <v>34</v>
      </c>
      <c r="V1187" t="s">
        <v>35</v>
      </c>
      <c r="W1187" t="s">
        <v>34</v>
      </c>
      <c r="X1187" t="s">
        <v>45</v>
      </c>
      <c r="Z1187" t="str">
        <f>IF(Table1[[#This Row],[Age]]&lt;30,"20-29",IF(Table1[[#This Row],[Age]]&lt;40,"30-39",IF(Table1[[#This Row],[Age]]&lt;50,"40-49","50+")))</f>
        <v>40-49</v>
      </c>
      <c r="AA1187" t="str">
        <f>IF(Table1[[#This Row],[Salary]]&lt;20000000,"low",IF(Table1[[#This Row],[Salary]]&lt;40000000,"medium","high"))</f>
        <v>high</v>
      </c>
      <c r="AB1187">
        <f>YEAR(Table1[[#This Row],[Hire Date]])</f>
        <v>2020</v>
      </c>
      <c r="AC1187" t="str">
        <f>TEXT(Table1[[#This Row],[Hire Date]],"mmmm")</f>
        <v>اوت</v>
      </c>
      <c r="AD1187" t="str">
        <f>IF(Table1[[#This Row],[Resigned]]="yes","former","active")</f>
        <v>active</v>
      </c>
    </row>
    <row r="1188" spans="1:30" x14ac:dyDescent="0.3">
      <c r="A1188" t="s">
        <v>2441</v>
      </c>
      <c r="B1188" t="s">
        <v>2442</v>
      </c>
      <c r="C1188" t="s">
        <v>39</v>
      </c>
      <c r="D1188">
        <v>52</v>
      </c>
      <c r="E1188" t="s">
        <v>40</v>
      </c>
      <c r="F1188" t="s">
        <v>41</v>
      </c>
      <c r="G1188" t="s">
        <v>30</v>
      </c>
      <c r="H1188" t="s">
        <v>31</v>
      </c>
      <c r="I1188" t="s">
        <v>65</v>
      </c>
      <c r="J1188" s="1">
        <v>44051</v>
      </c>
      <c r="K1188">
        <v>6</v>
      </c>
      <c r="L1188">
        <v>39847409</v>
      </c>
      <c r="M1188">
        <v>1817472</v>
      </c>
      <c r="N1188" t="s">
        <v>33</v>
      </c>
      <c r="O1188">
        <v>3.03</v>
      </c>
      <c r="P1188">
        <v>21</v>
      </c>
      <c r="Q1188">
        <v>2</v>
      </c>
      <c r="R1188">
        <v>2</v>
      </c>
      <c r="S1188">
        <v>3</v>
      </c>
      <c r="T1188" t="s">
        <v>33</v>
      </c>
      <c r="U1188" t="s">
        <v>34</v>
      </c>
      <c r="V1188" t="s">
        <v>70</v>
      </c>
      <c r="W1188" t="s">
        <v>33</v>
      </c>
      <c r="X1188" t="s">
        <v>45</v>
      </c>
      <c r="Z1188" t="str">
        <f>IF(Table1[[#This Row],[Age]]&lt;30,"20-29",IF(Table1[[#This Row],[Age]]&lt;40,"30-39",IF(Table1[[#This Row],[Age]]&lt;50,"40-49","50+")))</f>
        <v>50+</v>
      </c>
      <c r="AA1188" t="str">
        <f>IF(Table1[[#This Row],[Salary]]&lt;20000000,"low",IF(Table1[[#This Row],[Salary]]&lt;40000000,"medium","high"))</f>
        <v>medium</v>
      </c>
      <c r="AB1188">
        <f>YEAR(Table1[[#This Row],[Hire Date]])</f>
        <v>2020</v>
      </c>
      <c r="AC1188" t="str">
        <f>TEXT(Table1[[#This Row],[Hire Date]],"mmmm")</f>
        <v>اوت</v>
      </c>
      <c r="AD1188" t="str">
        <f>IF(Table1[[#This Row],[Resigned]]="yes","former","active")</f>
        <v>active</v>
      </c>
    </row>
    <row r="1189" spans="1:30" x14ac:dyDescent="0.3">
      <c r="A1189" t="s">
        <v>2443</v>
      </c>
      <c r="B1189" t="s">
        <v>2444</v>
      </c>
      <c r="C1189" t="s">
        <v>39</v>
      </c>
      <c r="D1189">
        <v>55</v>
      </c>
      <c r="E1189" t="s">
        <v>40</v>
      </c>
      <c r="F1189" t="s">
        <v>41</v>
      </c>
      <c r="G1189" t="s">
        <v>49</v>
      </c>
      <c r="H1189" t="s">
        <v>31</v>
      </c>
      <c r="I1189" t="s">
        <v>65</v>
      </c>
      <c r="J1189" s="1">
        <v>43783</v>
      </c>
      <c r="K1189">
        <v>7</v>
      </c>
      <c r="L1189">
        <v>50938533</v>
      </c>
      <c r="M1189">
        <v>1146037</v>
      </c>
      <c r="N1189" t="s">
        <v>33</v>
      </c>
      <c r="O1189">
        <v>2.74</v>
      </c>
      <c r="P1189">
        <v>26</v>
      </c>
      <c r="Q1189">
        <v>2</v>
      </c>
      <c r="R1189">
        <v>4</v>
      </c>
      <c r="S1189">
        <v>15</v>
      </c>
      <c r="T1189" t="s">
        <v>34</v>
      </c>
      <c r="U1189" t="s">
        <v>34</v>
      </c>
      <c r="V1189" t="s">
        <v>70</v>
      </c>
      <c r="W1189" t="s">
        <v>34</v>
      </c>
      <c r="X1189" t="s">
        <v>52</v>
      </c>
      <c r="Z1189" t="str">
        <f>IF(Table1[[#This Row],[Age]]&lt;30,"20-29",IF(Table1[[#This Row],[Age]]&lt;40,"30-39",IF(Table1[[#This Row],[Age]]&lt;50,"40-49","50+")))</f>
        <v>50+</v>
      </c>
      <c r="AA1189" t="str">
        <f>IF(Table1[[#This Row],[Salary]]&lt;20000000,"low",IF(Table1[[#This Row],[Salary]]&lt;40000000,"medium","high"))</f>
        <v>high</v>
      </c>
      <c r="AB1189">
        <f>YEAR(Table1[[#This Row],[Hire Date]])</f>
        <v>2019</v>
      </c>
      <c r="AC1189" t="str">
        <f>TEXT(Table1[[#This Row],[Hire Date]],"mmmm")</f>
        <v>نوامبر</v>
      </c>
      <c r="AD1189" t="str">
        <f>IF(Table1[[#This Row],[Resigned]]="yes","former","active")</f>
        <v>active</v>
      </c>
    </row>
    <row r="1190" spans="1:30" x14ac:dyDescent="0.3">
      <c r="A1190" t="s">
        <v>2445</v>
      </c>
      <c r="B1190" t="s">
        <v>2446</v>
      </c>
      <c r="C1190" t="s">
        <v>27</v>
      </c>
      <c r="D1190">
        <v>26</v>
      </c>
      <c r="E1190" t="s">
        <v>63</v>
      </c>
      <c r="F1190" t="s">
        <v>93</v>
      </c>
      <c r="G1190" t="s">
        <v>30</v>
      </c>
      <c r="H1190" t="s">
        <v>31</v>
      </c>
      <c r="I1190" t="s">
        <v>50</v>
      </c>
      <c r="J1190" s="1">
        <v>43590</v>
      </c>
      <c r="K1190">
        <v>7</v>
      </c>
      <c r="L1190">
        <v>42308908</v>
      </c>
      <c r="M1190">
        <v>3503529</v>
      </c>
      <c r="N1190" t="s">
        <v>34</v>
      </c>
      <c r="O1190">
        <v>3.28</v>
      </c>
      <c r="P1190">
        <v>78</v>
      </c>
      <c r="Q1190">
        <v>5</v>
      </c>
      <c r="R1190">
        <v>2</v>
      </c>
      <c r="S1190">
        <v>14</v>
      </c>
      <c r="T1190" t="s">
        <v>33</v>
      </c>
      <c r="U1190" t="s">
        <v>34</v>
      </c>
      <c r="V1190" t="s">
        <v>59</v>
      </c>
      <c r="W1190" t="s">
        <v>33</v>
      </c>
      <c r="X1190" t="s">
        <v>45</v>
      </c>
      <c r="Z1190" t="str">
        <f>IF(Table1[[#This Row],[Age]]&lt;30,"20-29",IF(Table1[[#This Row],[Age]]&lt;40,"30-39",IF(Table1[[#This Row],[Age]]&lt;50,"40-49","50+")))</f>
        <v>20-29</v>
      </c>
      <c r="AA1190" t="str">
        <f>IF(Table1[[#This Row],[Salary]]&lt;20000000,"low",IF(Table1[[#This Row],[Salary]]&lt;40000000,"medium","high"))</f>
        <v>high</v>
      </c>
      <c r="AB1190">
        <f>YEAR(Table1[[#This Row],[Hire Date]])</f>
        <v>2019</v>
      </c>
      <c r="AC1190" t="str">
        <f>TEXT(Table1[[#This Row],[Hire Date]],"mmmm")</f>
        <v>مه</v>
      </c>
      <c r="AD1190" t="str">
        <f>IF(Table1[[#This Row],[Resigned]]="yes","former","active")</f>
        <v>active</v>
      </c>
    </row>
    <row r="1191" spans="1:30" x14ac:dyDescent="0.3">
      <c r="A1191" t="s">
        <v>2447</v>
      </c>
      <c r="B1191" t="s">
        <v>2448</v>
      </c>
      <c r="C1191" t="s">
        <v>27</v>
      </c>
      <c r="D1191">
        <v>23</v>
      </c>
      <c r="E1191" t="s">
        <v>63</v>
      </c>
      <c r="F1191" t="s">
        <v>64</v>
      </c>
      <c r="G1191" t="s">
        <v>30</v>
      </c>
      <c r="H1191" t="s">
        <v>42</v>
      </c>
      <c r="I1191" t="s">
        <v>32</v>
      </c>
      <c r="J1191" s="1">
        <v>44804</v>
      </c>
      <c r="K1191">
        <v>4</v>
      </c>
      <c r="L1191">
        <v>16069879</v>
      </c>
      <c r="M1191">
        <v>986312</v>
      </c>
      <c r="N1191" t="s">
        <v>33</v>
      </c>
      <c r="O1191">
        <v>3.12</v>
      </c>
      <c r="P1191">
        <v>22</v>
      </c>
      <c r="Q1191">
        <v>4</v>
      </c>
      <c r="R1191">
        <v>3</v>
      </c>
      <c r="S1191">
        <v>13</v>
      </c>
      <c r="T1191" t="s">
        <v>34</v>
      </c>
      <c r="U1191" t="s">
        <v>34</v>
      </c>
      <c r="V1191" t="s">
        <v>70</v>
      </c>
      <c r="W1191" t="s">
        <v>34</v>
      </c>
      <c r="X1191" t="s">
        <v>36</v>
      </c>
      <c r="Z1191" t="str">
        <f>IF(Table1[[#This Row],[Age]]&lt;30,"20-29",IF(Table1[[#This Row],[Age]]&lt;40,"30-39",IF(Table1[[#This Row],[Age]]&lt;50,"40-49","50+")))</f>
        <v>20-29</v>
      </c>
      <c r="AA1191" t="str">
        <f>IF(Table1[[#This Row],[Salary]]&lt;20000000,"low",IF(Table1[[#This Row],[Salary]]&lt;40000000,"medium","high"))</f>
        <v>low</v>
      </c>
      <c r="AB1191">
        <f>YEAR(Table1[[#This Row],[Hire Date]])</f>
        <v>2022</v>
      </c>
      <c r="AC1191" t="str">
        <f>TEXT(Table1[[#This Row],[Hire Date]],"mmmm")</f>
        <v>اوت</v>
      </c>
      <c r="AD1191" t="str">
        <f>IF(Table1[[#This Row],[Resigned]]="yes","former","active")</f>
        <v>active</v>
      </c>
    </row>
    <row r="1192" spans="1:30" x14ac:dyDescent="0.3">
      <c r="A1192" t="s">
        <v>2449</v>
      </c>
      <c r="B1192" t="s">
        <v>2450</v>
      </c>
      <c r="C1192" t="s">
        <v>27</v>
      </c>
      <c r="D1192">
        <v>33</v>
      </c>
      <c r="E1192" t="s">
        <v>63</v>
      </c>
      <c r="F1192" t="s">
        <v>93</v>
      </c>
      <c r="G1192" t="s">
        <v>49</v>
      </c>
      <c r="H1192" t="s">
        <v>31</v>
      </c>
      <c r="I1192" t="s">
        <v>32</v>
      </c>
      <c r="J1192" s="1">
        <v>44996</v>
      </c>
      <c r="K1192">
        <v>3</v>
      </c>
      <c r="L1192">
        <v>46145994</v>
      </c>
      <c r="M1192">
        <v>7356135</v>
      </c>
      <c r="N1192" t="s">
        <v>34</v>
      </c>
      <c r="O1192">
        <v>4.3</v>
      </c>
      <c r="P1192">
        <v>32</v>
      </c>
      <c r="Q1192">
        <v>5</v>
      </c>
      <c r="R1192">
        <v>4</v>
      </c>
      <c r="S1192">
        <v>17</v>
      </c>
      <c r="T1192" t="s">
        <v>34</v>
      </c>
      <c r="U1192" t="s">
        <v>34</v>
      </c>
      <c r="V1192" t="s">
        <v>44</v>
      </c>
      <c r="W1192" t="s">
        <v>34</v>
      </c>
      <c r="X1192" t="s">
        <v>36</v>
      </c>
      <c r="Z1192" t="str">
        <f>IF(Table1[[#This Row],[Age]]&lt;30,"20-29",IF(Table1[[#This Row],[Age]]&lt;40,"30-39",IF(Table1[[#This Row],[Age]]&lt;50,"40-49","50+")))</f>
        <v>30-39</v>
      </c>
      <c r="AA1192" t="str">
        <f>IF(Table1[[#This Row],[Salary]]&lt;20000000,"low",IF(Table1[[#This Row],[Salary]]&lt;40000000,"medium","high"))</f>
        <v>high</v>
      </c>
      <c r="AB1192">
        <f>YEAR(Table1[[#This Row],[Hire Date]])</f>
        <v>2023</v>
      </c>
      <c r="AC1192" t="str">
        <f>TEXT(Table1[[#This Row],[Hire Date]],"mmmm")</f>
        <v>مارس</v>
      </c>
      <c r="AD1192" t="str">
        <f>IF(Table1[[#This Row],[Resigned]]="yes","former","active")</f>
        <v>active</v>
      </c>
    </row>
    <row r="1193" spans="1:30" x14ac:dyDescent="0.3">
      <c r="A1193" t="s">
        <v>2451</v>
      </c>
      <c r="B1193" t="s">
        <v>2452</v>
      </c>
      <c r="C1193" t="s">
        <v>39</v>
      </c>
      <c r="D1193">
        <v>50</v>
      </c>
      <c r="E1193" t="s">
        <v>56</v>
      </c>
      <c r="F1193" t="s">
        <v>57</v>
      </c>
      <c r="G1193" t="s">
        <v>49</v>
      </c>
      <c r="H1193" t="s">
        <v>31</v>
      </c>
      <c r="I1193" t="s">
        <v>65</v>
      </c>
      <c r="J1193" s="1">
        <v>43276</v>
      </c>
      <c r="K1193">
        <v>8</v>
      </c>
      <c r="L1193">
        <v>43028944</v>
      </c>
      <c r="M1193">
        <v>9593670</v>
      </c>
      <c r="N1193" t="s">
        <v>34</v>
      </c>
      <c r="O1193">
        <v>3.04</v>
      </c>
      <c r="P1193">
        <v>32</v>
      </c>
      <c r="Q1193">
        <v>2</v>
      </c>
      <c r="R1193">
        <v>2</v>
      </c>
      <c r="S1193">
        <v>16</v>
      </c>
      <c r="T1193" t="s">
        <v>34</v>
      </c>
      <c r="U1193" t="s">
        <v>34</v>
      </c>
      <c r="V1193" t="s">
        <v>44</v>
      </c>
      <c r="W1193" t="s">
        <v>34</v>
      </c>
      <c r="X1193" t="s">
        <v>45</v>
      </c>
      <c r="Z1193" t="str">
        <f>IF(Table1[[#This Row],[Age]]&lt;30,"20-29",IF(Table1[[#This Row],[Age]]&lt;40,"30-39",IF(Table1[[#This Row],[Age]]&lt;50,"40-49","50+")))</f>
        <v>50+</v>
      </c>
      <c r="AA1193" t="str">
        <f>IF(Table1[[#This Row],[Salary]]&lt;20000000,"low",IF(Table1[[#This Row],[Salary]]&lt;40000000,"medium","high"))</f>
        <v>high</v>
      </c>
      <c r="AB1193">
        <f>YEAR(Table1[[#This Row],[Hire Date]])</f>
        <v>2018</v>
      </c>
      <c r="AC1193" t="str">
        <f>TEXT(Table1[[#This Row],[Hire Date]],"mmmm")</f>
        <v>ژوئن</v>
      </c>
      <c r="AD1193" t="str">
        <f>IF(Table1[[#This Row],[Resigned]]="yes","former","active")</f>
        <v>active</v>
      </c>
    </row>
    <row r="1194" spans="1:30" x14ac:dyDescent="0.3">
      <c r="A1194" t="s">
        <v>2453</v>
      </c>
      <c r="B1194" t="s">
        <v>2454</v>
      </c>
      <c r="C1194" t="s">
        <v>27</v>
      </c>
      <c r="D1194">
        <v>40</v>
      </c>
      <c r="E1194" t="s">
        <v>110</v>
      </c>
      <c r="F1194" t="s">
        <v>120</v>
      </c>
      <c r="G1194" t="s">
        <v>58</v>
      </c>
      <c r="H1194" t="s">
        <v>42</v>
      </c>
      <c r="I1194" t="s">
        <v>43</v>
      </c>
      <c r="J1194" s="1">
        <v>43089</v>
      </c>
      <c r="K1194">
        <v>9</v>
      </c>
      <c r="L1194">
        <v>26466214</v>
      </c>
      <c r="M1194">
        <v>3204085</v>
      </c>
      <c r="N1194" t="s">
        <v>34</v>
      </c>
      <c r="O1194">
        <v>2.74</v>
      </c>
      <c r="P1194">
        <v>58</v>
      </c>
      <c r="Q1194">
        <v>4</v>
      </c>
      <c r="R1194">
        <v>5</v>
      </c>
      <c r="S1194">
        <v>5</v>
      </c>
      <c r="T1194" t="s">
        <v>33</v>
      </c>
      <c r="U1194" t="s">
        <v>34</v>
      </c>
      <c r="V1194" t="s">
        <v>35</v>
      </c>
      <c r="W1194" t="s">
        <v>34</v>
      </c>
      <c r="X1194" t="s">
        <v>52</v>
      </c>
      <c r="Z1194" t="str">
        <f>IF(Table1[[#This Row],[Age]]&lt;30,"20-29",IF(Table1[[#This Row],[Age]]&lt;40,"30-39",IF(Table1[[#This Row],[Age]]&lt;50,"40-49","50+")))</f>
        <v>40-49</v>
      </c>
      <c r="AA1194" t="str">
        <f>IF(Table1[[#This Row],[Salary]]&lt;20000000,"low",IF(Table1[[#This Row],[Salary]]&lt;40000000,"medium","high"))</f>
        <v>medium</v>
      </c>
      <c r="AB1194">
        <f>YEAR(Table1[[#This Row],[Hire Date]])</f>
        <v>2017</v>
      </c>
      <c r="AC1194" t="str">
        <f>TEXT(Table1[[#This Row],[Hire Date]],"mmmm")</f>
        <v>دسامبر</v>
      </c>
      <c r="AD1194" t="str">
        <f>IF(Table1[[#This Row],[Resigned]]="yes","former","active")</f>
        <v>active</v>
      </c>
    </row>
    <row r="1195" spans="1:30" x14ac:dyDescent="0.3">
      <c r="A1195" t="s">
        <v>2455</v>
      </c>
      <c r="B1195" t="s">
        <v>2456</v>
      </c>
      <c r="C1195" t="s">
        <v>27</v>
      </c>
      <c r="D1195">
        <v>34</v>
      </c>
      <c r="E1195" t="s">
        <v>110</v>
      </c>
      <c r="F1195" t="s">
        <v>111</v>
      </c>
      <c r="G1195" t="s">
        <v>30</v>
      </c>
      <c r="H1195" t="s">
        <v>42</v>
      </c>
      <c r="I1195" t="s">
        <v>43</v>
      </c>
      <c r="J1195" s="1">
        <v>42464</v>
      </c>
      <c r="K1195">
        <v>10</v>
      </c>
      <c r="L1195">
        <v>34183098</v>
      </c>
      <c r="M1195">
        <v>4048513</v>
      </c>
      <c r="N1195" t="s">
        <v>34</v>
      </c>
      <c r="O1195">
        <v>4.34</v>
      </c>
      <c r="P1195">
        <v>25</v>
      </c>
      <c r="Q1195">
        <v>3</v>
      </c>
      <c r="R1195">
        <v>5</v>
      </c>
      <c r="S1195">
        <v>4</v>
      </c>
      <c r="T1195" t="s">
        <v>34</v>
      </c>
      <c r="U1195" t="s">
        <v>33</v>
      </c>
      <c r="V1195" t="s">
        <v>59</v>
      </c>
      <c r="W1195" t="s">
        <v>34</v>
      </c>
      <c r="X1195" t="s">
        <v>52</v>
      </c>
      <c r="Y1195" t="s">
        <v>75</v>
      </c>
      <c r="Z1195" t="str">
        <f>IF(Table1[[#This Row],[Age]]&lt;30,"20-29",IF(Table1[[#This Row],[Age]]&lt;40,"30-39",IF(Table1[[#This Row],[Age]]&lt;50,"40-49","50+")))</f>
        <v>30-39</v>
      </c>
      <c r="AA1195" t="str">
        <f>IF(Table1[[#This Row],[Salary]]&lt;20000000,"low",IF(Table1[[#This Row],[Salary]]&lt;40000000,"medium","high"))</f>
        <v>medium</v>
      </c>
      <c r="AB1195">
        <f>YEAR(Table1[[#This Row],[Hire Date]])</f>
        <v>2016</v>
      </c>
      <c r="AC1195" t="str">
        <f>TEXT(Table1[[#This Row],[Hire Date]],"mmmm")</f>
        <v>آوريل</v>
      </c>
      <c r="AD1195" t="str">
        <f>IF(Table1[[#This Row],[Resigned]]="yes","former","active")</f>
        <v>former</v>
      </c>
    </row>
    <row r="1196" spans="1:30" x14ac:dyDescent="0.3">
      <c r="A1196" t="s">
        <v>2457</v>
      </c>
      <c r="B1196" t="s">
        <v>2458</v>
      </c>
      <c r="C1196" t="s">
        <v>27</v>
      </c>
      <c r="D1196">
        <v>47</v>
      </c>
      <c r="E1196" t="s">
        <v>56</v>
      </c>
      <c r="F1196" t="s">
        <v>57</v>
      </c>
      <c r="G1196" t="s">
        <v>49</v>
      </c>
      <c r="H1196" t="s">
        <v>31</v>
      </c>
      <c r="I1196" t="s">
        <v>65</v>
      </c>
      <c r="J1196" s="1">
        <v>43657</v>
      </c>
      <c r="K1196">
        <v>7</v>
      </c>
      <c r="L1196">
        <v>21047175</v>
      </c>
      <c r="M1196">
        <v>970901</v>
      </c>
      <c r="N1196" t="s">
        <v>34</v>
      </c>
      <c r="O1196">
        <v>3.27</v>
      </c>
      <c r="P1196">
        <v>70</v>
      </c>
      <c r="Q1196">
        <v>3</v>
      </c>
      <c r="R1196">
        <v>1</v>
      </c>
      <c r="S1196">
        <v>15</v>
      </c>
      <c r="T1196" t="s">
        <v>34</v>
      </c>
      <c r="U1196" t="s">
        <v>34</v>
      </c>
      <c r="V1196" t="s">
        <v>70</v>
      </c>
      <c r="W1196" t="s">
        <v>33</v>
      </c>
      <c r="X1196" t="s">
        <v>45</v>
      </c>
      <c r="Z1196" t="str">
        <f>IF(Table1[[#This Row],[Age]]&lt;30,"20-29",IF(Table1[[#This Row],[Age]]&lt;40,"30-39",IF(Table1[[#This Row],[Age]]&lt;50,"40-49","50+")))</f>
        <v>40-49</v>
      </c>
      <c r="AA1196" t="str">
        <f>IF(Table1[[#This Row],[Salary]]&lt;20000000,"low",IF(Table1[[#This Row],[Salary]]&lt;40000000,"medium","high"))</f>
        <v>medium</v>
      </c>
      <c r="AB1196">
        <f>YEAR(Table1[[#This Row],[Hire Date]])</f>
        <v>2019</v>
      </c>
      <c r="AC1196" t="str">
        <f>TEXT(Table1[[#This Row],[Hire Date]],"mmmm")</f>
        <v>ژوئيه</v>
      </c>
      <c r="AD1196" t="str">
        <f>IF(Table1[[#This Row],[Resigned]]="yes","former","active")</f>
        <v>active</v>
      </c>
    </row>
    <row r="1197" spans="1:30" x14ac:dyDescent="0.3">
      <c r="A1197" t="s">
        <v>2459</v>
      </c>
      <c r="B1197" t="s">
        <v>2460</v>
      </c>
      <c r="C1197" t="s">
        <v>27</v>
      </c>
      <c r="D1197">
        <v>53</v>
      </c>
      <c r="E1197" t="s">
        <v>28</v>
      </c>
      <c r="F1197" t="s">
        <v>29</v>
      </c>
      <c r="G1197" t="s">
        <v>49</v>
      </c>
      <c r="H1197" t="s">
        <v>42</v>
      </c>
      <c r="I1197" t="s">
        <v>50</v>
      </c>
      <c r="J1197" s="1">
        <v>43064</v>
      </c>
      <c r="K1197">
        <v>9</v>
      </c>
      <c r="L1197">
        <v>23208733</v>
      </c>
      <c r="M1197">
        <v>5669907</v>
      </c>
      <c r="N1197" t="s">
        <v>33</v>
      </c>
      <c r="O1197">
        <v>3.64</v>
      </c>
      <c r="P1197">
        <v>27</v>
      </c>
      <c r="Q1197">
        <v>5</v>
      </c>
      <c r="R1197">
        <v>5</v>
      </c>
      <c r="S1197">
        <v>6</v>
      </c>
      <c r="T1197" t="s">
        <v>34</v>
      </c>
      <c r="U1197" t="s">
        <v>33</v>
      </c>
      <c r="V1197" t="s">
        <v>51</v>
      </c>
      <c r="W1197" t="s">
        <v>33</v>
      </c>
      <c r="X1197" t="s">
        <v>52</v>
      </c>
      <c r="Y1197" t="s">
        <v>75</v>
      </c>
      <c r="Z1197" t="str">
        <f>IF(Table1[[#This Row],[Age]]&lt;30,"20-29",IF(Table1[[#This Row],[Age]]&lt;40,"30-39",IF(Table1[[#This Row],[Age]]&lt;50,"40-49","50+")))</f>
        <v>50+</v>
      </c>
      <c r="AA1197" t="str">
        <f>IF(Table1[[#This Row],[Salary]]&lt;20000000,"low",IF(Table1[[#This Row],[Salary]]&lt;40000000,"medium","high"))</f>
        <v>medium</v>
      </c>
      <c r="AB1197">
        <f>YEAR(Table1[[#This Row],[Hire Date]])</f>
        <v>2017</v>
      </c>
      <c r="AC1197" t="str">
        <f>TEXT(Table1[[#This Row],[Hire Date]],"mmmm")</f>
        <v>نوامبر</v>
      </c>
      <c r="AD1197" t="str">
        <f>IF(Table1[[#This Row],[Resigned]]="yes","former","active")</f>
        <v>former</v>
      </c>
    </row>
    <row r="1198" spans="1:30" x14ac:dyDescent="0.3">
      <c r="A1198" t="s">
        <v>2461</v>
      </c>
      <c r="B1198" t="s">
        <v>2462</v>
      </c>
      <c r="C1198" t="s">
        <v>39</v>
      </c>
      <c r="D1198">
        <v>48</v>
      </c>
      <c r="E1198" t="s">
        <v>56</v>
      </c>
      <c r="F1198" t="s">
        <v>84</v>
      </c>
      <c r="G1198" t="s">
        <v>30</v>
      </c>
      <c r="H1198" t="s">
        <v>42</v>
      </c>
      <c r="I1198" t="s">
        <v>50</v>
      </c>
      <c r="J1198" s="1">
        <v>45153</v>
      </c>
      <c r="K1198">
        <v>3</v>
      </c>
      <c r="L1198">
        <v>12500797</v>
      </c>
      <c r="M1198">
        <v>5061040</v>
      </c>
      <c r="N1198" t="s">
        <v>33</v>
      </c>
      <c r="O1198">
        <v>4.9800000000000004</v>
      </c>
      <c r="P1198">
        <v>44</v>
      </c>
      <c r="Q1198">
        <v>1</v>
      </c>
      <c r="R1198">
        <v>5</v>
      </c>
      <c r="S1198">
        <v>0</v>
      </c>
      <c r="T1198" t="s">
        <v>34</v>
      </c>
      <c r="U1198" t="s">
        <v>34</v>
      </c>
      <c r="V1198" t="s">
        <v>59</v>
      </c>
      <c r="W1198" t="s">
        <v>34</v>
      </c>
      <c r="X1198" t="s">
        <v>52</v>
      </c>
      <c r="Z1198" t="str">
        <f>IF(Table1[[#This Row],[Age]]&lt;30,"20-29",IF(Table1[[#This Row],[Age]]&lt;40,"30-39",IF(Table1[[#This Row],[Age]]&lt;50,"40-49","50+")))</f>
        <v>40-49</v>
      </c>
      <c r="AA1198" t="str">
        <f>IF(Table1[[#This Row],[Salary]]&lt;20000000,"low",IF(Table1[[#This Row],[Salary]]&lt;40000000,"medium","high"))</f>
        <v>low</v>
      </c>
      <c r="AB1198">
        <f>YEAR(Table1[[#This Row],[Hire Date]])</f>
        <v>2023</v>
      </c>
      <c r="AC1198" t="str">
        <f>TEXT(Table1[[#This Row],[Hire Date]],"mmmm")</f>
        <v>اوت</v>
      </c>
      <c r="AD1198" t="str">
        <f>IF(Table1[[#This Row],[Resigned]]="yes","former","active")</f>
        <v>active</v>
      </c>
    </row>
    <row r="1199" spans="1:30" x14ac:dyDescent="0.3">
      <c r="A1199" t="s">
        <v>2463</v>
      </c>
      <c r="B1199" t="s">
        <v>2464</v>
      </c>
      <c r="C1199" t="s">
        <v>27</v>
      </c>
      <c r="D1199">
        <v>29</v>
      </c>
      <c r="E1199" t="s">
        <v>73</v>
      </c>
      <c r="F1199" t="s">
        <v>127</v>
      </c>
      <c r="G1199" t="s">
        <v>30</v>
      </c>
      <c r="H1199" t="s">
        <v>42</v>
      </c>
      <c r="I1199" t="s">
        <v>50</v>
      </c>
      <c r="J1199" s="1">
        <v>42463</v>
      </c>
      <c r="K1199">
        <v>10</v>
      </c>
      <c r="L1199">
        <v>35372732</v>
      </c>
      <c r="M1199">
        <v>787286</v>
      </c>
      <c r="N1199" t="s">
        <v>34</v>
      </c>
      <c r="O1199">
        <v>3.84</v>
      </c>
      <c r="P1199">
        <v>60</v>
      </c>
      <c r="Q1199">
        <v>1</v>
      </c>
      <c r="R1199">
        <v>5</v>
      </c>
      <c r="S1199">
        <v>0</v>
      </c>
      <c r="T1199" t="s">
        <v>34</v>
      </c>
      <c r="U1199" t="s">
        <v>34</v>
      </c>
      <c r="V1199" t="s">
        <v>59</v>
      </c>
      <c r="W1199" t="s">
        <v>34</v>
      </c>
      <c r="X1199" t="s">
        <v>36</v>
      </c>
      <c r="Z1199" t="str">
        <f>IF(Table1[[#This Row],[Age]]&lt;30,"20-29",IF(Table1[[#This Row],[Age]]&lt;40,"30-39",IF(Table1[[#This Row],[Age]]&lt;50,"40-49","50+")))</f>
        <v>20-29</v>
      </c>
      <c r="AA1199" t="str">
        <f>IF(Table1[[#This Row],[Salary]]&lt;20000000,"low",IF(Table1[[#This Row],[Salary]]&lt;40000000,"medium","high"))</f>
        <v>medium</v>
      </c>
      <c r="AB1199">
        <f>YEAR(Table1[[#This Row],[Hire Date]])</f>
        <v>2016</v>
      </c>
      <c r="AC1199" t="str">
        <f>TEXT(Table1[[#This Row],[Hire Date]],"mmmm")</f>
        <v>آوريل</v>
      </c>
      <c r="AD1199" t="str">
        <f>IF(Table1[[#This Row],[Resigned]]="yes","former","active")</f>
        <v>active</v>
      </c>
    </row>
    <row r="1200" spans="1:30" x14ac:dyDescent="0.3">
      <c r="A1200" t="s">
        <v>2465</v>
      </c>
      <c r="B1200" t="s">
        <v>2466</v>
      </c>
      <c r="C1200" t="s">
        <v>39</v>
      </c>
      <c r="D1200">
        <v>37</v>
      </c>
      <c r="E1200" t="s">
        <v>56</v>
      </c>
      <c r="F1200" t="s">
        <v>84</v>
      </c>
      <c r="G1200" t="s">
        <v>58</v>
      </c>
      <c r="H1200" t="s">
        <v>42</v>
      </c>
      <c r="I1200" t="s">
        <v>65</v>
      </c>
      <c r="J1200" s="1">
        <v>43269</v>
      </c>
      <c r="K1200">
        <v>8</v>
      </c>
      <c r="L1200">
        <v>24653255</v>
      </c>
      <c r="M1200">
        <v>2398797</v>
      </c>
      <c r="N1200" t="s">
        <v>34</v>
      </c>
      <c r="O1200">
        <v>4.3600000000000003</v>
      </c>
      <c r="P1200">
        <v>64</v>
      </c>
      <c r="Q1200">
        <v>3</v>
      </c>
      <c r="R1200">
        <v>2</v>
      </c>
      <c r="S1200">
        <v>6</v>
      </c>
      <c r="T1200" t="s">
        <v>33</v>
      </c>
      <c r="U1200" t="s">
        <v>34</v>
      </c>
      <c r="V1200" t="s">
        <v>59</v>
      </c>
      <c r="W1200" t="s">
        <v>33</v>
      </c>
      <c r="X1200" t="s">
        <v>52</v>
      </c>
      <c r="Z1200" t="str">
        <f>IF(Table1[[#This Row],[Age]]&lt;30,"20-29",IF(Table1[[#This Row],[Age]]&lt;40,"30-39",IF(Table1[[#This Row],[Age]]&lt;50,"40-49","50+")))</f>
        <v>30-39</v>
      </c>
      <c r="AA1200" t="str">
        <f>IF(Table1[[#This Row],[Salary]]&lt;20000000,"low",IF(Table1[[#This Row],[Salary]]&lt;40000000,"medium","high"))</f>
        <v>medium</v>
      </c>
      <c r="AB1200">
        <f>YEAR(Table1[[#This Row],[Hire Date]])</f>
        <v>2018</v>
      </c>
      <c r="AC1200" t="str">
        <f>TEXT(Table1[[#This Row],[Hire Date]],"mmmm")</f>
        <v>ژوئن</v>
      </c>
      <c r="AD1200" t="str">
        <f>IF(Table1[[#This Row],[Resigned]]="yes","former","active")</f>
        <v>active</v>
      </c>
    </row>
    <row r="1201" spans="1:30" x14ac:dyDescent="0.3">
      <c r="A1201" t="s">
        <v>2467</v>
      </c>
      <c r="B1201" t="s">
        <v>2468</v>
      </c>
      <c r="C1201" t="s">
        <v>27</v>
      </c>
      <c r="D1201">
        <v>58</v>
      </c>
      <c r="E1201" t="s">
        <v>40</v>
      </c>
      <c r="F1201" t="s">
        <v>41</v>
      </c>
      <c r="G1201" t="s">
        <v>49</v>
      </c>
      <c r="H1201" t="s">
        <v>31</v>
      </c>
      <c r="I1201" t="s">
        <v>32</v>
      </c>
      <c r="J1201" s="1">
        <v>45613</v>
      </c>
      <c r="K1201">
        <v>2</v>
      </c>
      <c r="L1201">
        <v>14541195</v>
      </c>
      <c r="M1201">
        <v>3338367</v>
      </c>
      <c r="N1201" t="s">
        <v>34</v>
      </c>
      <c r="O1201">
        <v>3.4</v>
      </c>
      <c r="P1201">
        <v>25</v>
      </c>
      <c r="Q1201">
        <v>1</v>
      </c>
      <c r="R1201">
        <v>3</v>
      </c>
      <c r="S1201">
        <v>0</v>
      </c>
      <c r="T1201" t="s">
        <v>33</v>
      </c>
      <c r="U1201" t="s">
        <v>34</v>
      </c>
      <c r="V1201" t="s">
        <v>59</v>
      </c>
      <c r="W1201" t="s">
        <v>33</v>
      </c>
      <c r="X1201" t="s">
        <v>36</v>
      </c>
      <c r="Z1201" t="str">
        <f>IF(Table1[[#This Row],[Age]]&lt;30,"20-29",IF(Table1[[#This Row],[Age]]&lt;40,"30-39",IF(Table1[[#This Row],[Age]]&lt;50,"40-49","50+")))</f>
        <v>50+</v>
      </c>
      <c r="AA1201" t="str">
        <f>IF(Table1[[#This Row],[Salary]]&lt;20000000,"low",IF(Table1[[#This Row],[Salary]]&lt;40000000,"medium","high"))</f>
        <v>low</v>
      </c>
      <c r="AB1201">
        <f>YEAR(Table1[[#This Row],[Hire Date]])</f>
        <v>2024</v>
      </c>
      <c r="AC1201" t="str">
        <f>TEXT(Table1[[#This Row],[Hire Date]],"mmmm")</f>
        <v>نوامبر</v>
      </c>
      <c r="AD1201" t="str">
        <f>IF(Table1[[#This Row],[Resigned]]="yes","former","active")</f>
        <v>active</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B87A4-3BA1-404A-85F3-E49ED2356B4B}">
  <dimension ref="A2:F9"/>
  <sheetViews>
    <sheetView rightToLeft="1" workbookViewId="0">
      <selection activeCell="A4" sqref="A4"/>
    </sheetView>
  </sheetViews>
  <sheetFormatPr defaultRowHeight="14.4" x14ac:dyDescent="0.3"/>
  <cols>
    <col min="1" max="1" width="10.33203125" customWidth="1"/>
    <col min="2" max="2" width="16.6640625" customWidth="1"/>
    <col min="3" max="3" width="19.21875" customWidth="1"/>
    <col min="4" max="4" width="17.5546875" customWidth="1"/>
    <col min="5" max="5" width="18" customWidth="1"/>
    <col min="6" max="6" width="14.33203125" customWidth="1"/>
  </cols>
  <sheetData>
    <row r="2" spans="1:6" x14ac:dyDescent="0.3">
      <c r="A2" t="s">
        <v>2474</v>
      </c>
      <c r="B2" s="2" t="s">
        <v>2475</v>
      </c>
      <c r="C2" t="s">
        <v>2476</v>
      </c>
      <c r="D2" t="s">
        <v>2477</v>
      </c>
      <c r="E2" t="s">
        <v>2478</v>
      </c>
      <c r="F2" t="s">
        <v>2479</v>
      </c>
    </row>
    <row r="3" spans="1:6" x14ac:dyDescent="0.3">
      <c r="A3">
        <f>COUNTA(HR_Data!A:A)</f>
        <v>1201</v>
      </c>
      <c r="B3">
        <f>COUNTIF(Table1[employee status],"active")</f>
        <v>954</v>
      </c>
      <c r="C3">
        <f>COUNTIF(Table1[employee status],"former")</f>
        <v>246</v>
      </c>
      <c r="D3">
        <f>AVERAGE(HR_Data!L:L)</f>
        <v>35704901.603333332</v>
      </c>
      <c r="E3">
        <f>AVERAGE(HR_Data!Q:Q)</f>
        <v>3.0483333333333333</v>
      </c>
      <c r="F3">
        <f>AVERAGE(Table1[Performance Score])</f>
        <v>3.7781333333333373</v>
      </c>
    </row>
    <row r="8" spans="1:6" x14ac:dyDescent="0.3">
      <c r="B8" t="s">
        <v>2480</v>
      </c>
      <c r="D8" t="s">
        <v>2481</v>
      </c>
    </row>
    <row r="9" spans="1:6" x14ac:dyDescent="0.3">
      <c r="B9">
        <f>MIN(Table1[Salary])</f>
        <v>12112887</v>
      </c>
      <c r="D9">
        <f>MAX(Table1[Salary])</f>
        <v>59933205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Sheet4</vt:lpstr>
      <vt:lpstr>HR_Data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shamsmaedeh82@gmail.com</cp:lastModifiedBy>
  <dcterms:created xsi:type="dcterms:W3CDTF">2026-07-27T13:16:19Z</dcterms:created>
  <dcterms:modified xsi:type="dcterms:W3CDTF">2026-08-27T07:37:51Z</dcterms:modified>
</cp:coreProperties>
</file>